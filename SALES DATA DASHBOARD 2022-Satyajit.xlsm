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hidePivotFieldList="1"/>
  <mc:AlternateContent xmlns:mc="http://schemas.openxmlformats.org/markup-compatibility/2006">
    <mc:Choice Requires="x15">
      <x15ac:absPath xmlns:x15ac="http://schemas.microsoft.com/office/spreadsheetml/2010/11/ac" url="/Users/kumarsrisatyajitbhoi/Downloads/"/>
    </mc:Choice>
  </mc:AlternateContent>
  <xr:revisionPtr revIDLastSave="0" documentId="13_ncr:1_{1240E203-87B2-4749-A8B1-D7E731067738}" xr6:coauthVersionLast="47" xr6:coauthVersionMax="47" xr10:uidLastSave="{00000000-0000-0000-0000-000000000000}"/>
  <bookViews>
    <workbookView xWindow="0" yWindow="0" windowWidth="28800" windowHeight="18000" activeTab="6" xr2:uid="{0A0D8D68-EFC2-4074-BDCA-85DAF874A3F1}"/>
  </bookViews>
  <sheets>
    <sheet name="SALES_DATA" sheetId="4" r:id="rId1"/>
    <sheet name="PRODUCT_MASTER" sheetId="5" r:id="rId2"/>
    <sheet name="DATA MODEL" sheetId="8" r:id="rId3"/>
    <sheet name="FINAL DATA" sheetId="3" r:id="rId4"/>
    <sheet name="FINAL DATA OUTPUT" sheetId="9" r:id="rId5"/>
    <sheet name="DATA ANALYSIS AND PIVOTS" sheetId="10" r:id="rId6"/>
    <sheet name="SALES DASHBOARD" sheetId="11" r:id="rId7"/>
  </sheets>
  <definedNames>
    <definedName name="_xlnm._FilterDatabase" localSheetId="4" hidden="1">'FINAL DATA OUTPUT'!$A$1:$K$528</definedName>
    <definedName name="_xlchart.v1.0" hidden="1">'DATA ANALYSIS AND PIVOTS'!$AX$5:$AX$13</definedName>
    <definedName name="_xlchart.v1.1" hidden="1">'DATA ANALYSIS AND PIVOTS'!$AY$4</definedName>
    <definedName name="_xlchart.v1.2" hidden="1">'DATA ANALYSIS AND PIVOTS'!$AY$5:$AY$13</definedName>
    <definedName name="_xlchart.v1.3" hidden="1">'DATA ANALYSIS AND PIVOTS'!$AX$5:$AX$13</definedName>
    <definedName name="_xlchart.v1.4" hidden="1">'DATA ANALYSIS AND PIVOTS'!$AY$4</definedName>
    <definedName name="_xlchart.v1.5" hidden="1">'DATA ANALYSIS AND PIVOTS'!$AY$5:$AY$13</definedName>
    <definedName name="Category">OFFSET(#REF!,1,0,COUNT(#REF!))</definedName>
    <definedName name="CategoryRange">OFFSET(#REF!,1,1,COUNT(#REF!))</definedName>
    <definedName name="Slicer_MONTH1">#N/A</definedName>
    <definedName name="Slicer_PAYMENT_MODE1">#N/A</definedName>
    <definedName name="Slicer_SALE_TYPE1">#N/A</definedName>
    <definedName name="Slicer_YEAR1">#N/A</definedName>
  </definedNames>
  <calcPr calcId="191029"/>
  <pivotCaches>
    <pivotCache cacheId="36"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E4" i="10" l="1" a="1"/>
  <c r="BE4" i="10" s="1"/>
  <c r="AX4" i="10" a="1"/>
  <c r="AX4" i="10" s="1"/>
  <c r="AR4" i="10" a="1"/>
  <c r="AR4" i="10" s="1"/>
  <c r="AM3" i="10"/>
  <c r="AI4" i="10" a="1"/>
  <c r="AI4" i="10" s="1"/>
  <c r="AC8" i="10"/>
  <c r="AD8" i="10" s="1" a="1"/>
  <c r="AD8" i="10" s="1"/>
  <c r="AC9" i="10"/>
  <c r="AD9" i="10" s="1" a="1"/>
  <c r="AD9" i="10" s="1"/>
  <c r="AC10" i="10"/>
  <c r="AD10" i="10" s="1" a="1"/>
  <c r="AD10" i="10" s="1"/>
  <c r="AC11" i="10"/>
  <c r="AD11" i="10" s="1" a="1"/>
  <c r="AD11" i="10" s="1"/>
  <c r="AC12" i="10"/>
  <c r="AD12" i="10" s="1" a="1"/>
  <c r="AD12" i="10" s="1"/>
  <c r="AC13" i="10"/>
  <c r="AD13" i="10" s="1" a="1"/>
  <c r="AD13" i="10" s="1"/>
  <c r="AC14" i="10"/>
  <c r="AD14" i="10" s="1" a="1"/>
  <c r="AD14" i="10" s="1"/>
  <c r="AC15" i="10"/>
  <c r="AD15" i="10" s="1" a="1"/>
  <c r="AD15" i="10" s="1"/>
  <c r="AC16" i="10"/>
  <c r="AD16" i="10" s="1" a="1"/>
  <c r="AD16" i="10" s="1"/>
  <c r="AC6" i="10"/>
  <c r="AD6" i="10" s="1" a="1"/>
  <c r="AD6" i="10" s="1"/>
  <c r="AC7" i="10"/>
  <c r="AD7" i="10" s="1" a="1"/>
  <c r="AD7" i="10" s="1"/>
  <c r="AC5" i="10"/>
  <c r="AD5" i="10" s="1" a="1"/>
  <c r="AD5" i="10" s="1"/>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5" i="10"/>
  <c r="O4" i="10" a="1"/>
  <c r="O4" i="10" s="1"/>
  <c r="R3" i="9"/>
  <c r="R4" i="9"/>
  <c r="R5" i="9"/>
  <c r="R6" i="9"/>
  <c r="R7" i="9"/>
  <c r="R8" i="9"/>
  <c r="R9" i="9"/>
  <c r="R10" i="9"/>
  <c r="R11" i="9"/>
  <c r="R12" i="9"/>
  <c r="R13" i="9"/>
  <c r="R14" i="9"/>
  <c r="R15" i="9"/>
  <c r="R16" i="9"/>
  <c r="R17" i="9"/>
  <c r="R18" i="9"/>
  <c r="R19" i="9"/>
  <c r="R20" i="9"/>
  <c r="R21" i="9"/>
  <c r="R22" i="9"/>
  <c r="R23" i="9"/>
  <c r="R24" i="9"/>
  <c r="R25" i="9"/>
  <c r="R26" i="9"/>
  <c r="R27" i="9"/>
  <c r="R28" i="9"/>
  <c r="R29" i="9"/>
  <c r="R30" i="9"/>
  <c r="R31" i="9"/>
  <c r="R32" i="9"/>
  <c r="R33" i="9"/>
  <c r="R34" i="9"/>
  <c r="R35" i="9"/>
  <c r="R36" i="9"/>
  <c r="R37" i="9"/>
  <c r="R38" i="9"/>
  <c r="R39" i="9"/>
  <c r="R40" i="9"/>
  <c r="R41" i="9"/>
  <c r="R42" i="9"/>
  <c r="R43" i="9"/>
  <c r="R44" i="9"/>
  <c r="R45" i="9"/>
  <c r="R46" i="9"/>
  <c r="R47" i="9"/>
  <c r="R48" i="9"/>
  <c r="R49" i="9"/>
  <c r="R50" i="9"/>
  <c r="R51" i="9"/>
  <c r="R52" i="9"/>
  <c r="R53" i="9"/>
  <c r="R54" i="9"/>
  <c r="R55" i="9"/>
  <c r="R56" i="9"/>
  <c r="R57" i="9"/>
  <c r="R58" i="9"/>
  <c r="R59" i="9"/>
  <c r="R60" i="9"/>
  <c r="R61" i="9"/>
  <c r="R62" i="9"/>
  <c r="R63" i="9"/>
  <c r="R64" i="9"/>
  <c r="R65" i="9"/>
  <c r="R66" i="9"/>
  <c r="R67" i="9"/>
  <c r="R68" i="9"/>
  <c r="R69" i="9"/>
  <c r="R70" i="9"/>
  <c r="R71" i="9"/>
  <c r="R72" i="9"/>
  <c r="R73" i="9"/>
  <c r="R74" i="9"/>
  <c r="R75" i="9"/>
  <c r="R76" i="9"/>
  <c r="R77" i="9"/>
  <c r="R78" i="9"/>
  <c r="R79" i="9"/>
  <c r="R80" i="9"/>
  <c r="R81" i="9"/>
  <c r="R82" i="9"/>
  <c r="R83" i="9"/>
  <c r="R84" i="9"/>
  <c r="R85" i="9"/>
  <c r="R86" i="9"/>
  <c r="R87" i="9"/>
  <c r="R88" i="9"/>
  <c r="R89" i="9"/>
  <c r="R90" i="9"/>
  <c r="R91" i="9"/>
  <c r="R92" i="9"/>
  <c r="R93" i="9"/>
  <c r="R94" i="9"/>
  <c r="R95" i="9"/>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124" i="9"/>
  <c r="R125" i="9"/>
  <c r="R126" i="9"/>
  <c r="R127" i="9"/>
  <c r="R128" i="9"/>
  <c r="R129" i="9"/>
  <c r="R130" i="9"/>
  <c r="R131" i="9"/>
  <c r="R132" i="9"/>
  <c r="R133" i="9"/>
  <c r="R134" i="9"/>
  <c r="R135" i="9"/>
  <c r="R136" i="9"/>
  <c r="R137" i="9"/>
  <c r="R138" i="9"/>
  <c r="R139" i="9"/>
  <c r="R140" i="9"/>
  <c r="R141" i="9"/>
  <c r="R142" i="9"/>
  <c r="R143" i="9"/>
  <c r="R144" i="9"/>
  <c r="R145" i="9"/>
  <c r="R146" i="9"/>
  <c r="R147" i="9"/>
  <c r="R148" i="9"/>
  <c r="R149" i="9"/>
  <c r="R150" i="9"/>
  <c r="R151" i="9"/>
  <c r="R152" i="9"/>
  <c r="R153" i="9"/>
  <c r="R154" i="9"/>
  <c r="R155" i="9"/>
  <c r="R156" i="9"/>
  <c r="R157" i="9"/>
  <c r="R158" i="9"/>
  <c r="R159" i="9"/>
  <c r="R160" i="9"/>
  <c r="R161" i="9"/>
  <c r="R162" i="9"/>
  <c r="R163" i="9"/>
  <c r="R164" i="9"/>
  <c r="R165" i="9"/>
  <c r="R166" i="9"/>
  <c r="R167" i="9"/>
  <c r="R168" i="9"/>
  <c r="R169" i="9"/>
  <c r="R170" i="9"/>
  <c r="R171" i="9"/>
  <c r="R172" i="9"/>
  <c r="R173" i="9"/>
  <c r="R174" i="9"/>
  <c r="R175" i="9"/>
  <c r="R176" i="9"/>
  <c r="R177" i="9"/>
  <c r="R178" i="9"/>
  <c r="R179" i="9"/>
  <c r="R180" i="9"/>
  <c r="R181" i="9"/>
  <c r="R182" i="9"/>
  <c r="R183" i="9"/>
  <c r="R184" i="9"/>
  <c r="R185" i="9"/>
  <c r="R186" i="9"/>
  <c r="R187" i="9"/>
  <c r="R188" i="9"/>
  <c r="R189" i="9"/>
  <c r="R190" i="9"/>
  <c r="R191" i="9"/>
  <c r="R192" i="9"/>
  <c r="R193" i="9"/>
  <c r="R194" i="9"/>
  <c r="R195" i="9"/>
  <c r="R196" i="9"/>
  <c r="R197" i="9"/>
  <c r="R198" i="9"/>
  <c r="R199" i="9"/>
  <c r="R200" i="9"/>
  <c r="R201" i="9"/>
  <c r="R202" i="9"/>
  <c r="R203" i="9"/>
  <c r="R204" i="9"/>
  <c r="R205" i="9"/>
  <c r="R206" i="9"/>
  <c r="R207" i="9"/>
  <c r="R208" i="9"/>
  <c r="R209" i="9"/>
  <c r="R210" i="9"/>
  <c r="R211" i="9"/>
  <c r="R212" i="9"/>
  <c r="R213" i="9"/>
  <c r="R214" i="9"/>
  <c r="R215" i="9"/>
  <c r="R216" i="9"/>
  <c r="R217" i="9"/>
  <c r="R218" i="9"/>
  <c r="R219" i="9"/>
  <c r="R220" i="9"/>
  <c r="R221" i="9"/>
  <c r="R222" i="9"/>
  <c r="R223" i="9"/>
  <c r="R224" i="9"/>
  <c r="R225" i="9"/>
  <c r="R226" i="9"/>
  <c r="R227" i="9"/>
  <c r="R228" i="9"/>
  <c r="R229" i="9"/>
  <c r="R230" i="9"/>
  <c r="R231" i="9"/>
  <c r="R232" i="9"/>
  <c r="R233" i="9"/>
  <c r="R234" i="9"/>
  <c r="R235" i="9"/>
  <c r="R236" i="9"/>
  <c r="R237" i="9"/>
  <c r="R238" i="9"/>
  <c r="R239" i="9"/>
  <c r="R240" i="9"/>
  <c r="R241" i="9"/>
  <c r="R242" i="9"/>
  <c r="R243" i="9"/>
  <c r="R244" i="9"/>
  <c r="R245" i="9"/>
  <c r="R246" i="9"/>
  <c r="R247" i="9"/>
  <c r="R248" i="9"/>
  <c r="R249" i="9"/>
  <c r="R250" i="9"/>
  <c r="R251" i="9"/>
  <c r="R252" i="9"/>
  <c r="R253" i="9"/>
  <c r="R254" i="9"/>
  <c r="R255" i="9"/>
  <c r="R256" i="9"/>
  <c r="R257" i="9"/>
  <c r="R258" i="9"/>
  <c r="R259" i="9"/>
  <c r="R260" i="9"/>
  <c r="R261" i="9"/>
  <c r="R262" i="9"/>
  <c r="R263" i="9"/>
  <c r="R264" i="9"/>
  <c r="R265" i="9"/>
  <c r="R266" i="9"/>
  <c r="R267" i="9"/>
  <c r="R268" i="9"/>
  <c r="R269" i="9"/>
  <c r="R270" i="9"/>
  <c r="R271" i="9"/>
  <c r="R272" i="9"/>
  <c r="R273" i="9"/>
  <c r="R274" i="9"/>
  <c r="R275" i="9"/>
  <c r="R276" i="9"/>
  <c r="R277" i="9"/>
  <c r="R278" i="9"/>
  <c r="R279" i="9"/>
  <c r="R280" i="9"/>
  <c r="R281" i="9"/>
  <c r="R282" i="9"/>
  <c r="R283" i="9"/>
  <c r="R284" i="9"/>
  <c r="R285" i="9"/>
  <c r="R286" i="9"/>
  <c r="R287" i="9"/>
  <c r="R288" i="9"/>
  <c r="R289" i="9"/>
  <c r="R290" i="9"/>
  <c r="R291" i="9"/>
  <c r="R292" i="9"/>
  <c r="R293" i="9"/>
  <c r="R294" i="9"/>
  <c r="R295" i="9"/>
  <c r="R296" i="9"/>
  <c r="R297" i="9"/>
  <c r="R298" i="9"/>
  <c r="R299" i="9"/>
  <c r="R300" i="9"/>
  <c r="R301" i="9"/>
  <c r="R302" i="9"/>
  <c r="R303" i="9"/>
  <c r="R304" i="9"/>
  <c r="R305" i="9"/>
  <c r="R306" i="9"/>
  <c r="R307" i="9"/>
  <c r="R308" i="9"/>
  <c r="R309" i="9"/>
  <c r="R310" i="9"/>
  <c r="R311" i="9"/>
  <c r="R312" i="9"/>
  <c r="R313" i="9"/>
  <c r="R314" i="9"/>
  <c r="R315" i="9"/>
  <c r="R316" i="9"/>
  <c r="R317" i="9"/>
  <c r="R318" i="9"/>
  <c r="R319" i="9"/>
  <c r="R320" i="9"/>
  <c r="R321" i="9"/>
  <c r="R322" i="9"/>
  <c r="R323" i="9"/>
  <c r="R324" i="9"/>
  <c r="R325" i="9"/>
  <c r="R326" i="9"/>
  <c r="R327" i="9"/>
  <c r="R328" i="9"/>
  <c r="R329" i="9"/>
  <c r="R330" i="9"/>
  <c r="R331" i="9"/>
  <c r="R332" i="9"/>
  <c r="R333" i="9"/>
  <c r="R334" i="9"/>
  <c r="R335" i="9"/>
  <c r="R336" i="9"/>
  <c r="R337" i="9"/>
  <c r="R338" i="9"/>
  <c r="R339" i="9"/>
  <c r="R340" i="9"/>
  <c r="R341" i="9"/>
  <c r="R342" i="9"/>
  <c r="R343" i="9"/>
  <c r="R344" i="9"/>
  <c r="R345" i="9"/>
  <c r="R346" i="9"/>
  <c r="R347" i="9"/>
  <c r="R348" i="9"/>
  <c r="R349" i="9"/>
  <c r="R350" i="9"/>
  <c r="R351" i="9"/>
  <c r="R352" i="9"/>
  <c r="R353" i="9"/>
  <c r="R354" i="9"/>
  <c r="R355" i="9"/>
  <c r="R356" i="9"/>
  <c r="R357" i="9"/>
  <c r="R358" i="9"/>
  <c r="R359" i="9"/>
  <c r="R360" i="9"/>
  <c r="R361" i="9"/>
  <c r="R362" i="9"/>
  <c r="R363" i="9"/>
  <c r="R364" i="9"/>
  <c r="R365" i="9"/>
  <c r="R366" i="9"/>
  <c r="R367" i="9"/>
  <c r="R368" i="9"/>
  <c r="R369" i="9"/>
  <c r="R370" i="9"/>
  <c r="R371" i="9"/>
  <c r="R372" i="9"/>
  <c r="R373" i="9"/>
  <c r="R374" i="9"/>
  <c r="R375" i="9"/>
  <c r="R376" i="9"/>
  <c r="R377" i="9"/>
  <c r="R378" i="9"/>
  <c r="R379" i="9"/>
  <c r="R380" i="9"/>
  <c r="R381" i="9"/>
  <c r="R382" i="9"/>
  <c r="R383" i="9"/>
  <c r="R384" i="9"/>
  <c r="R385" i="9"/>
  <c r="R386" i="9"/>
  <c r="R387" i="9"/>
  <c r="R388" i="9"/>
  <c r="R389" i="9"/>
  <c r="R390" i="9"/>
  <c r="R391" i="9"/>
  <c r="R392" i="9"/>
  <c r="R393" i="9"/>
  <c r="R394" i="9"/>
  <c r="R395" i="9"/>
  <c r="R396" i="9"/>
  <c r="R397" i="9"/>
  <c r="R398" i="9"/>
  <c r="R399" i="9"/>
  <c r="R400" i="9"/>
  <c r="R401" i="9"/>
  <c r="R402" i="9"/>
  <c r="R403" i="9"/>
  <c r="R404" i="9"/>
  <c r="R405" i="9"/>
  <c r="R406" i="9"/>
  <c r="R407" i="9"/>
  <c r="R408" i="9"/>
  <c r="R409" i="9"/>
  <c r="R410" i="9"/>
  <c r="R411" i="9"/>
  <c r="R412" i="9"/>
  <c r="R413" i="9"/>
  <c r="R414" i="9"/>
  <c r="R415" i="9"/>
  <c r="R416" i="9"/>
  <c r="R417" i="9"/>
  <c r="R418" i="9"/>
  <c r="R419" i="9"/>
  <c r="R420" i="9"/>
  <c r="R421" i="9"/>
  <c r="R422" i="9"/>
  <c r="R423" i="9"/>
  <c r="R424" i="9"/>
  <c r="R425" i="9"/>
  <c r="R426" i="9"/>
  <c r="R427" i="9"/>
  <c r="R428" i="9"/>
  <c r="R429" i="9"/>
  <c r="R430" i="9"/>
  <c r="R431" i="9"/>
  <c r="R432" i="9"/>
  <c r="R433" i="9"/>
  <c r="R434" i="9"/>
  <c r="R435" i="9"/>
  <c r="R436" i="9"/>
  <c r="R437" i="9"/>
  <c r="R438" i="9"/>
  <c r="R439" i="9"/>
  <c r="R440" i="9"/>
  <c r="R441" i="9"/>
  <c r="R442" i="9"/>
  <c r="R443" i="9"/>
  <c r="R444" i="9"/>
  <c r="R445" i="9"/>
  <c r="R446" i="9"/>
  <c r="R447" i="9"/>
  <c r="R448" i="9"/>
  <c r="R449" i="9"/>
  <c r="R450" i="9"/>
  <c r="R451" i="9"/>
  <c r="R452" i="9"/>
  <c r="R453" i="9"/>
  <c r="R454" i="9"/>
  <c r="R455" i="9"/>
  <c r="R456" i="9"/>
  <c r="R457" i="9"/>
  <c r="R458" i="9"/>
  <c r="R459" i="9"/>
  <c r="R460" i="9"/>
  <c r="R461" i="9"/>
  <c r="R462" i="9"/>
  <c r="R463" i="9"/>
  <c r="R464" i="9"/>
  <c r="R465" i="9"/>
  <c r="R466" i="9"/>
  <c r="R467" i="9"/>
  <c r="R468" i="9"/>
  <c r="R469" i="9"/>
  <c r="R470" i="9"/>
  <c r="R471" i="9"/>
  <c r="R472" i="9"/>
  <c r="R473" i="9"/>
  <c r="R474" i="9"/>
  <c r="R475" i="9"/>
  <c r="R476" i="9"/>
  <c r="R477" i="9"/>
  <c r="R478" i="9"/>
  <c r="R479" i="9"/>
  <c r="R480" i="9"/>
  <c r="R481" i="9"/>
  <c r="R482" i="9"/>
  <c r="R483" i="9"/>
  <c r="R484" i="9"/>
  <c r="R485" i="9"/>
  <c r="R486" i="9"/>
  <c r="R487" i="9"/>
  <c r="R488" i="9"/>
  <c r="R489" i="9"/>
  <c r="R490" i="9"/>
  <c r="R491" i="9"/>
  <c r="R492" i="9"/>
  <c r="R493" i="9"/>
  <c r="R494" i="9"/>
  <c r="R495" i="9"/>
  <c r="R496" i="9"/>
  <c r="R497" i="9"/>
  <c r="R498" i="9"/>
  <c r="R499" i="9"/>
  <c r="R500" i="9"/>
  <c r="R501" i="9"/>
  <c r="R502" i="9"/>
  <c r="R503" i="9"/>
  <c r="R504" i="9"/>
  <c r="R505" i="9"/>
  <c r="R506" i="9"/>
  <c r="R507" i="9"/>
  <c r="R508" i="9"/>
  <c r="R509" i="9"/>
  <c r="R510" i="9"/>
  <c r="R511" i="9"/>
  <c r="R512" i="9"/>
  <c r="R513" i="9"/>
  <c r="R514" i="9"/>
  <c r="R515" i="9"/>
  <c r="R516" i="9"/>
  <c r="R517" i="9"/>
  <c r="R518" i="9"/>
  <c r="R519" i="9"/>
  <c r="R520" i="9"/>
  <c r="R521" i="9"/>
  <c r="R522" i="9"/>
  <c r="R523" i="9"/>
  <c r="R524" i="9"/>
  <c r="R525" i="9"/>
  <c r="R526" i="9"/>
  <c r="R527" i="9"/>
  <c r="R528" i="9"/>
  <c r="R2" i="9"/>
  <c r="Q3" i="9"/>
  <c r="Q4" i="9"/>
  <c r="Q5" i="9"/>
  <c r="Q6" i="9"/>
  <c r="Q7" i="9"/>
  <c r="Q8" i="9"/>
  <c r="Q9" i="9"/>
  <c r="Q10" i="9"/>
  <c r="Q11" i="9"/>
  <c r="Q12" i="9"/>
  <c r="Q13" i="9"/>
  <c r="Q14" i="9"/>
  <c r="Q15" i="9"/>
  <c r="Q16" i="9"/>
  <c r="Q17" i="9"/>
  <c r="Q18" i="9"/>
  <c r="Q19" i="9"/>
  <c r="Q20" i="9"/>
  <c r="Q21" i="9"/>
  <c r="Q22" i="9"/>
  <c r="Q23" i="9"/>
  <c r="Q24" i="9"/>
  <c r="Q25" i="9"/>
  <c r="Q26" i="9"/>
  <c r="Q27" i="9"/>
  <c r="Q28" i="9"/>
  <c r="Q29" i="9"/>
  <c r="Q30" i="9"/>
  <c r="Q31"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Q60" i="9"/>
  <c r="Q61" i="9"/>
  <c r="Q62" i="9"/>
  <c r="Q63" i="9"/>
  <c r="Q64" i="9"/>
  <c r="Q65" i="9"/>
  <c r="Q66" i="9"/>
  <c r="Q67" i="9"/>
  <c r="Q68" i="9"/>
  <c r="Q69" i="9"/>
  <c r="Q70" i="9"/>
  <c r="Q71" i="9"/>
  <c r="Q72" i="9"/>
  <c r="Q73" i="9"/>
  <c r="Q74" i="9"/>
  <c r="Q75" i="9"/>
  <c r="Q76" i="9"/>
  <c r="Q77" i="9"/>
  <c r="Q78" i="9"/>
  <c r="Q79" i="9"/>
  <c r="Q80" i="9"/>
  <c r="Q81" i="9"/>
  <c r="Q82" i="9"/>
  <c r="Q83" i="9"/>
  <c r="Q84" i="9"/>
  <c r="Q85" i="9"/>
  <c r="Q86" i="9"/>
  <c r="Q87" i="9"/>
  <c r="Q88" i="9"/>
  <c r="Q89" i="9"/>
  <c r="Q90" i="9"/>
  <c r="Q91" i="9"/>
  <c r="Q92" i="9"/>
  <c r="Q93" i="9"/>
  <c r="Q94" i="9"/>
  <c r="Q95" i="9"/>
  <c r="Q96" i="9"/>
  <c r="Q97" i="9"/>
  <c r="Q98" i="9"/>
  <c r="Q99" i="9"/>
  <c r="Q100" i="9"/>
  <c r="Q101" i="9"/>
  <c r="Q102" i="9"/>
  <c r="Q103" i="9"/>
  <c r="Q104" i="9"/>
  <c r="Q105" i="9"/>
  <c r="Q106" i="9"/>
  <c r="Q107" i="9"/>
  <c r="Q108" i="9"/>
  <c r="Q109" i="9"/>
  <c r="Q110" i="9"/>
  <c r="Q111" i="9"/>
  <c r="Q112" i="9"/>
  <c r="Q113" i="9"/>
  <c r="Q114" i="9"/>
  <c r="Q115" i="9"/>
  <c r="Q116" i="9"/>
  <c r="Q117" i="9"/>
  <c r="Q118" i="9"/>
  <c r="Q119" i="9"/>
  <c r="Q120" i="9"/>
  <c r="Q121" i="9"/>
  <c r="Q122" i="9"/>
  <c r="Q123" i="9"/>
  <c r="Q124" i="9"/>
  <c r="Q125" i="9"/>
  <c r="Q126" i="9"/>
  <c r="Q127" i="9"/>
  <c r="Q128" i="9"/>
  <c r="Q129" i="9"/>
  <c r="Q130" i="9"/>
  <c r="Q131" i="9"/>
  <c r="Q132" i="9"/>
  <c r="Q133" i="9"/>
  <c r="Q134" i="9"/>
  <c r="Q135" i="9"/>
  <c r="Q136" i="9"/>
  <c r="Q137" i="9"/>
  <c r="Q138" i="9"/>
  <c r="Q139" i="9"/>
  <c r="Q140" i="9"/>
  <c r="Q141" i="9"/>
  <c r="Q142" i="9"/>
  <c r="Q143" i="9"/>
  <c r="Q144" i="9"/>
  <c r="Q145" i="9"/>
  <c r="Q146" i="9"/>
  <c r="Q147" i="9"/>
  <c r="Q148" i="9"/>
  <c r="Q149" i="9"/>
  <c r="Q150" i="9"/>
  <c r="Q151" i="9"/>
  <c r="Q152" i="9"/>
  <c r="Q153" i="9"/>
  <c r="Q154" i="9"/>
  <c r="Q155" i="9"/>
  <c r="Q156" i="9"/>
  <c r="Q157" i="9"/>
  <c r="Q158" i="9"/>
  <c r="Q159" i="9"/>
  <c r="Q160" i="9"/>
  <c r="Q161" i="9"/>
  <c r="Q162" i="9"/>
  <c r="Q163" i="9"/>
  <c r="Q164" i="9"/>
  <c r="Q165" i="9"/>
  <c r="Q166" i="9"/>
  <c r="Q167" i="9"/>
  <c r="Q168" i="9"/>
  <c r="Q169" i="9"/>
  <c r="Q170" i="9"/>
  <c r="Q171" i="9"/>
  <c r="Q172" i="9"/>
  <c r="Q173" i="9"/>
  <c r="Q174" i="9"/>
  <c r="Q175" i="9"/>
  <c r="Q176" i="9"/>
  <c r="Q177" i="9"/>
  <c r="Q178" i="9"/>
  <c r="Q179" i="9"/>
  <c r="Q180" i="9"/>
  <c r="Q181" i="9"/>
  <c r="Q182" i="9"/>
  <c r="Q183" i="9"/>
  <c r="Q184" i="9"/>
  <c r="Q185" i="9"/>
  <c r="Q186" i="9"/>
  <c r="Q187" i="9"/>
  <c r="Q188" i="9"/>
  <c r="Q189" i="9"/>
  <c r="Q190" i="9"/>
  <c r="Q191" i="9"/>
  <c r="Q192" i="9"/>
  <c r="Q193" i="9"/>
  <c r="Q194" i="9"/>
  <c r="Q195" i="9"/>
  <c r="Q196" i="9"/>
  <c r="Q197" i="9"/>
  <c r="Q198" i="9"/>
  <c r="Q199" i="9"/>
  <c r="Q200" i="9"/>
  <c r="Q201" i="9"/>
  <c r="Q202" i="9"/>
  <c r="Q203" i="9"/>
  <c r="Q204" i="9"/>
  <c r="Q205" i="9"/>
  <c r="Q206" i="9"/>
  <c r="Q207" i="9"/>
  <c r="Q208" i="9"/>
  <c r="Q209" i="9"/>
  <c r="Q210" i="9"/>
  <c r="Q211" i="9"/>
  <c r="Q212" i="9"/>
  <c r="Q213" i="9"/>
  <c r="Q214" i="9"/>
  <c r="Q215" i="9"/>
  <c r="Q216" i="9"/>
  <c r="Q217" i="9"/>
  <c r="Q218" i="9"/>
  <c r="Q219" i="9"/>
  <c r="Q220" i="9"/>
  <c r="Q221" i="9"/>
  <c r="Q222" i="9"/>
  <c r="Q223" i="9"/>
  <c r="Q224" i="9"/>
  <c r="Q225" i="9"/>
  <c r="Q226" i="9"/>
  <c r="Q227" i="9"/>
  <c r="Q228" i="9"/>
  <c r="Q229" i="9"/>
  <c r="Q230" i="9"/>
  <c r="Q231" i="9"/>
  <c r="Q232" i="9"/>
  <c r="Q233" i="9"/>
  <c r="Q234" i="9"/>
  <c r="Q235" i="9"/>
  <c r="Q236" i="9"/>
  <c r="Q237" i="9"/>
  <c r="Q238" i="9"/>
  <c r="Q239" i="9"/>
  <c r="Q240" i="9"/>
  <c r="Q241" i="9"/>
  <c r="Q242" i="9"/>
  <c r="Q243" i="9"/>
  <c r="Q244" i="9"/>
  <c r="Q245" i="9"/>
  <c r="Q246" i="9"/>
  <c r="Q247" i="9"/>
  <c r="Q248" i="9"/>
  <c r="Q249" i="9"/>
  <c r="Q250" i="9"/>
  <c r="Q251" i="9"/>
  <c r="Q252" i="9"/>
  <c r="Q253" i="9"/>
  <c r="Q254" i="9"/>
  <c r="Q255" i="9"/>
  <c r="Q256" i="9"/>
  <c r="Q257" i="9"/>
  <c r="Q258" i="9"/>
  <c r="Q259" i="9"/>
  <c r="Q260" i="9"/>
  <c r="Q261" i="9"/>
  <c r="Q262" i="9"/>
  <c r="Q263" i="9"/>
  <c r="Q264" i="9"/>
  <c r="Q265" i="9"/>
  <c r="Q266" i="9"/>
  <c r="Q267" i="9"/>
  <c r="Q268" i="9"/>
  <c r="Q269" i="9"/>
  <c r="Q270" i="9"/>
  <c r="Q271" i="9"/>
  <c r="Q272" i="9"/>
  <c r="Q273" i="9"/>
  <c r="Q274" i="9"/>
  <c r="Q275" i="9"/>
  <c r="Q276" i="9"/>
  <c r="Q277" i="9"/>
  <c r="Q278" i="9"/>
  <c r="Q279" i="9"/>
  <c r="Q280" i="9"/>
  <c r="Q281" i="9"/>
  <c r="Q282" i="9"/>
  <c r="Q283" i="9"/>
  <c r="Q284" i="9"/>
  <c r="Q285" i="9"/>
  <c r="Q286" i="9"/>
  <c r="Q287" i="9"/>
  <c r="Q288" i="9"/>
  <c r="Q289" i="9"/>
  <c r="Q290" i="9"/>
  <c r="Q291" i="9"/>
  <c r="Q292" i="9"/>
  <c r="Q293" i="9"/>
  <c r="Q294" i="9"/>
  <c r="Q295" i="9"/>
  <c r="Q296" i="9"/>
  <c r="Q297" i="9"/>
  <c r="Q298" i="9"/>
  <c r="Q299" i="9"/>
  <c r="Q300" i="9"/>
  <c r="Q301" i="9"/>
  <c r="Q302" i="9"/>
  <c r="Q303" i="9"/>
  <c r="Q304" i="9"/>
  <c r="Q305" i="9"/>
  <c r="Q306" i="9"/>
  <c r="Q307" i="9"/>
  <c r="Q308" i="9"/>
  <c r="Q309" i="9"/>
  <c r="Q310" i="9"/>
  <c r="Q311" i="9"/>
  <c r="Q312" i="9"/>
  <c r="Q313" i="9"/>
  <c r="Q314" i="9"/>
  <c r="Q315" i="9"/>
  <c r="Q316" i="9"/>
  <c r="Q317" i="9"/>
  <c r="Q318" i="9"/>
  <c r="Q319" i="9"/>
  <c r="Q320" i="9"/>
  <c r="Q321" i="9"/>
  <c r="Q322" i="9"/>
  <c r="Q323" i="9"/>
  <c r="Q324" i="9"/>
  <c r="Q325" i="9"/>
  <c r="Q326" i="9"/>
  <c r="Q327" i="9"/>
  <c r="Q328" i="9"/>
  <c r="Q329" i="9"/>
  <c r="Q330" i="9"/>
  <c r="Q331" i="9"/>
  <c r="Q332" i="9"/>
  <c r="Q333" i="9"/>
  <c r="Q334" i="9"/>
  <c r="Q335" i="9"/>
  <c r="Q336" i="9"/>
  <c r="Q337" i="9"/>
  <c r="Q338" i="9"/>
  <c r="Q339" i="9"/>
  <c r="Q340" i="9"/>
  <c r="Q341" i="9"/>
  <c r="Q342" i="9"/>
  <c r="Q343" i="9"/>
  <c r="Q344" i="9"/>
  <c r="Q345" i="9"/>
  <c r="Q346" i="9"/>
  <c r="Q347" i="9"/>
  <c r="Q348" i="9"/>
  <c r="Q349" i="9"/>
  <c r="Q350" i="9"/>
  <c r="Q351" i="9"/>
  <c r="Q352" i="9"/>
  <c r="Q353" i="9"/>
  <c r="Q354" i="9"/>
  <c r="Q355" i="9"/>
  <c r="Q356" i="9"/>
  <c r="Q357" i="9"/>
  <c r="Q358" i="9"/>
  <c r="Q359" i="9"/>
  <c r="Q360" i="9"/>
  <c r="Q361" i="9"/>
  <c r="Q362" i="9"/>
  <c r="Q363" i="9"/>
  <c r="Q364" i="9"/>
  <c r="Q365" i="9"/>
  <c r="Q366" i="9"/>
  <c r="Q367" i="9"/>
  <c r="Q368" i="9"/>
  <c r="Q369" i="9"/>
  <c r="Q370" i="9"/>
  <c r="Q371" i="9"/>
  <c r="Q372" i="9"/>
  <c r="Q373" i="9"/>
  <c r="Q374" i="9"/>
  <c r="Q375" i="9"/>
  <c r="Q376" i="9"/>
  <c r="Q377" i="9"/>
  <c r="Q378" i="9"/>
  <c r="Q379" i="9"/>
  <c r="Q380" i="9"/>
  <c r="Q381" i="9"/>
  <c r="Q382" i="9"/>
  <c r="Q383" i="9"/>
  <c r="Q384" i="9"/>
  <c r="Q385" i="9"/>
  <c r="Q386" i="9"/>
  <c r="Q387" i="9"/>
  <c r="Q388" i="9"/>
  <c r="Q389" i="9"/>
  <c r="Q390" i="9"/>
  <c r="Q391" i="9"/>
  <c r="Q392" i="9"/>
  <c r="Q393" i="9"/>
  <c r="Q394" i="9"/>
  <c r="Q395" i="9"/>
  <c r="Q396" i="9"/>
  <c r="Q397" i="9"/>
  <c r="Q398" i="9"/>
  <c r="Q399" i="9"/>
  <c r="Q400" i="9"/>
  <c r="Q401" i="9"/>
  <c r="Q402" i="9"/>
  <c r="Q403" i="9"/>
  <c r="Q404" i="9"/>
  <c r="Q405" i="9"/>
  <c r="Q406" i="9"/>
  <c r="Q407" i="9"/>
  <c r="Q408" i="9"/>
  <c r="Q409" i="9"/>
  <c r="Q410" i="9"/>
  <c r="Q411" i="9"/>
  <c r="Q412" i="9"/>
  <c r="Q413" i="9"/>
  <c r="Q414" i="9"/>
  <c r="Q415" i="9"/>
  <c r="Q416" i="9"/>
  <c r="Q417" i="9"/>
  <c r="Q418" i="9"/>
  <c r="Q419" i="9"/>
  <c r="Q420" i="9"/>
  <c r="Q421" i="9"/>
  <c r="Q422" i="9"/>
  <c r="Q423" i="9"/>
  <c r="Q424" i="9"/>
  <c r="Q425" i="9"/>
  <c r="Q426" i="9"/>
  <c r="Q427" i="9"/>
  <c r="Q428" i="9"/>
  <c r="Q429" i="9"/>
  <c r="Q430" i="9"/>
  <c r="Q431" i="9"/>
  <c r="Q432" i="9"/>
  <c r="Q433" i="9"/>
  <c r="Q434" i="9"/>
  <c r="Q435" i="9"/>
  <c r="Q436" i="9"/>
  <c r="Q437" i="9"/>
  <c r="Q438" i="9"/>
  <c r="Q439" i="9"/>
  <c r="Q440" i="9"/>
  <c r="Q441" i="9"/>
  <c r="Q442" i="9"/>
  <c r="Q443" i="9"/>
  <c r="Q444" i="9"/>
  <c r="Q445" i="9"/>
  <c r="Q446" i="9"/>
  <c r="Q447" i="9"/>
  <c r="Q448" i="9"/>
  <c r="Q449" i="9"/>
  <c r="Q450" i="9"/>
  <c r="Q451" i="9"/>
  <c r="Q452" i="9"/>
  <c r="Q453" i="9"/>
  <c r="Q454" i="9"/>
  <c r="Q455" i="9"/>
  <c r="Q456" i="9"/>
  <c r="Q457" i="9"/>
  <c r="Q458" i="9"/>
  <c r="Q459" i="9"/>
  <c r="Q460" i="9"/>
  <c r="Q461" i="9"/>
  <c r="Q462" i="9"/>
  <c r="Q463" i="9"/>
  <c r="Q464" i="9"/>
  <c r="Q465" i="9"/>
  <c r="Q466" i="9"/>
  <c r="Q467" i="9"/>
  <c r="Q468" i="9"/>
  <c r="Q469" i="9"/>
  <c r="Q470" i="9"/>
  <c r="Q471" i="9"/>
  <c r="Q472" i="9"/>
  <c r="Q473" i="9"/>
  <c r="Q474" i="9"/>
  <c r="Q475" i="9"/>
  <c r="Q476" i="9"/>
  <c r="Q477" i="9"/>
  <c r="Q478" i="9"/>
  <c r="Q479" i="9"/>
  <c r="Q480" i="9"/>
  <c r="Q481" i="9"/>
  <c r="Q482" i="9"/>
  <c r="Q483" i="9"/>
  <c r="Q484" i="9"/>
  <c r="Q485" i="9"/>
  <c r="Q486" i="9"/>
  <c r="Q487" i="9"/>
  <c r="Q488" i="9"/>
  <c r="Q489" i="9"/>
  <c r="Q490" i="9"/>
  <c r="Q491" i="9"/>
  <c r="Q492" i="9"/>
  <c r="Q493" i="9"/>
  <c r="Q494" i="9"/>
  <c r="Q495" i="9"/>
  <c r="Q496" i="9"/>
  <c r="Q497" i="9"/>
  <c r="Q498" i="9"/>
  <c r="Q499" i="9"/>
  <c r="Q500" i="9"/>
  <c r="Q501" i="9"/>
  <c r="Q502" i="9"/>
  <c r="Q503" i="9"/>
  <c r="Q504" i="9"/>
  <c r="Q505" i="9"/>
  <c r="Q506" i="9"/>
  <c r="Q507" i="9"/>
  <c r="Q508" i="9"/>
  <c r="Q509" i="9"/>
  <c r="Q510" i="9"/>
  <c r="Q511" i="9"/>
  <c r="Q512" i="9"/>
  <c r="Q513" i="9"/>
  <c r="Q514" i="9"/>
  <c r="Q515" i="9"/>
  <c r="Q516" i="9"/>
  <c r="Q517" i="9"/>
  <c r="Q518" i="9"/>
  <c r="Q519" i="9"/>
  <c r="Q520" i="9"/>
  <c r="Q521" i="9"/>
  <c r="Q522" i="9"/>
  <c r="Q523" i="9"/>
  <c r="Q524" i="9"/>
  <c r="Q525" i="9"/>
  <c r="Q526" i="9"/>
  <c r="Q527" i="9"/>
  <c r="Q528" i="9"/>
  <c r="Q2" i="9"/>
  <c r="P3" i="9"/>
  <c r="P4" i="9"/>
  <c r="P5" i="9"/>
  <c r="P6" i="9"/>
  <c r="P7" i="9"/>
  <c r="P8" i="9"/>
  <c r="P9" i="9"/>
  <c r="P10" i="9"/>
  <c r="P11" i="9"/>
  <c r="P12" i="9"/>
  <c r="P13" i="9"/>
  <c r="P14" i="9"/>
  <c r="P15" i="9"/>
  <c r="P16" i="9"/>
  <c r="P17" i="9"/>
  <c r="P18" i="9"/>
  <c r="P19" i="9"/>
  <c r="P20" i="9"/>
  <c r="P21" i="9"/>
  <c r="P22" i="9"/>
  <c r="P23" i="9"/>
  <c r="P24" i="9"/>
  <c r="P25" i="9"/>
  <c r="P26" i="9"/>
  <c r="P27" i="9"/>
  <c r="P28" i="9"/>
  <c r="P29" i="9"/>
  <c r="P30" i="9"/>
  <c r="P31" i="9"/>
  <c r="P32" i="9"/>
  <c r="P33" i="9"/>
  <c r="P34" i="9"/>
  <c r="P35" i="9"/>
  <c r="P36" i="9"/>
  <c r="P37" i="9"/>
  <c r="P38" i="9"/>
  <c r="P39" i="9"/>
  <c r="P40" i="9"/>
  <c r="P41" i="9"/>
  <c r="P42" i="9"/>
  <c r="P43" i="9"/>
  <c r="P44" i="9"/>
  <c r="P45" i="9"/>
  <c r="P46" i="9"/>
  <c r="P47" i="9"/>
  <c r="P48" i="9"/>
  <c r="P49" i="9"/>
  <c r="P50" i="9"/>
  <c r="P51" i="9"/>
  <c r="P52" i="9"/>
  <c r="P53" i="9"/>
  <c r="P54" i="9"/>
  <c r="P55" i="9"/>
  <c r="P56" i="9"/>
  <c r="P57" i="9"/>
  <c r="P58" i="9"/>
  <c r="P59" i="9"/>
  <c r="P60" i="9"/>
  <c r="P61" i="9"/>
  <c r="P62" i="9"/>
  <c r="P63" i="9"/>
  <c r="P64" i="9"/>
  <c r="P65" i="9"/>
  <c r="P66" i="9"/>
  <c r="P67" i="9"/>
  <c r="P68" i="9"/>
  <c r="P69" i="9"/>
  <c r="P70" i="9"/>
  <c r="P71" i="9"/>
  <c r="P72" i="9"/>
  <c r="P73" i="9"/>
  <c r="P74" i="9"/>
  <c r="P75" i="9"/>
  <c r="P76" i="9"/>
  <c r="P77" i="9"/>
  <c r="P78" i="9"/>
  <c r="P79" i="9"/>
  <c r="P80" i="9"/>
  <c r="P81" i="9"/>
  <c r="P82" i="9"/>
  <c r="P83" i="9"/>
  <c r="P84" i="9"/>
  <c r="P85" i="9"/>
  <c r="P86" i="9"/>
  <c r="P87" i="9"/>
  <c r="P88" i="9"/>
  <c r="P89" i="9"/>
  <c r="P90" i="9"/>
  <c r="P91" i="9"/>
  <c r="P92" i="9"/>
  <c r="P93" i="9"/>
  <c r="P94" i="9"/>
  <c r="P95" i="9"/>
  <c r="P96" i="9"/>
  <c r="P97" i="9"/>
  <c r="P98" i="9"/>
  <c r="P99" i="9"/>
  <c r="P100" i="9"/>
  <c r="P101" i="9"/>
  <c r="P102" i="9"/>
  <c r="P103" i="9"/>
  <c r="P104" i="9"/>
  <c r="P105" i="9"/>
  <c r="P106" i="9"/>
  <c r="P107" i="9"/>
  <c r="P108" i="9"/>
  <c r="P109" i="9"/>
  <c r="P110" i="9"/>
  <c r="P111" i="9"/>
  <c r="P112" i="9"/>
  <c r="P113" i="9"/>
  <c r="P114" i="9"/>
  <c r="P115" i="9"/>
  <c r="P116" i="9"/>
  <c r="P117" i="9"/>
  <c r="P118" i="9"/>
  <c r="P119" i="9"/>
  <c r="P120" i="9"/>
  <c r="P121" i="9"/>
  <c r="P122" i="9"/>
  <c r="P123" i="9"/>
  <c r="P124" i="9"/>
  <c r="P125" i="9"/>
  <c r="P126" i="9"/>
  <c r="P127" i="9"/>
  <c r="P128" i="9"/>
  <c r="P129" i="9"/>
  <c r="P130" i="9"/>
  <c r="P131" i="9"/>
  <c r="P132" i="9"/>
  <c r="P133" i="9"/>
  <c r="P134" i="9"/>
  <c r="P135" i="9"/>
  <c r="P136" i="9"/>
  <c r="P137" i="9"/>
  <c r="P138" i="9"/>
  <c r="P139" i="9"/>
  <c r="P140" i="9"/>
  <c r="P141" i="9"/>
  <c r="P142" i="9"/>
  <c r="P143" i="9"/>
  <c r="P144" i="9"/>
  <c r="P145" i="9"/>
  <c r="P146" i="9"/>
  <c r="P147" i="9"/>
  <c r="P148" i="9"/>
  <c r="P149" i="9"/>
  <c r="P150" i="9"/>
  <c r="P151" i="9"/>
  <c r="P152" i="9"/>
  <c r="P153" i="9"/>
  <c r="P154" i="9"/>
  <c r="P155" i="9"/>
  <c r="P156" i="9"/>
  <c r="P157" i="9"/>
  <c r="P158" i="9"/>
  <c r="P159" i="9"/>
  <c r="P160" i="9"/>
  <c r="P161" i="9"/>
  <c r="P162" i="9"/>
  <c r="P163" i="9"/>
  <c r="P164" i="9"/>
  <c r="P165" i="9"/>
  <c r="P166" i="9"/>
  <c r="P167" i="9"/>
  <c r="P168" i="9"/>
  <c r="P169" i="9"/>
  <c r="P170" i="9"/>
  <c r="P171" i="9"/>
  <c r="P172" i="9"/>
  <c r="P173" i="9"/>
  <c r="P174" i="9"/>
  <c r="P175" i="9"/>
  <c r="P176" i="9"/>
  <c r="P177" i="9"/>
  <c r="P178" i="9"/>
  <c r="P179" i="9"/>
  <c r="P180" i="9"/>
  <c r="P181" i="9"/>
  <c r="P182" i="9"/>
  <c r="P183" i="9"/>
  <c r="P184" i="9"/>
  <c r="P185" i="9"/>
  <c r="P186" i="9"/>
  <c r="P187" i="9"/>
  <c r="P188" i="9"/>
  <c r="P189" i="9"/>
  <c r="P190" i="9"/>
  <c r="P191" i="9"/>
  <c r="P192" i="9"/>
  <c r="P193" i="9"/>
  <c r="P194" i="9"/>
  <c r="P195" i="9"/>
  <c r="P196" i="9"/>
  <c r="P197" i="9"/>
  <c r="P198" i="9"/>
  <c r="P199" i="9"/>
  <c r="P200" i="9"/>
  <c r="P201" i="9"/>
  <c r="P202" i="9"/>
  <c r="P203" i="9"/>
  <c r="P204" i="9"/>
  <c r="P205" i="9"/>
  <c r="P206" i="9"/>
  <c r="P207" i="9"/>
  <c r="P208" i="9"/>
  <c r="P209" i="9"/>
  <c r="P210" i="9"/>
  <c r="P211" i="9"/>
  <c r="P212" i="9"/>
  <c r="P213" i="9"/>
  <c r="P214" i="9"/>
  <c r="P215" i="9"/>
  <c r="P216" i="9"/>
  <c r="P217" i="9"/>
  <c r="P218" i="9"/>
  <c r="P219" i="9"/>
  <c r="P220" i="9"/>
  <c r="P221" i="9"/>
  <c r="P222" i="9"/>
  <c r="P223" i="9"/>
  <c r="P224" i="9"/>
  <c r="P225" i="9"/>
  <c r="P226" i="9"/>
  <c r="P227" i="9"/>
  <c r="P228" i="9"/>
  <c r="P229" i="9"/>
  <c r="P230" i="9"/>
  <c r="P231" i="9"/>
  <c r="P232" i="9"/>
  <c r="P233" i="9"/>
  <c r="P234" i="9"/>
  <c r="P235" i="9"/>
  <c r="P236" i="9"/>
  <c r="P237" i="9"/>
  <c r="P238" i="9"/>
  <c r="P239" i="9"/>
  <c r="P240" i="9"/>
  <c r="P241" i="9"/>
  <c r="P242" i="9"/>
  <c r="P243" i="9"/>
  <c r="P244" i="9"/>
  <c r="P245" i="9"/>
  <c r="P246" i="9"/>
  <c r="P247" i="9"/>
  <c r="P248" i="9"/>
  <c r="P249" i="9"/>
  <c r="P250" i="9"/>
  <c r="P251" i="9"/>
  <c r="P252" i="9"/>
  <c r="P253" i="9"/>
  <c r="P254" i="9"/>
  <c r="P255" i="9"/>
  <c r="P256" i="9"/>
  <c r="P257" i="9"/>
  <c r="P258" i="9"/>
  <c r="P259" i="9"/>
  <c r="P260" i="9"/>
  <c r="P261" i="9"/>
  <c r="P262" i="9"/>
  <c r="P263" i="9"/>
  <c r="P264" i="9"/>
  <c r="P265" i="9"/>
  <c r="P266" i="9"/>
  <c r="P267" i="9"/>
  <c r="P268" i="9"/>
  <c r="P269" i="9"/>
  <c r="P270" i="9"/>
  <c r="P271" i="9"/>
  <c r="P272" i="9"/>
  <c r="P273" i="9"/>
  <c r="P274" i="9"/>
  <c r="P275" i="9"/>
  <c r="P276" i="9"/>
  <c r="P277" i="9"/>
  <c r="P278" i="9"/>
  <c r="P279" i="9"/>
  <c r="P280" i="9"/>
  <c r="P281" i="9"/>
  <c r="P282" i="9"/>
  <c r="P283" i="9"/>
  <c r="P284" i="9"/>
  <c r="P285" i="9"/>
  <c r="P286" i="9"/>
  <c r="P287" i="9"/>
  <c r="P288" i="9"/>
  <c r="P289" i="9"/>
  <c r="P290" i="9"/>
  <c r="P291" i="9"/>
  <c r="P292" i="9"/>
  <c r="P293" i="9"/>
  <c r="P294" i="9"/>
  <c r="P295" i="9"/>
  <c r="P296" i="9"/>
  <c r="P297" i="9"/>
  <c r="P298" i="9"/>
  <c r="P299" i="9"/>
  <c r="P300" i="9"/>
  <c r="P301" i="9"/>
  <c r="P302" i="9"/>
  <c r="P303" i="9"/>
  <c r="P304" i="9"/>
  <c r="P305" i="9"/>
  <c r="P306" i="9"/>
  <c r="P307" i="9"/>
  <c r="P308" i="9"/>
  <c r="P309" i="9"/>
  <c r="P310" i="9"/>
  <c r="P311" i="9"/>
  <c r="P312" i="9"/>
  <c r="P313" i="9"/>
  <c r="P314" i="9"/>
  <c r="P315" i="9"/>
  <c r="P316" i="9"/>
  <c r="P317" i="9"/>
  <c r="P318" i="9"/>
  <c r="P319" i="9"/>
  <c r="P320" i="9"/>
  <c r="P321" i="9"/>
  <c r="P322" i="9"/>
  <c r="P323" i="9"/>
  <c r="P324" i="9"/>
  <c r="P325" i="9"/>
  <c r="P326" i="9"/>
  <c r="P327" i="9"/>
  <c r="P328" i="9"/>
  <c r="P329" i="9"/>
  <c r="P330" i="9"/>
  <c r="P331" i="9"/>
  <c r="P332" i="9"/>
  <c r="P333" i="9"/>
  <c r="P334" i="9"/>
  <c r="P335" i="9"/>
  <c r="P336" i="9"/>
  <c r="P337" i="9"/>
  <c r="P338" i="9"/>
  <c r="P339" i="9"/>
  <c r="P340" i="9"/>
  <c r="P341" i="9"/>
  <c r="P342" i="9"/>
  <c r="P343" i="9"/>
  <c r="P344" i="9"/>
  <c r="P345" i="9"/>
  <c r="P346" i="9"/>
  <c r="P347" i="9"/>
  <c r="P348" i="9"/>
  <c r="P349" i="9"/>
  <c r="P350" i="9"/>
  <c r="P351" i="9"/>
  <c r="P352" i="9"/>
  <c r="P353" i="9"/>
  <c r="P354" i="9"/>
  <c r="P355" i="9"/>
  <c r="P356" i="9"/>
  <c r="P357" i="9"/>
  <c r="P358" i="9"/>
  <c r="P359" i="9"/>
  <c r="P360" i="9"/>
  <c r="P361" i="9"/>
  <c r="P362" i="9"/>
  <c r="P363" i="9"/>
  <c r="P364" i="9"/>
  <c r="P365" i="9"/>
  <c r="P366" i="9"/>
  <c r="P367" i="9"/>
  <c r="P368" i="9"/>
  <c r="P369" i="9"/>
  <c r="P370" i="9"/>
  <c r="P371" i="9"/>
  <c r="P372" i="9"/>
  <c r="P373" i="9"/>
  <c r="P374" i="9"/>
  <c r="P375" i="9"/>
  <c r="P376" i="9"/>
  <c r="P377" i="9"/>
  <c r="P378" i="9"/>
  <c r="P379" i="9"/>
  <c r="P380" i="9"/>
  <c r="P381" i="9"/>
  <c r="P382" i="9"/>
  <c r="P383" i="9"/>
  <c r="P384" i="9"/>
  <c r="P385" i="9"/>
  <c r="P386" i="9"/>
  <c r="P387" i="9"/>
  <c r="P388" i="9"/>
  <c r="P389" i="9"/>
  <c r="P390" i="9"/>
  <c r="P391" i="9"/>
  <c r="P392" i="9"/>
  <c r="P393" i="9"/>
  <c r="P394" i="9"/>
  <c r="P395" i="9"/>
  <c r="P396" i="9"/>
  <c r="P397" i="9"/>
  <c r="P398" i="9"/>
  <c r="P399" i="9"/>
  <c r="P400" i="9"/>
  <c r="P401" i="9"/>
  <c r="P402" i="9"/>
  <c r="P403" i="9"/>
  <c r="P404" i="9"/>
  <c r="P405" i="9"/>
  <c r="P406" i="9"/>
  <c r="P407" i="9"/>
  <c r="P408" i="9"/>
  <c r="P409" i="9"/>
  <c r="P410" i="9"/>
  <c r="P411" i="9"/>
  <c r="P412" i="9"/>
  <c r="P413" i="9"/>
  <c r="P414" i="9"/>
  <c r="P415" i="9"/>
  <c r="P416" i="9"/>
  <c r="P417" i="9"/>
  <c r="P418" i="9"/>
  <c r="P419" i="9"/>
  <c r="P420" i="9"/>
  <c r="P421" i="9"/>
  <c r="P422" i="9"/>
  <c r="P423" i="9"/>
  <c r="P424" i="9"/>
  <c r="P425" i="9"/>
  <c r="P426" i="9"/>
  <c r="P427" i="9"/>
  <c r="P428" i="9"/>
  <c r="P429" i="9"/>
  <c r="P430" i="9"/>
  <c r="P431" i="9"/>
  <c r="P432" i="9"/>
  <c r="P433" i="9"/>
  <c r="P434" i="9"/>
  <c r="P435" i="9"/>
  <c r="P436" i="9"/>
  <c r="P437" i="9"/>
  <c r="P438" i="9"/>
  <c r="P439" i="9"/>
  <c r="P440" i="9"/>
  <c r="P441" i="9"/>
  <c r="P442" i="9"/>
  <c r="P443" i="9"/>
  <c r="P444" i="9"/>
  <c r="P445" i="9"/>
  <c r="P446" i="9"/>
  <c r="P447" i="9"/>
  <c r="P448" i="9"/>
  <c r="P449" i="9"/>
  <c r="P450" i="9"/>
  <c r="P451" i="9"/>
  <c r="P452" i="9"/>
  <c r="P453" i="9"/>
  <c r="P454" i="9"/>
  <c r="P455" i="9"/>
  <c r="P456" i="9"/>
  <c r="P457" i="9"/>
  <c r="P458" i="9"/>
  <c r="P459" i="9"/>
  <c r="P460" i="9"/>
  <c r="P461" i="9"/>
  <c r="P462" i="9"/>
  <c r="P463" i="9"/>
  <c r="P464" i="9"/>
  <c r="P465" i="9"/>
  <c r="P466" i="9"/>
  <c r="P467" i="9"/>
  <c r="P468" i="9"/>
  <c r="P469" i="9"/>
  <c r="P470" i="9"/>
  <c r="P471" i="9"/>
  <c r="P472" i="9"/>
  <c r="P473" i="9"/>
  <c r="P474" i="9"/>
  <c r="P475" i="9"/>
  <c r="P476" i="9"/>
  <c r="P477" i="9"/>
  <c r="P478" i="9"/>
  <c r="P479" i="9"/>
  <c r="P480" i="9"/>
  <c r="P481" i="9"/>
  <c r="P482" i="9"/>
  <c r="P483" i="9"/>
  <c r="P484" i="9"/>
  <c r="P485" i="9"/>
  <c r="P486" i="9"/>
  <c r="P487" i="9"/>
  <c r="P488" i="9"/>
  <c r="P489" i="9"/>
  <c r="P490" i="9"/>
  <c r="P491" i="9"/>
  <c r="P492" i="9"/>
  <c r="P493" i="9"/>
  <c r="P494" i="9"/>
  <c r="P495" i="9"/>
  <c r="P496" i="9"/>
  <c r="P497" i="9"/>
  <c r="P498" i="9"/>
  <c r="P499" i="9"/>
  <c r="P500" i="9"/>
  <c r="P501" i="9"/>
  <c r="P502" i="9"/>
  <c r="P503" i="9"/>
  <c r="P504" i="9"/>
  <c r="P505" i="9"/>
  <c r="P506" i="9"/>
  <c r="P507" i="9"/>
  <c r="P508" i="9"/>
  <c r="P509" i="9"/>
  <c r="P510" i="9"/>
  <c r="P511" i="9"/>
  <c r="P512" i="9"/>
  <c r="P513" i="9"/>
  <c r="P514" i="9"/>
  <c r="P515" i="9"/>
  <c r="P516" i="9"/>
  <c r="P517" i="9"/>
  <c r="P518" i="9"/>
  <c r="P519" i="9"/>
  <c r="P520" i="9"/>
  <c r="P521" i="9"/>
  <c r="P522" i="9"/>
  <c r="P523" i="9"/>
  <c r="P524" i="9"/>
  <c r="P525" i="9"/>
  <c r="P526" i="9"/>
  <c r="P527" i="9"/>
  <c r="P528" i="9"/>
  <c r="P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287" i="9"/>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O413" i="9"/>
  <c r="O414" i="9"/>
  <c r="O415" i="9"/>
  <c r="O416" i="9"/>
  <c r="O417" i="9"/>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O452" i="9"/>
  <c r="O453" i="9"/>
  <c r="O454" i="9"/>
  <c r="O455" i="9"/>
  <c r="O456" i="9"/>
  <c r="O457" i="9"/>
  <c r="O458" i="9"/>
  <c r="O459" i="9"/>
  <c r="O460" i="9"/>
  <c r="O461" i="9"/>
  <c r="O462" i="9"/>
  <c r="O463" i="9"/>
  <c r="O464" i="9"/>
  <c r="O465" i="9"/>
  <c r="O466" i="9"/>
  <c r="O467" i="9"/>
  <c r="O468" i="9"/>
  <c r="O469" i="9"/>
  <c r="O470" i="9"/>
  <c r="O471" i="9"/>
  <c r="O472" i="9"/>
  <c r="O473" i="9"/>
  <c r="O474" i="9"/>
  <c r="O475" i="9"/>
  <c r="O476" i="9"/>
  <c r="O477" i="9"/>
  <c r="O478" i="9"/>
  <c r="O479" i="9"/>
  <c r="O480" i="9"/>
  <c r="O481" i="9"/>
  <c r="O482" i="9"/>
  <c r="O483" i="9"/>
  <c r="O484" i="9"/>
  <c r="O485" i="9"/>
  <c r="O486" i="9"/>
  <c r="O487" i="9"/>
  <c r="O488" i="9"/>
  <c r="O489" i="9"/>
  <c r="O490" i="9"/>
  <c r="O491" i="9"/>
  <c r="O492" i="9"/>
  <c r="O493" i="9"/>
  <c r="O494" i="9"/>
  <c r="O495" i="9"/>
  <c r="O496" i="9"/>
  <c r="O497" i="9"/>
  <c r="O498" i="9"/>
  <c r="O499" i="9"/>
  <c r="O500" i="9"/>
  <c r="O501" i="9"/>
  <c r="O502" i="9"/>
  <c r="O503" i="9"/>
  <c r="O504" i="9"/>
  <c r="O505" i="9"/>
  <c r="O506" i="9"/>
  <c r="O507" i="9"/>
  <c r="O508" i="9"/>
  <c r="O509" i="9"/>
  <c r="O510" i="9"/>
  <c r="O511" i="9"/>
  <c r="O512" i="9"/>
  <c r="O513" i="9"/>
  <c r="O514" i="9"/>
  <c r="O515" i="9"/>
  <c r="O516" i="9"/>
  <c r="O517" i="9"/>
  <c r="O518" i="9"/>
  <c r="O519" i="9"/>
  <c r="O520" i="9"/>
  <c r="O521" i="9"/>
  <c r="O522" i="9"/>
  <c r="O523" i="9"/>
  <c r="O524" i="9"/>
  <c r="O525" i="9"/>
  <c r="O526" i="9"/>
  <c r="O527" i="9"/>
  <c r="O528"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2" i="9"/>
  <c r="O2" i="9" s="1"/>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141" i="9"/>
  <c r="M142" i="9"/>
  <c r="M143" i="9"/>
  <c r="M144" i="9"/>
  <c r="M145"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205" i="9"/>
  <c r="M206" i="9"/>
  <c r="M207" i="9"/>
  <c r="M208" i="9"/>
  <c r="M209" i="9"/>
  <c r="M210" i="9"/>
  <c r="M211" i="9"/>
  <c r="M212" i="9"/>
  <c r="M213" i="9"/>
  <c r="M214" i="9"/>
  <c r="M215" i="9"/>
  <c r="M216" i="9"/>
  <c r="M217" i="9"/>
  <c r="M218" i="9"/>
  <c r="M219" i="9"/>
  <c r="M220" i="9"/>
  <c r="M221" i="9"/>
  <c r="M222" i="9"/>
  <c r="M223" i="9"/>
  <c r="M224" i="9"/>
  <c r="M225" i="9"/>
  <c r="M226" i="9"/>
  <c r="M227" i="9"/>
  <c r="M228" i="9"/>
  <c r="M229" i="9"/>
  <c r="M230" i="9"/>
  <c r="M231" i="9"/>
  <c r="M232" i="9"/>
  <c r="M233" i="9"/>
  <c r="M234" i="9"/>
  <c r="M235" i="9"/>
  <c r="M236" i="9"/>
  <c r="M237" i="9"/>
  <c r="M238" i="9"/>
  <c r="M239" i="9"/>
  <c r="M240" i="9"/>
  <c r="M241" i="9"/>
  <c r="M242" i="9"/>
  <c r="M243" i="9"/>
  <c r="M244" i="9"/>
  <c r="M245" i="9"/>
  <c r="M246" i="9"/>
  <c r="M247" i="9"/>
  <c r="M248" i="9"/>
  <c r="M249" i="9"/>
  <c r="M250" i="9"/>
  <c r="M251" i="9"/>
  <c r="M252" i="9"/>
  <c r="M253" i="9"/>
  <c r="M254" i="9"/>
  <c r="M255" i="9"/>
  <c r="M256" i="9"/>
  <c r="M257" i="9"/>
  <c r="M258" i="9"/>
  <c r="M259" i="9"/>
  <c r="M260" i="9"/>
  <c r="M261" i="9"/>
  <c r="M262" i="9"/>
  <c r="M263" i="9"/>
  <c r="M264" i="9"/>
  <c r="M265" i="9"/>
  <c r="M266" i="9"/>
  <c r="M267" i="9"/>
  <c r="M268" i="9"/>
  <c r="M269" i="9"/>
  <c r="M270" i="9"/>
  <c r="M271" i="9"/>
  <c r="M272" i="9"/>
  <c r="M273" i="9"/>
  <c r="M274" i="9"/>
  <c r="M275" i="9"/>
  <c r="M276" i="9"/>
  <c r="M277" i="9"/>
  <c r="M278" i="9"/>
  <c r="M279" i="9"/>
  <c r="M280" i="9"/>
  <c r="M281" i="9"/>
  <c r="M282" i="9"/>
  <c r="M283" i="9"/>
  <c r="M284" i="9"/>
  <c r="M285" i="9"/>
  <c r="M286" i="9"/>
  <c r="M287" i="9"/>
  <c r="M288" i="9"/>
  <c r="M289" i="9"/>
  <c r="M290" i="9"/>
  <c r="M291" i="9"/>
  <c r="M292" i="9"/>
  <c r="M293" i="9"/>
  <c r="M294" i="9"/>
  <c r="M295" i="9"/>
  <c r="M296" i="9"/>
  <c r="M297" i="9"/>
  <c r="M298" i="9"/>
  <c r="M299" i="9"/>
  <c r="M300" i="9"/>
  <c r="M301" i="9"/>
  <c r="M302" i="9"/>
  <c r="M303" i="9"/>
  <c r="M304" i="9"/>
  <c r="M305" i="9"/>
  <c r="M306" i="9"/>
  <c r="M307" i="9"/>
  <c r="M308" i="9"/>
  <c r="M309" i="9"/>
  <c r="M310" i="9"/>
  <c r="M311" i="9"/>
  <c r="M312" i="9"/>
  <c r="M313" i="9"/>
  <c r="M314" i="9"/>
  <c r="M315" i="9"/>
  <c r="M316" i="9"/>
  <c r="M317" i="9"/>
  <c r="M318" i="9"/>
  <c r="M319" i="9"/>
  <c r="M320" i="9"/>
  <c r="M321" i="9"/>
  <c r="M322" i="9"/>
  <c r="M323" i="9"/>
  <c r="M324" i="9"/>
  <c r="M325" i="9"/>
  <c r="M326" i="9"/>
  <c r="M327" i="9"/>
  <c r="M328" i="9"/>
  <c r="M329" i="9"/>
  <c r="M330" i="9"/>
  <c r="M331" i="9"/>
  <c r="M332" i="9"/>
  <c r="M333" i="9"/>
  <c r="M334" i="9"/>
  <c r="M335" i="9"/>
  <c r="M336" i="9"/>
  <c r="M337" i="9"/>
  <c r="M338" i="9"/>
  <c r="M339" i="9"/>
  <c r="M340" i="9"/>
  <c r="M341" i="9"/>
  <c r="M342" i="9"/>
  <c r="M343" i="9"/>
  <c r="M344" i="9"/>
  <c r="M345" i="9"/>
  <c r="M346" i="9"/>
  <c r="M347" i="9"/>
  <c r="M348" i="9"/>
  <c r="M349" i="9"/>
  <c r="M350" i="9"/>
  <c r="M351" i="9"/>
  <c r="M352" i="9"/>
  <c r="M353" i="9"/>
  <c r="M354" i="9"/>
  <c r="M355" i="9"/>
  <c r="M356" i="9"/>
  <c r="M357" i="9"/>
  <c r="M358" i="9"/>
  <c r="M359" i="9"/>
  <c r="M360" i="9"/>
  <c r="M361" i="9"/>
  <c r="M362" i="9"/>
  <c r="M363" i="9"/>
  <c r="M364" i="9"/>
  <c r="M365" i="9"/>
  <c r="M366" i="9"/>
  <c r="M367" i="9"/>
  <c r="M368" i="9"/>
  <c r="M369" i="9"/>
  <c r="M370" i="9"/>
  <c r="M371" i="9"/>
  <c r="M372" i="9"/>
  <c r="M373" i="9"/>
  <c r="M374" i="9"/>
  <c r="M375" i="9"/>
  <c r="M376" i="9"/>
  <c r="M377" i="9"/>
  <c r="M378" i="9"/>
  <c r="M379" i="9"/>
  <c r="M380" i="9"/>
  <c r="M381" i="9"/>
  <c r="M382" i="9"/>
  <c r="M383" i="9"/>
  <c r="M384" i="9"/>
  <c r="M385" i="9"/>
  <c r="M386" i="9"/>
  <c r="M387" i="9"/>
  <c r="M388" i="9"/>
  <c r="M389" i="9"/>
  <c r="M390" i="9"/>
  <c r="M391" i="9"/>
  <c r="M392" i="9"/>
  <c r="M393" i="9"/>
  <c r="M394" i="9"/>
  <c r="M395" i="9"/>
  <c r="M396" i="9"/>
  <c r="M397" i="9"/>
  <c r="M398" i="9"/>
  <c r="M399" i="9"/>
  <c r="M400" i="9"/>
  <c r="M401" i="9"/>
  <c r="M402" i="9"/>
  <c r="M403" i="9"/>
  <c r="M404" i="9"/>
  <c r="M405" i="9"/>
  <c r="M406" i="9"/>
  <c r="M407" i="9"/>
  <c r="M408" i="9"/>
  <c r="M409" i="9"/>
  <c r="M410" i="9"/>
  <c r="M411" i="9"/>
  <c r="M412" i="9"/>
  <c r="M413" i="9"/>
  <c r="M414" i="9"/>
  <c r="M415" i="9"/>
  <c r="M416" i="9"/>
  <c r="M417" i="9"/>
  <c r="M418" i="9"/>
  <c r="M419" i="9"/>
  <c r="M420" i="9"/>
  <c r="M421" i="9"/>
  <c r="M422" i="9"/>
  <c r="M423" i="9"/>
  <c r="M424" i="9"/>
  <c r="M425" i="9"/>
  <c r="M426" i="9"/>
  <c r="M427" i="9"/>
  <c r="M428" i="9"/>
  <c r="M429" i="9"/>
  <c r="M430" i="9"/>
  <c r="M431" i="9"/>
  <c r="M432" i="9"/>
  <c r="M433" i="9"/>
  <c r="M434" i="9"/>
  <c r="M435" i="9"/>
  <c r="M436" i="9"/>
  <c r="M437" i="9"/>
  <c r="M438" i="9"/>
  <c r="M439" i="9"/>
  <c r="M440" i="9"/>
  <c r="M441" i="9"/>
  <c r="M442" i="9"/>
  <c r="M443" i="9"/>
  <c r="M444" i="9"/>
  <c r="M445" i="9"/>
  <c r="M446" i="9"/>
  <c r="M447" i="9"/>
  <c r="M448" i="9"/>
  <c r="M449" i="9"/>
  <c r="M450" i="9"/>
  <c r="M451" i="9"/>
  <c r="M452" i="9"/>
  <c r="M453" i="9"/>
  <c r="M454" i="9"/>
  <c r="M455" i="9"/>
  <c r="M456" i="9"/>
  <c r="M457" i="9"/>
  <c r="M458" i="9"/>
  <c r="M459" i="9"/>
  <c r="M460" i="9"/>
  <c r="M461" i="9"/>
  <c r="M462" i="9"/>
  <c r="M463" i="9"/>
  <c r="M464" i="9"/>
  <c r="M465" i="9"/>
  <c r="M466" i="9"/>
  <c r="M467" i="9"/>
  <c r="M468" i="9"/>
  <c r="M469" i="9"/>
  <c r="M470" i="9"/>
  <c r="M471" i="9"/>
  <c r="M472" i="9"/>
  <c r="M473" i="9"/>
  <c r="M474" i="9"/>
  <c r="M475" i="9"/>
  <c r="M476" i="9"/>
  <c r="M477" i="9"/>
  <c r="M478" i="9"/>
  <c r="M479" i="9"/>
  <c r="M480" i="9"/>
  <c r="M481" i="9"/>
  <c r="M482" i="9"/>
  <c r="M483" i="9"/>
  <c r="M484" i="9"/>
  <c r="M485" i="9"/>
  <c r="M486" i="9"/>
  <c r="M487" i="9"/>
  <c r="M488" i="9"/>
  <c r="M489" i="9"/>
  <c r="M490" i="9"/>
  <c r="M491" i="9"/>
  <c r="M492" i="9"/>
  <c r="M493" i="9"/>
  <c r="M494" i="9"/>
  <c r="M495" i="9"/>
  <c r="M496" i="9"/>
  <c r="M497" i="9"/>
  <c r="M498" i="9"/>
  <c r="M499" i="9"/>
  <c r="M500" i="9"/>
  <c r="M501" i="9"/>
  <c r="M502" i="9"/>
  <c r="M503" i="9"/>
  <c r="M504" i="9"/>
  <c r="M505" i="9"/>
  <c r="M506" i="9"/>
  <c r="M507" i="9"/>
  <c r="M508" i="9"/>
  <c r="M509" i="9"/>
  <c r="M510" i="9"/>
  <c r="M511" i="9"/>
  <c r="M512" i="9"/>
  <c r="M513" i="9"/>
  <c r="M514" i="9"/>
  <c r="M515" i="9"/>
  <c r="M516" i="9"/>
  <c r="M517" i="9"/>
  <c r="M518" i="9"/>
  <c r="M519" i="9"/>
  <c r="M520" i="9"/>
  <c r="M521" i="9"/>
  <c r="M522" i="9"/>
  <c r="M523" i="9"/>
  <c r="M524" i="9"/>
  <c r="M525" i="9"/>
  <c r="M526" i="9"/>
  <c r="M527" i="9"/>
  <c r="M528" i="9"/>
  <c r="M2" i="9"/>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161" i="9"/>
  <c r="L162" i="9"/>
  <c r="L163" i="9"/>
  <c r="L164" i="9"/>
  <c r="L165" i="9"/>
  <c r="L166" i="9"/>
  <c r="L167" i="9"/>
  <c r="L168" i="9"/>
  <c r="L169" i="9"/>
  <c r="L170" i="9"/>
  <c r="L171" i="9"/>
  <c r="L172" i="9"/>
  <c r="L173" i="9"/>
  <c r="L174" i="9"/>
  <c r="L175" i="9"/>
  <c r="L176" i="9"/>
  <c r="L177" i="9"/>
  <c r="L178" i="9"/>
  <c r="L179" i="9"/>
  <c r="L180" i="9"/>
  <c r="L181" i="9"/>
  <c r="L182" i="9"/>
  <c r="L183" i="9"/>
  <c r="L184" i="9"/>
  <c r="L185" i="9"/>
  <c r="L186" i="9"/>
  <c r="L187" i="9"/>
  <c r="L188" i="9"/>
  <c r="L189" i="9"/>
  <c r="L190" i="9"/>
  <c r="L191" i="9"/>
  <c r="L192" i="9"/>
  <c r="L193" i="9"/>
  <c r="L194" i="9"/>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301" i="9"/>
  <c r="L302" i="9"/>
  <c r="L303" i="9"/>
  <c r="L304" i="9"/>
  <c r="L305" i="9"/>
  <c r="L306" i="9"/>
  <c r="L307" i="9"/>
  <c r="L308" i="9"/>
  <c r="L309" i="9"/>
  <c r="L310" i="9"/>
  <c r="L311" i="9"/>
  <c r="L312" i="9"/>
  <c r="L313" i="9"/>
  <c r="L314" i="9"/>
  <c r="L315" i="9"/>
  <c r="L316" i="9"/>
  <c r="L317" i="9"/>
  <c r="L318" i="9"/>
  <c r="L319" i="9"/>
  <c r="L320" i="9"/>
  <c r="L321" i="9"/>
  <c r="L322" i="9"/>
  <c r="L323" i="9"/>
  <c r="L324" i="9"/>
  <c r="L325" i="9"/>
  <c r="L326" i="9"/>
  <c r="L327" i="9"/>
  <c r="L328" i="9"/>
  <c r="L329" i="9"/>
  <c r="L330" i="9"/>
  <c r="L331" i="9"/>
  <c r="L332" i="9"/>
  <c r="L333" i="9"/>
  <c r="L334" i="9"/>
  <c r="L335" i="9"/>
  <c r="L336" i="9"/>
  <c r="L337" i="9"/>
  <c r="L338" i="9"/>
  <c r="L339" i="9"/>
  <c r="L340" i="9"/>
  <c r="L341" i="9"/>
  <c r="L342" i="9"/>
  <c r="L343" i="9"/>
  <c r="L344" i="9"/>
  <c r="L345" i="9"/>
  <c r="L346" i="9"/>
  <c r="L347" i="9"/>
  <c r="L348" i="9"/>
  <c r="L349" i="9"/>
  <c r="L350" i="9"/>
  <c r="L351" i="9"/>
  <c r="L352" i="9"/>
  <c r="L353" i="9"/>
  <c r="L354" i="9"/>
  <c r="L355" i="9"/>
  <c r="L356" i="9"/>
  <c r="L357" i="9"/>
  <c r="L358" i="9"/>
  <c r="L359" i="9"/>
  <c r="L360" i="9"/>
  <c r="L361" i="9"/>
  <c r="L362" i="9"/>
  <c r="L363" i="9"/>
  <c r="L364" i="9"/>
  <c r="L365" i="9"/>
  <c r="L366" i="9"/>
  <c r="L367" i="9"/>
  <c r="L368" i="9"/>
  <c r="L369" i="9"/>
  <c r="L370" i="9"/>
  <c r="L371" i="9"/>
  <c r="L372" i="9"/>
  <c r="L373" i="9"/>
  <c r="L374" i="9"/>
  <c r="L375" i="9"/>
  <c r="L376" i="9"/>
  <c r="L377" i="9"/>
  <c r="L378" i="9"/>
  <c r="L379" i="9"/>
  <c r="L380" i="9"/>
  <c r="L381" i="9"/>
  <c r="L382" i="9"/>
  <c r="L383" i="9"/>
  <c r="L384" i="9"/>
  <c r="L385" i="9"/>
  <c r="L386" i="9"/>
  <c r="L387" i="9"/>
  <c r="L388" i="9"/>
  <c r="L389" i="9"/>
  <c r="L390" i="9"/>
  <c r="L391" i="9"/>
  <c r="L392" i="9"/>
  <c r="L393" i="9"/>
  <c r="L394" i="9"/>
  <c r="L395" i="9"/>
  <c r="L396" i="9"/>
  <c r="L397" i="9"/>
  <c r="L398" i="9"/>
  <c r="L399" i="9"/>
  <c r="L400" i="9"/>
  <c r="L401" i="9"/>
  <c r="L402" i="9"/>
  <c r="L403" i="9"/>
  <c r="L404" i="9"/>
  <c r="L405" i="9"/>
  <c r="L406" i="9"/>
  <c r="L407" i="9"/>
  <c r="L408" i="9"/>
  <c r="L409" i="9"/>
  <c r="L410" i="9"/>
  <c r="L411" i="9"/>
  <c r="L412" i="9"/>
  <c r="L413" i="9"/>
  <c r="L414" i="9"/>
  <c r="L415" i="9"/>
  <c r="L416" i="9"/>
  <c r="L417" i="9"/>
  <c r="L418" i="9"/>
  <c r="L419" i="9"/>
  <c r="L420" i="9"/>
  <c r="L421" i="9"/>
  <c r="L422" i="9"/>
  <c r="L423" i="9"/>
  <c r="L424" i="9"/>
  <c r="L425" i="9"/>
  <c r="L426" i="9"/>
  <c r="L427" i="9"/>
  <c r="L428" i="9"/>
  <c r="L429" i="9"/>
  <c r="L430" i="9"/>
  <c r="L431" i="9"/>
  <c r="L432" i="9"/>
  <c r="L433" i="9"/>
  <c r="L434" i="9"/>
  <c r="L435" i="9"/>
  <c r="L436" i="9"/>
  <c r="L437" i="9"/>
  <c r="L438" i="9"/>
  <c r="L439" i="9"/>
  <c r="L440" i="9"/>
  <c r="L441" i="9"/>
  <c r="L442" i="9"/>
  <c r="L443" i="9"/>
  <c r="L444" i="9"/>
  <c r="L445" i="9"/>
  <c r="L446" i="9"/>
  <c r="L447" i="9"/>
  <c r="L448" i="9"/>
  <c r="L449" i="9"/>
  <c r="L450" i="9"/>
  <c r="L451" i="9"/>
  <c r="L452" i="9"/>
  <c r="L453" i="9"/>
  <c r="L454" i="9"/>
  <c r="L455" i="9"/>
  <c r="L456" i="9"/>
  <c r="L457" i="9"/>
  <c r="L458" i="9"/>
  <c r="L459" i="9"/>
  <c r="L460" i="9"/>
  <c r="L461" i="9"/>
  <c r="L462" i="9"/>
  <c r="L463" i="9"/>
  <c r="L464" i="9"/>
  <c r="L465" i="9"/>
  <c r="L466" i="9"/>
  <c r="L467" i="9"/>
  <c r="L468" i="9"/>
  <c r="L469" i="9"/>
  <c r="L470" i="9"/>
  <c r="L471" i="9"/>
  <c r="L472" i="9"/>
  <c r="L473" i="9"/>
  <c r="L474" i="9"/>
  <c r="L475" i="9"/>
  <c r="L476" i="9"/>
  <c r="L477" i="9"/>
  <c r="L478" i="9"/>
  <c r="L479" i="9"/>
  <c r="L480" i="9"/>
  <c r="L481" i="9"/>
  <c r="L482" i="9"/>
  <c r="L483" i="9"/>
  <c r="L484" i="9"/>
  <c r="L485" i="9"/>
  <c r="L486" i="9"/>
  <c r="L487" i="9"/>
  <c r="L488" i="9"/>
  <c r="L489" i="9"/>
  <c r="L490" i="9"/>
  <c r="L491" i="9"/>
  <c r="L492" i="9"/>
  <c r="L493" i="9"/>
  <c r="L494" i="9"/>
  <c r="L495" i="9"/>
  <c r="L496" i="9"/>
  <c r="L497" i="9"/>
  <c r="L498" i="9"/>
  <c r="L499" i="9"/>
  <c r="L500" i="9"/>
  <c r="L501" i="9"/>
  <c r="L502" i="9"/>
  <c r="L503" i="9"/>
  <c r="L504" i="9"/>
  <c r="L505" i="9"/>
  <c r="L506" i="9"/>
  <c r="L507" i="9"/>
  <c r="L508" i="9"/>
  <c r="L509" i="9"/>
  <c r="L510" i="9"/>
  <c r="L511" i="9"/>
  <c r="L512" i="9"/>
  <c r="L513" i="9"/>
  <c r="L514" i="9"/>
  <c r="L515" i="9"/>
  <c r="L516" i="9"/>
  <c r="L517" i="9"/>
  <c r="L518" i="9"/>
  <c r="L519" i="9"/>
  <c r="L520" i="9"/>
  <c r="L521" i="9"/>
  <c r="L522" i="9"/>
  <c r="L523" i="9"/>
  <c r="L524" i="9"/>
  <c r="L525" i="9"/>
  <c r="L526" i="9"/>
  <c r="L527" i="9"/>
  <c r="L528" i="9"/>
  <c r="L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F501" i="9"/>
  <c r="F502" i="9"/>
  <c r="F503" i="9"/>
  <c r="F504" i="9"/>
  <c r="F505" i="9"/>
  <c r="F506" i="9"/>
  <c r="F507" i="9"/>
  <c r="F508" i="9"/>
  <c r="F509" i="9"/>
  <c r="F510" i="9"/>
  <c r="F511" i="9"/>
  <c r="F512" i="9"/>
  <c r="F513" i="9"/>
  <c r="F514" i="9"/>
  <c r="F515" i="9"/>
  <c r="F516" i="9"/>
  <c r="F517" i="9"/>
  <c r="F518" i="9"/>
  <c r="F519" i="9"/>
  <c r="F520" i="9"/>
  <c r="F521" i="9"/>
  <c r="F522" i="9"/>
  <c r="F523" i="9"/>
  <c r="F524" i="9"/>
  <c r="F525" i="9"/>
  <c r="F526" i="9"/>
  <c r="F527" i="9"/>
  <c r="F528" i="9"/>
  <c r="F2" i="9"/>
  <c r="E2"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D2"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C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H5" i="3"/>
  <c r="H103" i="3"/>
  <c r="H286" i="3"/>
  <c r="H47" i="3"/>
  <c r="H87" i="3"/>
  <c r="H16" i="3"/>
  <c r="H132" i="3"/>
  <c r="N3" i="3"/>
  <c r="O3" i="3"/>
  <c r="P3" i="3"/>
  <c r="N4" i="3"/>
  <c r="O4" i="3"/>
  <c r="P4" i="3"/>
  <c r="N5" i="3"/>
  <c r="O5" i="3"/>
  <c r="P5" i="3"/>
  <c r="N6" i="3"/>
  <c r="O6" i="3"/>
  <c r="P6" i="3"/>
  <c r="N7" i="3"/>
  <c r="O7" i="3"/>
  <c r="P7" i="3"/>
  <c r="N8" i="3"/>
  <c r="O8" i="3"/>
  <c r="P8" i="3"/>
  <c r="N9" i="3"/>
  <c r="O9" i="3"/>
  <c r="P9" i="3"/>
  <c r="N10" i="3"/>
  <c r="O10" i="3"/>
  <c r="P10" i="3"/>
  <c r="N11" i="3"/>
  <c r="O11" i="3"/>
  <c r="P11" i="3"/>
  <c r="N12" i="3"/>
  <c r="O12" i="3"/>
  <c r="P12" i="3"/>
  <c r="N13" i="3"/>
  <c r="O13" i="3"/>
  <c r="P13" i="3"/>
  <c r="N14" i="3"/>
  <c r="O14" i="3"/>
  <c r="P14" i="3"/>
  <c r="N15" i="3"/>
  <c r="O15" i="3"/>
  <c r="P15" i="3"/>
  <c r="N16" i="3"/>
  <c r="O16" i="3"/>
  <c r="P16" i="3"/>
  <c r="N17" i="3"/>
  <c r="O17" i="3"/>
  <c r="P17" i="3"/>
  <c r="N18" i="3"/>
  <c r="O18" i="3"/>
  <c r="P18" i="3"/>
  <c r="N19" i="3"/>
  <c r="O19" i="3"/>
  <c r="P19" i="3"/>
  <c r="N20" i="3"/>
  <c r="O20" i="3"/>
  <c r="P20" i="3"/>
  <c r="N21" i="3"/>
  <c r="O21" i="3"/>
  <c r="P21" i="3"/>
  <c r="N22" i="3"/>
  <c r="O22" i="3"/>
  <c r="P22" i="3"/>
  <c r="N23" i="3"/>
  <c r="O23" i="3"/>
  <c r="P23" i="3"/>
  <c r="N24" i="3"/>
  <c r="O24" i="3"/>
  <c r="P24" i="3"/>
  <c r="N25" i="3"/>
  <c r="O25" i="3"/>
  <c r="P25" i="3"/>
  <c r="N26" i="3"/>
  <c r="O26" i="3"/>
  <c r="P26" i="3"/>
  <c r="N27" i="3"/>
  <c r="O27" i="3"/>
  <c r="P27" i="3"/>
  <c r="N28" i="3"/>
  <c r="O28" i="3"/>
  <c r="P28" i="3"/>
  <c r="N29" i="3"/>
  <c r="O29" i="3"/>
  <c r="P29" i="3"/>
  <c r="N30" i="3"/>
  <c r="O30" i="3"/>
  <c r="P30" i="3"/>
  <c r="N31" i="3"/>
  <c r="O31" i="3"/>
  <c r="P31" i="3"/>
  <c r="N32" i="3"/>
  <c r="O32" i="3"/>
  <c r="P32" i="3"/>
  <c r="N33" i="3"/>
  <c r="O33" i="3"/>
  <c r="P33" i="3"/>
  <c r="N34" i="3"/>
  <c r="O34" i="3"/>
  <c r="P34" i="3"/>
  <c r="N35" i="3"/>
  <c r="O35" i="3"/>
  <c r="P35" i="3"/>
  <c r="N36" i="3"/>
  <c r="O36" i="3"/>
  <c r="P36" i="3"/>
  <c r="N37" i="3"/>
  <c r="O37" i="3"/>
  <c r="P37" i="3"/>
  <c r="N38" i="3"/>
  <c r="O38" i="3"/>
  <c r="P38" i="3"/>
  <c r="N39" i="3"/>
  <c r="O39" i="3"/>
  <c r="P39" i="3"/>
  <c r="N40" i="3"/>
  <c r="O40" i="3"/>
  <c r="P40" i="3"/>
  <c r="N41" i="3"/>
  <c r="O41" i="3"/>
  <c r="P41" i="3"/>
  <c r="N42" i="3"/>
  <c r="O42" i="3"/>
  <c r="P42" i="3"/>
  <c r="N43" i="3"/>
  <c r="O43" i="3"/>
  <c r="P43" i="3"/>
  <c r="N44" i="3"/>
  <c r="O44" i="3"/>
  <c r="P44" i="3"/>
  <c r="N45" i="3"/>
  <c r="O45" i="3"/>
  <c r="P45" i="3"/>
  <c r="N46" i="3"/>
  <c r="O46" i="3"/>
  <c r="P46" i="3"/>
  <c r="N47" i="3"/>
  <c r="O47" i="3"/>
  <c r="P47" i="3"/>
  <c r="N48" i="3"/>
  <c r="O48" i="3"/>
  <c r="P48" i="3"/>
  <c r="N49" i="3"/>
  <c r="O49" i="3"/>
  <c r="P49" i="3"/>
  <c r="N50" i="3"/>
  <c r="O50" i="3"/>
  <c r="P50" i="3"/>
  <c r="N51" i="3"/>
  <c r="O51" i="3"/>
  <c r="P51" i="3"/>
  <c r="N52" i="3"/>
  <c r="O52" i="3"/>
  <c r="P52" i="3"/>
  <c r="N53" i="3"/>
  <c r="O53" i="3"/>
  <c r="P53" i="3"/>
  <c r="N54" i="3"/>
  <c r="O54" i="3"/>
  <c r="P54" i="3"/>
  <c r="N55" i="3"/>
  <c r="O55" i="3"/>
  <c r="P55" i="3"/>
  <c r="N56" i="3"/>
  <c r="O56" i="3"/>
  <c r="P56" i="3"/>
  <c r="N57" i="3"/>
  <c r="O57" i="3"/>
  <c r="P57" i="3"/>
  <c r="N58" i="3"/>
  <c r="O58" i="3"/>
  <c r="P58" i="3"/>
  <c r="N59" i="3"/>
  <c r="O59" i="3"/>
  <c r="P59" i="3"/>
  <c r="N60" i="3"/>
  <c r="O60" i="3"/>
  <c r="P60" i="3"/>
  <c r="N61" i="3"/>
  <c r="O61" i="3"/>
  <c r="P61" i="3"/>
  <c r="N62" i="3"/>
  <c r="O62" i="3"/>
  <c r="P62" i="3"/>
  <c r="N63" i="3"/>
  <c r="O63" i="3"/>
  <c r="P63" i="3"/>
  <c r="N64" i="3"/>
  <c r="O64" i="3"/>
  <c r="P64" i="3"/>
  <c r="N65" i="3"/>
  <c r="O65" i="3"/>
  <c r="P65" i="3"/>
  <c r="N66" i="3"/>
  <c r="O66" i="3"/>
  <c r="P66" i="3"/>
  <c r="N67" i="3"/>
  <c r="O67" i="3"/>
  <c r="P67" i="3"/>
  <c r="N68" i="3"/>
  <c r="O68" i="3"/>
  <c r="P68" i="3"/>
  <c r="N69" i="3"/>
  <c r="O69" i="3"/>
  <c r="P69" i="3"/>
  <c r="N70" i="3"/>
  <c r="O70" i="3"/>
  <c r="P70" i="3"/>
  <c r="N71" i="3"/>
  <c r="O71" i="3"/>
  <c r="P71" i="3"/>
  <c r="N72" i="3"/>
  <c r="O72" i="3"/>
  <c r="P72" i="3"/>
  <c r="N73" i="3"/>
  <c r="O73" i="3"/>
  <c r="P73" i="3"/>
  <c r="N74" i="3"/>
  <c r="O74" i="3"/>
  <c r="P74" i="3"/>
  <c r="N75" i="3"/>
  <c r="O75" i="3"/>
  <c r="P75" i="3"/>
  <c r="N76" i="3"/>
  <c r="O76" i="3"/>
  <c r="P76" i="3"/>
  <c r="N77" i="3"/>
  <c r="O77" i="3"/>
  <c r="P77" i="3"/>
  <c r="N78" i="3"/>
  <c r="O78" i="3"/>
  <c r="P78" i="3"/>
  <c r="N79" i="3"/>
  <c r="O79" i="3"/>
  <c r="P79" i="3"/>
  <c r="N80" i="3"/>
  <c r="O80" i="3"/>
  <c r="P80" i="3"/>
  <c r="N81" i="3"/>
  <c r="O81" i="3"/>
  <c r="P81" i="3"/>
  <c r="N82" i="3"/>
  <c r="O82" i="3"/>
  <c r="P82" i="3"/>
  <c r="N83" i="3"/>
  <c r="O83" i="3"/>
  <c r="P83" i="3"/>
  <c r="N84" i="3"/>
  <c r="O84" i="3"/>
  <c r="P84" i="3"/>
  <c r="N85" i="3"/>
  <c r="O85" i="3"/>
  <c r="P85" i="3"/>
  <c r="N86" i="3"/>
  <c r="O86" i="3"/>
  <c r="P86" i="3"/>
  <c r="N87" i="3"/>
  <c r="O87" i="3"/>
  <c r="P87" i="3"/>
  <c r="N88" i="3"/>
  <c r="O88" i="3"/>
  <c r="P88" i="3"/>
  <c r="N89" i="3"/>
  <c r="O89" i="3"/>
  <c r="P89" i="3"/>
  <c r="N90" i="3"/>
  <c r="O90" i="3"/>
  <c r="P90" i="3"/>
  <c r="N91" i="3"/>
  <c r="O91" i="3"/>
  <c r="P91" i="3"/>
  <c r="N92" i="3"/>
  <c r="O92" i="3"/>
  <c r="P92" i="3"/>
  <c r="N93" i="3"/>
  <c r="O93" i="3"/>
  <c r="P93" i="3"/>
  <c r="N94" i="3"/>
  <c r="O94" i="3"/>
  <c r="P94" i="3"/>
  <c r="N95" i="3"/>
  <c r="O95" i="3"/>
  <c r="P95" i="3"/>
  <c r="N96" i="3"/>
  <c r="O96" i="3"/>
  <c r="P96" i="3"/>
  <c r="N97" i="3"/>
  <c r="O97" i="3"/>
  <c r="P97" i="3"/>
  <c r="N98" i="3"/>
  <c r="O98" i="3"/>
  <c r="P98" i="3"/>
  <c r="N99" i="3"/>
  <c r="O99" i="3"/>
  <c r="P99" i="3"/>
  <c r="N100" i="3"/>
  <c r="O100" i="3"/>
  <c r="P100" i="3"/>
  <c r="N101" i="3"/>
  <c r="O101" i="3"/>
  <c r="P101" i="3"/>
  <c r="N102" i="3"/>
  <c r="O102" i="3"/>
  <c r="P102" i="3"/>
  <c r="N103" i="3"/>
  <c r="O103" i="3"/>
  <c r="P103" i="3"/>
  <c r="N104" i="3"/>
  <c r="O104" i="3"/>
  <c r="P104" i="3"/>
  <c r="N105" i="3"/>
  <c r="O105" i="3"/>
  <c r="P105" i="3"/>
  <c r="N106" i="3"/>
  <c r="O106" i="3"/>
  <c r="P106" i="3"/>
  <c r="N107" i="3"/>
  <c r="O107" i="3"/>
  <c r="P107" i="3"/>
  <c r="N108" i="3"/>
  <c r="O108" i="3"/>
  <c r="P108" i="3"/>
  <c r="N109" i="3"/>
  <c r="O109" i="3"/>
  <c r="P109" i="3"/>
  <c r="N110" i="3"/>
  <c r="O110" i="3"/>
  <c r="P110" i="3"/>
  <c r="N111" i="3"/>
  <c r="O111" i="3"/>
  <c r="P111" i="3"/>
  <c r="N112" i="3"/>
  <c r="O112" i="3"/>
  <c r="P112" i="3"/>
  <c r="N113" i="3"/>
  <c r="O113" i="3"/>
  <c r="P113" i="3"/>
  <c r="N114" i="3"/>
  <c r="O114" i="3"/>
  <c r="P114" i="3"/>
  <c r="N115" i="3"/>
  <c r="O115" i="3"/>
  <c r="P115" i="3"/>
  <c r="N116" i="3"/>
  <c r="O116" i="3"/>
  <c r="P116" i="3"/>
  <c r="N117" i="3"/>
  <c r="O117" i="3"/>
  <c r="P117" i="3"/>
  <c r="N118" i="3"/>
  <c r="O118" i="3"/>
  <c r="P118" i="3"/>
  <c r="N119" i="3"/>
  <c r="O119" i="3"/>
  <c r="P119" i="3"/>
  <c r="N120" i="3"/>
  <c r="O120" i="3"/>
  <c r="P120" i="3"/>
  <c r="N121" i="3"/>
  <c r="O121" i="3"/>
  <c r="P121" i="3"/>
  <c r="N122" i="3"/>
  <c r="O122" i="3"/>
  <c r="P122" i="3"/>
  <c r="N123" i="3"/>
  <c r="O123" i="3"/>
  <c r="P123" i="3"/>
  <c r="N124" i="3"/>
  <c r="O124" i="3"/>
  <c r="P124" i="3"/>
  <c r="N125" i="3"/>
  <c r="O125" i="3"/>
  <c r="P125" i="3"/>
  <c r="N126" i="3"/>
  <c r="O126" i="3"/>
  <c r="P126" i="3"/>
  <c r="N127" i="3"/>
  <c r="O127" i="3"/>
  <c r="P127" i="3"/>
  <c r="N128" i="3"/>
  <c r="O128" i="3"/>
  <c r="P128" i="3"/>
  <c r="N129" i="3"/>
  <c r="O129" i="3"/>
  <c r="P129" i="3"/>
  <c r="N130" i="3"/>
  <c r="O130" i="3"/>
  <c r="P130" i="3"/>
  <c r="N131" i="3"/>
  <c r="O131" i="3"/>
  <c r="P131" i="3"/>
  <c r="N132" i="3"/>
  <c r="O132" i="3"/>
  <c r="P132" i="3"/>
  <c r="N133" i="3"/>
  <c r="O133" i="3"/>
  <c r="P133" i="3"/>
  <c r="N134" i="3"/>
  <c r="O134" i="3"/>
  <c r="P134" i="3"/>
  <c r="N135" i="3"/>
  <c r="O135" i="3"/>
  <c r="P135" i="3"/>
  <c r="N136" i="3"/>
  <c r="O136" i="3"/>
  <c r="P136" i="3"/>
  <c r="N137" i="3"/>
  <c r="O137" i="3"/>
  <c r="P137" i="3"/>
  <c r="N138" i="3"/>
  <c r="O138" i="3"/>
  <c r="P138" i="3"/>
  <c r="N139" i="3"/>
  <c r="O139" i="3"/>
  <c r="P139" i="3"/>
  <c r="N140" i="3"/>
  <c r="O140" i="3"/>
  <c r="P140" i="3"/>
  <c r="N141" i="3"/>
  <c r="O141" i="3"/>
  <c r="P141" i="3"/>
  <c r="N142" i="3"/>
  <c r="O142" i="3"/>
  <c r="P142" i="3"/>
  <c r="N143" i="3"/>
  <c r="O143" i="3"/>
  <c r="P143" i="3"/>
  <c r="N144" i="3"/>
  <c r="O144" i="3"/>
  <c r="P144" i="3"/>
  <c r="N145" i="3"/>
  <c r="O145" i="3"/>
  <c r="P145" i="3"/>
  <c r="N146" i="3"/>
  <c r="O146" i="3"/>
  <c r="P146" i="3"/>
  <c r="N147" i="3"/>
  <c r="O147" i="3"/>
  <c r="P147" i="3"/>
  <c r="N148" i="3"/>
  <c r="O148" i="3"/>
  <c r="P148" i="3"/>
  <c r="N149" i="3"/>
  <c r="O149" i="3"/>
  <c r="P149" i="3"/>
  <c r="N150" i="3"/>
  <c r="O150" i="3"/>
  <c r="P150" i="3"/>
  <c r="N151" i="3"/>
  <c r="O151" i="3"/>
  <c r="P151" i="3"/>
  <c r="N152" i="3"/>
  <c r="O152" i="3"/>
  <c r="P152" i="3"/>
  <c r="N153" i="3"/>
  <c r="O153" i="3"/>
  <c r="P153" i="3"/>
  <c r="N154" i="3"/>
  <c r="O154" i="3"/>
  <c r="P154" i="3"/>
  <c r="N155" i="3"/>
  <c r="O155" i="3"/>
  <c r="P155" i="3"/>
  <c r="N156" i="3"/>
  <c r="O156" i="3"/>
  <c r="P156" i="3"/>
  <c r="N157" i="3"/>
  <c r="O157" i="3"/>
  <c r="P157" i="3"/>
  <c r="N158" i="3"/>
  <c r="O158" i="3"/>
  <c r="P158" i="3"/>
  <c r="N159" i="3"/>
  <c r="O159" i="3"/>
  <c r="P159" i="3"/>
  <c r="N160" i="3"/>
  <c r="O160" i="3"/>
  <c r="P160" i="3"/>
  <c r="N161" i="3"/>
  <c r="O161" i="3"/>
  <c r="P161" i="3"/>
  <c r="N162" i="3"/>
  <c r="O162" i="3"/>
  <c r="P162" i="3"/>
  <c r="N163" i="3"/>
  <c r="O163" i="3"/>
  <c r="P163" i="3"/>
  <c r="N164" i="3"/>
  <c r="O164" i="3"/>
  <c r="P164" i="3"/>
  <c r="N165" i="3"/>
  <c r="O165" i="3"/>
  <c r="P165" i="3"/>
  <c r="N166" i="3"/>
  <c r="O166" i="3"/>
  <c r="P166" i="3"/>
  <c r="N167" i="3"/>
  <c r="O167" i="3"/>
  <c r="P167" i="3"/>
  <c r="N168" i="3"/>
  <c r="O168" i="3"/>
  <c r="P168" i="3"/>
  <c r="N169" i="3"/>
  <c r="O169" i="3"/>
  <c r="P169" i="3"/>
  <c r="N170" i="3"/>
  <c r="O170" i="3"/>
  <c r="P170" i="3"/>
  <c r="N171" i="3"/>
  <c r="O171" i="3"/>
  <c r="P171" i="3"/>
  <c r="N172" i="3"/>
  <c r="O172" i="3"/>
  <c r="P172" i="3"/>
  <c r="N173" i="3"/>
  <c r="O173" i="3"/>
  <c r="P173" i="3"/>
  <c r="N174" i="3"/>
  <c r="O174" i="3"/>
  <c r="P174" i="3"/>
  <c r="N175" i="3"/>
  <c r="O175" i="3"/>
  <c r="P175" i="3"/>
  <c r="N176" i="3"/>
  <c r="O176" i="3"/>
  <c r="P176" i="3"/>
  <c r="N177" i="3"/>
  <c r="O177" i="3"/>
  <c r="P177" i="3"/>
  <c r="N178" i="3"/>
  <c r="O178" i="3"/>
  <c r="P178" i="3"/>
  <c r="N179" i="3"/>
  <c r="O179" i="3"/>
  <c r="P179" i="3"/>
  <c r="N180" i="3"/>
  <c r="O180" i="3"/>
  <c r="P180" i="3"/>
  <c r="N181" i="3"/>
  <c r="O181" i="3"/>
  <c r="P181" i="3"/>
  <c r="N182" i="3"/>
  <c r="O182" i="3"/>
  <c r="P182" i="3"/>
  <c r="N183" i="3"/>
  <c r="O183" i="3"/>
  <c r="P183" i="3"/>
  <c r="N184" i="3"/>
  <c r="O184" i="3"/>
  <c r="P184" i="3"/>
  <c r="N185" i="3"/>
  <c r="O185" i="3"/>
  <c r="P185" i="3"/>
  <c r="N186" i="3"/>
  <c r="O186" i="3"/>
  <c r="P186" i="3"/>
  <c r="N187" i="3"/>
  <c r="O187" i="3"/>
  <c r="P187" i="3"/>
  <c r="N188" i="3"/>
  <c r="O188" i="3"/>
  <c r="P188" i="3"/>
  <c r="N189" i="3"/>
  <c r="O189" i="3"/>
  <c r="P189" i="3"/>
  <c r="N190" i="3"/>
  <c r="O190" i="3"/>
  <c r="P190" i="3"/>
  <c r="N191" i="3"/>
  <c r="O191" i="3"/>
  <c r="P191" i="3"/>
  <c r="N192" i="3"/>
  <c r="O192" i="3"/>
  <c r="P192" i="3"/>
  <c r="N193" i="3"/>
  <c r="O193" i="3"/>
  <c r="P193" i="3"/>
  <c r="N194" i="3"/>
  <c r="O194" i="3"/>
  <c r="P194" i="3"/>
  <c r="N195" i="3"/>
  <c r="O195" i="3"/>
  <c r="P195" i="3"/>
  <c r="N196" i="3"/>
  <c r="O196" i="3"/>
  <c r="P196" i="3"/>
  <c r="N197" i="3"/>
  <c r="O197" i="3"/>
  <c r="P197" i="3"/>
  <c r="N198" i="3"/>
  <c r="O198" i="3"/>
  <c r="P198" i="3"/>
  <c r="N199" i="3"/>
  <c r="O199" i="3"/>
  <c r="P199" i="3"/>
  <c r="N200" i="3"/>
  <c r="O200" i="3"/>
  <c r="P200" i="3"/>
  <c r="N201" i="3"/>
  <c r="O201" i="3"/>
  <c r="P201" i="3"/>
  <c r="N202" i="3"/>
  <c r="O202" i="3"/>
  <c r="P202" i="3"/>
  <c r="N203" i="3"/>
  <c r="O203" i="3"/>
  <c r="P203" i="3"/>
  <c r="N204" i="3"/>
  <c r="O204" i="3"/>
  <c r="P204" i="3"/>
  <c r="N205" i="3"/>
  <c r="O205" i="3"/>
  <c r="P205" i="3"/>
  <c r="N206" i="3"/>
  <c r="O206" i="3"/>
  <c r="P206" i="3"/>
  <c r="N207" i="3"/>
  <c r="O207" i="3"/>
  <c r="P207" i="3"/>
  <c r="N208" i="3"/>
  <c r="O208" i="3"/>
  <c r="P208" i="3"/>
  <c r="N209" i="3"/>
  <c r="O209" i="3"/>
  <c r="P209" i="3"/>
  <c r="N210" i="3"/>
  <c r="O210" i="3"/>
  <c r="P210" i="3"/>
  <c r="N211" i="3"/>
  <c r="O211" i="3"/>
  <c r="P211" i="3"/>
  <c r="N212" i="3"/>
  <c r="O212" i="3"/>
  <c r="P212" i="3"/>
  <c r="N213" i="3"/>
  <c r="O213" i="3"/>
  <c r="P213" i="3"/>
  <c r="N214" i="3"/>
  <c r="O214" i="3"/>
  <c r="P214" i="3"/>
  <c r="N215" i="3"/>
  <c r="O215" i="3"/>
  <c r="P215" i="3"/>
  <c r="N216" i="3"/>
  <c r="O216" i="3"/>
  <c r="P216" i="3"/>
  <c r="N217" i="3"/>
  <c r="O217" i="3"/>
  <c r="P217" i="3"/>
  <c r="N218" i="3"/>
  <c r="O218" i="3"/>
  <c r="P218" i="3"/>
  <c r="N219" i="3"/>
  <c r="O219" i="3"/>
  <c r="P219" i="3"/>
  <c r="N220" i="3"/>
  <c r="O220" i="3"/>
  <c r="P220" i="3"/>
  <c r="N221" i="3"/>
  <c r="O221" i="3"/>
  <c r="P221" i="3"/>
  <c r="N222" i="3"/>
  <c r="O222" i="3"/>
  <c r="P222" i="3"/>
  <c r="N223" i="3"/>
  <c r="O223" i="3"/>
  <c r="P223" i="3"/>
  <c r="N224" i="3"/>
  <c r="O224" i="3"/>
  <c r="P224" i="3"/>
  <c r="N225" i="3"/>
  <c r="O225" i="3"/>
  <c r="P225" i="3"/>
  <c r="N226" i="3"/>
  <c r="O226" i="3"/>
  <c r="P226" i="3"/>
  <c r="N227" i="3"/>
  <c r="O227" i="3"/>
  <c r="P227" i="3"/>
  <c r="N228" i="3"/>
  <c r="O228" i="3"/>
  <c r="P228" i="3"/>
  <c r="N229" i="3"/>
  <c r="O229" i="3"/>
  <c r="P229" i="3"/>
  <c r="N230" i="3"/>
  <c r="O230" i="3"/>
  <c r="P230" i="3"/>
  <c r="N231" i="3"/>
  <c r="O231" i="3"/>
  <c r="P231" i="3"/>
  <c r="N232" i="3"/>
  <c r="O232" i="3"/>
  <c r="P232" i="3"/>
  <c r="N233" i="3"/>
  <c r="O233" i="3"/>
  <c r="P233" i="3"/>
  <c r="N234" i="3"/>
  <c r="O234" i="3"/>
  <c r="P234" i="3"/>
  <c r="N235" i="3"/>
  <c r="O235" i="3"/>
  <c r="P235" i="3"/>
  <c r="N236" i="3"/>
  <c r="O236" i="3"/>
  <c r="P236" i="3"/>
  <c r="N237" i="3"/>
  <c r="O237" i="3"/>
  <c r="P237" i="3"/>
  <c r="N238" i="3"/>
  <c r="O238" i="3"/>
  <c r="P238" i="3"/>
  <c r="N239" i="3"/>
  <c r="O239" i="3"/>
  <c r="P239" i="3"/>
  <c r="N240" i="3"/>
  <c r="O240" i="3"/>
  <c r="P240" i="3"/>
  <c r="N241" i="3"/>
  <c r="O241" i="3"/>
  <c r="P241" i="3"/>
  <c r="N242" i="3"/>
  <c r="O242" i="3"/>
  <c r="P242" i="3"/>
  <c r="N243" i="3"/>
  <c r="O243" i="3"/>
  <c r="P243" i="3"/>
  <c r="N244" i="3"/>
  <c r="O244" i="3"/>
  <c r="P244" i="3"/>
  <c r="N245" i="3"/>
  <c r="O245" i="3"/>
  <c r="P245" i="3"/>
  <c r="N246" i="3"/>
  <c r="O246" i="3"/>
  <c r="P246" i="3"/>
  <c r="N247" i="3"/>
  <c r="O247" i="3"/>
  <c r="P247" i="3"/>
  <c r="N248" i="3"/>
  <c r="O248" i="3"/>
  <c r="P248" i="3"/>
  <c r="N249" i="3"/>
  <c r="O249" i="3"/>
  <c r="P249" i="3"/>
  <c r="N250" i="3"/>
  <c r="O250" i="3"/>
  <c r="P250" i="3"/>
  <c r="N251" i="3"/>
  <c r="O251" i="3"/>
  <c r="P251" i="3"/>
  <c r="N252" i="3"/>
  <c r="O252" i="3"/>
  <c r="P252" i="3"/>
  <c r="N253" i="3"/>
  <c r="O253" i="3"/>
  <c r="P253" i="3"/>
  <c r="N254" i="3"/>
  <c r="O254" i="3"/>
  <c r="P254" i="3"/>
  <c r="N255" i="3"/>
  <c r="O255" i="3"/>
  <c r="P255" i="3"/>
  <c r="N256" i="3"/>
  <c r="O256" i="3"/>
  <c r="P256" i="3"/>
  <c r="N257" i="3"/>
  <c r="O257" i="3"/>
  <c r="P257" i="3"/>
  <c r="N258" i="3"/>
  <c r="O258" i="3"/>
  <c r="P258" i="3"/>
  <c r="N259" i="3"/>
  <c r="O259" i="3"/>
  <c r="P259" i="3"/>
  <c r="N260" i="3"/>
  <c r="O260" i="3"/>
  <c r="P260" i="3"/>
  <c r="N261" i="3"/>
  <c r="O261" i="3"/>
  <c r="P261" i="3"/>
  <c r="N262" i="3"/>
  <c r="O262" i="3"/>
  <c r="P262" i="3"/>
  <c r="N263" i="3"/>
  <c r="O263" i="3"/>
  <c r="P263" i="3"/>
  <c r="N264" i="3"/>
  <c r="O264" i="3"/>
  <c r="P264" i="3"/>
  <c r="N265" i="3"/>
  <c r="O265" i="3"/>
  <c r="P265" i="3"/>
  <c r="N266" i="3"/>
  <c r="O266" i="3"/>
  <c r="P266" i="3"/>
  <c r="N267" i="3"/>
  <c r="O267" i="3"/>
  <c r="P267" i="3"/>
  <c r="N268" i="3"/>
  <c r="O268" i="3"/>
  <c r="P268" i="3"/>
  <c r="N269" i="3"/>
  <c r="O269" i="3"/>
  <c r="P269" i="3"/>
  <c r="N270" i="3"/>
  <c r="O270" i="3"/>
  <c r="P270" i="3"/>
  <c r="N271" i="3"/>
  <c r="O271" i="3"/>
  <c r="P271" i="3"/>
  <c r="N272" i="3"/>
  <c r="O272" i="3"/>
  <c r="P272" i="3"/>
  <c r="N273" i="3"/>
  <c r="O273" i="3"/>
  <c r="P273" i="3"/>
  <c r="N274" i="3"/>
  <c r="O274" i="3"/>
  <c r="P274" i="3"/>
  <c r="N275" i="3"/>
  <c r="O275" i="3"/>
  <c r="P275" i="3"/>
  <c r="N276" i="3"/>
  <c r="O276" i="3"/>
  <c r="P276" i="3"/>
  <c r="N277" i="3"/>
  <c r="O277" i="3"/>
  <c r="P277" i="3"/>
  <c r="N278" i="3"/>
  <c r="O278" i="3"/>
  <c r="P278" i="3"/>
  <c r="N279" i="3"/>
  <c r="O279" i="3"/>
  <c r="P279" i="3"/>
  <c r="N280" i="3"/>
  <c r="O280" i="3"/>
  <c r="P280" i="3"/>
  <c r="N281" i="3"/>
  <c r="O281" i="3"/>
  <c r="P281" i="3"/>
  <c r="N282" i="3"/>
  <c r="O282" i="3"/>
  <c r="P282" i="3"/>
  <c r="N283" i="3"/>
  <c r="O283" i="3"/>
  <c r="P283" i="3"/>
  <c r="N284" i="3"/>
  <c r="O284" i="3"/>
  <c r="P284" i="3"/>
  <c r="N285" i="3"/>
  <c r="O285" i="3"/>
  <c r="P285" i="3"/>
  <c r="N286" i="3"/>
  <c r="O286" i="3"/>
  <c r="P286" i="3"/>
  <c r="N287" i="3"/>
  <c r="O287" i="3"/>
  <c r="P287" i="3"/>
  <c r="N288" i="3"/>
  <c r="O288" i="3"/>
  <c r="P288" i="3"/>
  <c r="N289" i="3"/>
  <c r="O289" i="3"/>
  <c r="P289" i="3"/>
  <c r="N290" i="3"/>
  <c r="O290" i="3"/>
  <c r="P290" i="3"/>
  <c r="N291" i="3"/>
  <c r="O291" i="3"/>
  <c r="P291" i="3"/>
  <c r="N292" i="3"/>
  <c r="O292" i="3"/>
  <c r="P292" i="3"/>
  <c r="N293" i="3"/>
  <c r="O293" i="3"/>
  <c r="P293" i="3"/>
  <c r="N294" i="3"/>
  <c r="O294" i="3"/>
  <c r="P294" i="3"/>
  <c r="N295" i="3"/>
  <c r="O295" i="3"/>
  <c r="P295" i="3"/>
  <c r="N296" i="3"/>
  <c r="O296" i="3"/>
  <c r="P296" i="3"/>
  <c r="N297" i="3"/>
  <c r="O297" i="3"/>
  <c r="P297" i="3"/>
  <c r="N298" i="3"/>
  <c r="O298" i="3"/>
  <c r="P298" i="3"/>
  <c r="N299" i="3"/>
  <c r="O299" i="3"/>
  <c r="P299" i="3"/>
  <c r="N300" i="3"/>
  <c r="O300" i="3"/>
  <c r="P300" i="3"/>
  <c r="N301" i="3"/>
  <c r="O301" i="3"/>
  <c r="P301" i="3"/>
  <c r="N302" i="3"/>
  <c r="O302" i="3"/>
  <c r="P302" i="3"/>
  <c r="N303" i="3"/>
  <c r="O303" i="3"/>
  <c r="P303" i="3"/>
  <c r="N304" i="3"/>
  <c r="O304" i="3"/>
  <c r="P304" i="3"/>
  <c r="N305" i="3"/>
  <c r="O305" i="3"/>
  <c r="P305" i="3"/>
  <c r="N306" i="3"/>
  <c r="O306" i="3"/>
  <c r="P306" i="3"/>
  <c r="N307" i="3"/>
  <c r="O307" i="3"/>
  <c r="P307" i="3"/>
  <c r="N308" i="3"/>
  <c r="O308" i="3"/>
  <c r="P308" i="3"/>
  <c r="N309" i="3"/>
  <c r="O309" i="3"/>
  <c r="P309" i="3"/>
  <c r="N310" i="3"/>
  <c r="O310" i="3"/>
  <c r="P310" i="3"/>
  <c r="N311" i="3"/>
  <c r="O311" i="3"/>
  <c r="P311" i="3"/>
  <c r="N312" i="3"/>
  <c r="O312" i="3"/>
  <c r="P312" i="3"/>
  <c r="N313" i="3"/>
  <c r="O313" i="3"/>
  <c r="P313" i="3"/>
  <c r="N314" i="3"/>
  <c r="O314" i="3"/>
  <c r="P314" i="3"/>
  <c r="N315" i="3"/>
  <c r="O315" i="3"/>
  <c r="P315" i="3"/>
  <c r="N316" i="3"/>
  <c r="O316" i="3"/>
  <c r="P316" i="3"/>
  <c r="N317" i="3"/>
  <c r="O317" i="3"/>
  <c r="P317" i="3"/>
  <c r="N318" i="3"/>
  <c r="O318" i="3"/>
  <c r="P318" i="3"/>
  <c r="N319" i="3"/>
  <c r="O319" i="3"/>
  <c r="P319" i="3"/>
  <c r="N320" i="3"/>
  <c r="O320" i="3"/>
  <c r="P320" i="3"/>
  <c r="N321" i="3"/>
  <c r="O321" i="3"/>
  <c r="P321" i="3"/>
  <c r="N322" i="3"/>
  <c r="O322" i="3"/>
  <c r="P322" i="3"/>
  <c r="N323" i="3"/>
  <c r="O323" i="3"/>
  <c r="P323" i="3"/>
  <c r="N324" i="3"/>
  <c r="O324" i="3"/>
  <c r="P324" i="3"/>
  <c r="N325" i="3"/>
  <c r="O325" i="3"/>
  <c r="P325" i="3"/>
  <c r="N326" i="3"/>
  <c r="O326" i="3"/>
  <c r="P326" i="3"/>
  <c r="N327" i="3"/>
  <c r="O327" i="3"/>
  <c r="P327" i="3"/>
  <c r="N328" i="3"/>
  <c r="O328" i="3"/>
  <c r="P328" i="3"/>
  <c r="N329" i="3"/>
  <c r="O329" i="3"/>
  <c r="P329" i="3"/>
  <c r="N330" i="3"/>
  <c r="O330" i="3"/>
  <c r="P330" i="3"/>
  <c r="N331" i="3"/>
  <c r="O331" i="3"/>
  <c r="P331" i="3"/>
  <c r="N332" i="3"/>
  <c r="O332" i="3"/>
  <c r="P332" i="3"/>
  <c r="N333" i="3"/>
  <c r="O333" i="3"/>
  <c r="P333" i="3"/>
  <c r="N334" i="3"/>
  <c r="O334" i="3"/>
  <c r="P334" i="3"/>
  <c r="N335" i="3"/>
  <c r="O335" i="3"/>
  <c r="P335" i="3"/>
  <c r="N336" i="3"/>
  <c r="O336" i="3"/>
  <c r="P336" i="3"/>
  <c r="N337" i="3"/>
  <c r="O337" i="3"/>
  <c r="P337" i="3"/>
  <c r="N338" i="3"/>
  <c r="O338" i="3"/>
  <c r="P338" i="3"/>
  <c r="N339" i="3"/>
  <c r="O339" i="3"/>
  <c r="P339" i="3"/>
  <c r="N340" i="3"/>
  <c r="O340" i="3"/>
  <c r="P340" i="3"/>
  <c r="N341" i="3"/>
  <c r="O341" i="3"/>
  <c r="P341" i="3"/>
  <c r="N342" i="3"/>
  <c r="O342" i="3"/>
  <c r="P342" i="3"/>
  <c r="N343" i="3"/>
  <c r="O343" i="3"/>
  <c r="P343" i="3"/>
  <c r="N344" i="3"/>
  <c r="O344" i="3"/>
  <c r="P344" i="3"/>
  <c r="N345" i="3"/>
  <c r="O345" i="3"/>
  <c r="P345" i="3"/>
  <c r="N346" i="3"/>
  <c r="O346" i="3"/>
  <c r="P346" i="3"/>
  <c r="N347" i="3"/>
  <c r="O347" i="3"/>
  <c r="P347" i="3"/>
  <c r="N348" i="3"/>
  <c r="O348" i="3"/>
  <c r="P348" i="3"/>
  <c r="N349" i="3"/>
  <c r="O349" i="3"/>
  <c r="P349" i="3"/>
  <c r="N350" i="3"/>
  <c r="O350" i="3"/>
  <c r="P350" i="3"/>
  <c r="N351" i="3"/>
  <c r="O351" i="3"/>
  <c r="P351" i="3"/>
  <c r="N352" i="3"/>
  <c r="O352" i="3"/>
  <c r="P352" i="3"/>
  <c r="N353" i="3"/>
  <c r="O353" i="3"/>
  <c r="P353" i="3"/>
  <c r="N354" i="3"/>
  <c r="O354" i="3"/>
  <c r="P354" i="3"/>
  <c r="N355" i="3"/>
  <c r="O355" i="3"/>
  <c r="P355" i="3"/>
  <c r="N356" i="3"/>
  <c r="O356" i="3"/>
  <c r="P356" i="3"/>
  <c r="N357" i="3"/>
  <c r="O357" i="3"/>
  <c r="P357" i="3"/>
  <c r="N358" i="3"/>
  <c r="O358" i="3"/>
  <c r="P358" i="3"/>
  <c r="N359" i="3"/>
  <c r="O359" i="3"/>
  <c r="P359" i="3"/>
  <c r="N360" i="3"/>
  <c r="O360" i="3"/>
  <c r="P360" i="3"/>
  <c r="N361" i="3"/>
  <c r="O361" i="3"/>
  <c r="P361" i="3"/>
  <c r="N362" i="3"/>
  <c r="O362" i="3"/>
  <c r="P362" i="3"/>
  <c r="N363" i="3"/>
  <c r="O363" i="3"/>
  <c r="P363" i="3"/>
  <c r="N364" i="3"/>
  <c r="O364" i="3"/>
  <c r="P364" i="3"/>
  <c r="N365" i="3"/>
  <c r="O365" i="3"/>
  <c r="P365" i="3"/>
  <c r="N366" i="3"/>
  <c r="O366" i="3"/>
  <c r="P366" i="3"/>
  <c r="N367" i="3"/>
  <c r="O367" i="3"/>
  <c r="P367" i="3"/>
  <c r="N368" i="3"/>
  <c r="O368" i="3"/>
  <c r="P368" i="3"/>
  <c r="N369" i="3"/>
  <c r="O369" i="3"/>
  <c r="P369" i="3"/>
  <c r="N370" i="3"/>
  <c r="O370" i="3"/>
  <c r="P370" i="3"/>
  <c r="N371" i="3"/>
  <c r="O371" i="3"/>
  <c r="P371" i="3"/>
  <c r="N372" i="3"/>
  <c r="O372" i="3"/>
  <c r="P372" i="3"/>
  <c r="N373" i="3"/>
  <c r="O373" i="3"/>
  <c r="P373" i="3"/>
  <c r="N374" i="3"/>
  <c r="O374" i="3"/>
  <c r="P374" i="3"/>
  <c r="N375" i="3"/>
  <c r="O375" i="3"/>
  <c r="P375" i="3"/>
  <c r="N376" i="3"/>
  <c r="O376" i="3"/>
  <c r="P376" i="3"/>
  <c r="N377" i="3"/>
  <c r="O377" i="3"/>
  <c r="P377" i="3"/>
  <c r="N378" i="3"/>
  <c r="O378" i="3"/>
  <c r="P378" i="3"/>
  <c r="N379" i="3"/>
  <c r="O379" i="3"/>
  <c r="P379" i="3"/>
  <c r="N380" i="3"/>
  <c r="O380" i="3"/>
  <c r="P380" i="3"/>
  <c r="N381" i="3"/>
  <c r="O381" i="3"/>
  <c r="P381" i="3"/>
  <c r="N382" i="3"/>
  <c r="O382" i="3"/>
  <c r="P382" i="3"/>
  <c r="N383" i="3"/>
  <c r="O383" i="3"/>
  <c r="P383" i="3"/>
  <c r="N384" i="3"/>
  <c r="O384" i="3"/>
  <c r="P384" i="3"/>
  <c r="N385" i="3"/>
  <c r="O385" i="3"/>
  <c r="P385" i="3"/>
  <c r="N386" i="3"/>
  <c r="O386" i="3"/>
  <c r="P386" i="3"/>
  <c r="N387" i="3"/>
  <c r="O387" i="3"/>
  <c r="P387" i="3"/>
  <c r="N388" i="3"/>
  <c r="O388" i="3"/>
  <c r="P388" i="3"/>
  <c r="N389" i="3"/>
  <c r="O389" i="3"/>
  <c r="P389" i="3"/>
  <c r="N390" i="3"/>
  <c r="O390" i="3"/>
  <c r="P390" i="3"/>
  <c r="N391" i="3"/>
  <c r="O391" i="3"/>
  <c r="P391" i="3"/>
  <c r="N392" i="3"/>
  <c r="O392" i="3"/>
  <c r="P392" i="3"/>
  <c r="N393" i="3"/>
  <c r="O393" i="3"/>
  <c r="P393" i="3"/>
  <c r="N394" i="3"/>
  <c r="O394" i="3"/>
  <c r="P394" i="3"/>
  <c r="N395" i="3"/>
  <c r="O395" i="3"/>
  <c r="P395" i="3"/>
  <c r="N396" i="3"/>
  <c r="O396" i="3"/>
  <c r="P396" i="3"/>
  <c r="N397" i="3"/>
  <c r="O397" i="3"/>
  <c r="P397" i="3"/>
  <c r="N398" i="3"/>
  <c r="O398" i="3"/>
  <c r="P398" i="3"/>
  <c r="N399" i="3"/>
  <c r="O399" i="3"/>
  <c r="P399" i="3"/>
  <c r="N400" i="3"/>
  <c r="O400" i="3"/>
  <c r="P400" i="3"/>
  <c r="N401" i="3"/>
  <c r="O401" i="3"/>
  <c r="P401" i="3"/>
  <c r="N402" i="3"/>
  <c r="O402" i="3"/>
  <c r="P402" i="3"/>
  <c r="N403" i="3"/>
  <c r="O403" i="3"/>
  <c r="P403" i="3"/>
  <c r="N404" i="3"/>
  <c r="O404" i="3"/>
  <c r="P404" i="3"/>
  <c r="N405" i="3"/>
  <c r="O405" i="3"/>
  <c r="P405" i="3"/>
  <c r="N406" i="3"/>
  <c r="O406" i="3"/>
  <c r="P406" i="3"/>
  <c r="N407" i="3"/>
  <c r="O407" i="3"/>
  <c r="P407" i="3"/>
  <c r="N408" i="3"/>
  <c r="O408" i="3"/>
  <c r="P408" i="3"/>
  <c r="N409" i="3"/>
  <c r="O409" i="3"/>
  <c r="P409" i="3"/>
  <c r="N410" i="3"/>
  <c r="O410" i="3"/>
  <c r="P410" i="3"/>
  <c r="N411" i="3"/>
  <c r="O411" i="3"/>
  <c r="P411" i="3"/>
  <c r="N412" i="3"/>
  <c r="O412" i="3"/>
  <c r="P412" i="3"/>
  <c r="N413" i="3"/>
  <c r="O413" i="3"/>
  <c r="P413" i="3"/>
  <c r="N414" i="3"/>
  <c r="O414" i="3"/>
  <c r="P414" i="3"/>
  <c r="N415" i="3"/>
  <c r="O415" i="3"/>
  <c r="P415" i="3"/>
  <c r="N416" i="3"/>
  <c r="O416" i="3"/>
  <c r="P416" i="3"/>
  <c r="N417" i="3"/>
  <c r="O417" i="3"/>
  <c r="P417" i="3"/>
  <c r="N418" i="3"/>
  <c r="O418" i="3"/>
  <c r="P418" i="3"/>
  <c r="N419" i="3"/>
  <c r="O419" i="3"/>
  <c r="P419" i="3"/>
  <c r="N420" i="3"/>
  <c r="O420" i="3"/>
  <c r="P420" i="3"/>
  <c r="N421" i="3"/>
  <c r="O421" i="3"/>
  <c r="P421" i="3"/>
  <c r="N422" i="3"/>
  <c r="O422" i="3"/>
  <c r="P422" i="3"/>
  <c r="N423" i="3"/>
  <c r="O423" i="3"/>
  <c r="P423" i="3"/>
  <c r="N424" i="3"/>
  <c r="O424" i="3"/>
  <c r="P424" i="3"/>
  <c r="N425" i="3"/>
  <c r="O425" i="3"/>
  <c r="P425" i="3"/>
  <c r="N426" i="3"/>
  <c r="O426" i="3"/>
  <c r="P426" i="3"/>
  <c r="N427" i="3"/>
  <c r="O427" i="3"/>
  <c r="P427" i="3"/>
  <c r="N428" i="3"/>
  <c r="O428" i="3"/>
  <c r="P428" i="3"/>
  <c r="N429" i="3"/>
  <c r="O429" i="3"/>
  <c r="P429" i="3"/>
  <c r="N430" i="3"/>
  <c r="O430" i="3"/>
  <c r="P430" i="3"/>
  <c r="N431" i="3"/>
  <c r="O431" i="3"/>
  <c r="P431" i="3"/>
  <c r="N432" i="3"/>
  <c r="O432" i="3"/>
  <c r="P432" i="3"/>
  <c r="N433" i="3"/>
  <c r="O433" i="3"/>
  <c r="P433" i="3"/>
  <c r="N434" i="3"/>
  <c r="O434" i="3"/>
  <c r="P434" i="3"/>
  <c r="N435" i="3"/>
  <c r="O435" i="3"/>
  <c r="P435" i="3"/>
  <c r="N436" i="3"/>
  <c r="O436" i="3"/>
  <c r="P436" i="3"/>
  <c r="N437" i="3"/>
  <c r="O437" i="3"/>
  <c r="P437" i="3"/>
  <c r="N438" i="3"/>
  <c r="O438" i="3"/>
  <c r="P438" i="3"/>
  <c r="N439" i="3"/>
  <c r="O439" i="3"/>
  <c r="P439" i="3"/>
  <c r="N440" i="3"/>
  <c r="O440" i="3"/>
  <c r="P440" i="3"/>
  <c r="N441" i="3"/>
  <c r="O441" i="3"/>
  <c r="P441" i="3"/>
  <c r="N442" i="3"/>
  <c r="O442" i="3"/>
  <c r="P442" i="3"/>
  <c r="N443" i="3"/>
  <c r="O443" i="3"/>
  <c r="P443" i="3"/>
  <c r="N444" i="3"/>
  <c r="O444" i="3"/>
  <c r="P444" i="3"/>
  <c r="N445" i="3"/>
  <c r="O445" i="3"/>
  <c r="P445" i="3"/>
  <c r="N446" i="3"/>
  <c r="O446" i="3"/>
  <c r="P446" i="3"/>
  <c r="N447" i="3"/>
  <c r="O447" i="3"/>
  <c r="P447" i="3"/>
  <c r="N448" i="3"/>
  <c r="O448" i="3"/>
  <c r="P448" i="3"/>
  <c r="N449" i="3"/>
  <c r="O449" i="3"/>
  <c r="P449" i="3"/>
  <c r="N450" i="3"/>
  <c r="O450" i="3"/>
  <c r="P450" i="3"/>
  <c r="N451" i="3"/>
  <c r="O451" i="3"/>
  <c r="P451" i="3"/>
  <c r="N452" i="3"/>
  <c r="O452" i="3"/>
  <c r="P452" i="3"/>
  <c r="N453" i="3"/>
  <c r="O453" i="3"/>
  <c r="P453" i="3"/>
  <c r="N454" i="3"/>
  <c r="O454" i="3"/>
  <c r="P454" i="3"/>
  <c r="N455" i="3"/>
  <c r="O455" i="3"/>
  <c r="P455" i="3"/>
  <c r="N456" i="3"/>
  <c r="O456" i="3"/>
  <c r="P456" i="3"/>
  <c r="N457" i="3"/>
  <c r="O457" i="3"/>
  <c r="P457" i="3"/>
  <c r="N458" i="3"/>
  <c r="O458" i="3"/>
  <c r="P458" i="3"/>
  <c r="N459" i="3"/>
  <c r="O459" i="3"/>
  <c r="P459" i="3"/>
  <c r="N460" i="3"/>
  <c r="O460" i="3"/>
  <c r="P460" i="3"/>
  <c r="N461" i="3"/>
  <c r="O461" i="3"/>
  <c r="P461" i="3"/>
  <c r="N462" i="3"/>
  <c r="O462" i="3"/>
  <c r="P462" i="3"/>
  <c r="N463" i="3"/>
  <c r="O463" i="3"/>
  <c r="P463" i="3"/>
  <c r="N464" i="3"/>
  <c r="O464" i="3"/>
  <c r="P464" i="3"/>
  <c r="N465" i="3"/>
  <c r="O465" i="3"/>
  <c r="P465" i="3"/>
  <c r="N466" i="3"/>
  <c r="O466" i="3"/>
  <c r="P466" i="3"/>
  <c r="N467" i="3"/>
  <c r="O467" i="3"/>
  <c r="P467" i="3"/>
  <c r="N468" i="3"/>
  <c r="O468" i="3"/>
  <c r="P468" i="3"/>
  <c r="N469" i="3"/>
  <c r="O469" i="3"/>
  <c r="P469" i="3"/>
  <c r="N470" i="3"/>
  <c r="O470" i="3"/>
  <c r="P470" i="3"/>
  <c r="N471" i="3"/>
  <c r="O471" i="3"/>
  <c r="P471" i="3"/>
  <c r="N472" i="3"/>
  <c r="O472" i="3"/>
  <c r="P472" i="3"/>
  <c r="N473" i="3"/>
  <c r="O473" i="3"/>
  <c r="P473" i="3"/>
  <c r="N474" i="3"/>
  <c r="O474" i="3"/>
  <c r="P474" i="3"/>
  <c r="N475" i="3"/>
  <c r="O475" i="3"/>
  <c r="P475" i="3"/>
  <c r="N476" i="3"/>
  <c r="O476" i="3"/>
  <c r="P476" i="3"/>
  <c r="N477" i="3"/>
  <c r="O477" i="3"/>
  <c r="P477" i="3"/>
  <c r="N478" i="3"/>
  <c r="O478" i="3"/>
  <c r="P478" i="3"/>
  <c r="N479" i="3"/>
  <c r="O479" i="3"/>
  <c r="P479" i="3"/>
  <c r="N480" i="3"/>
  <c r="O480" i="3"/>
  <c r="P480" i="3"/>
  <c r="N481" i="3"/>
  <c r="O481" i="3"/>
  <c r="P481" i="3"/>
  <c r="N482" i="3"/>
  <c r="O482" i="3"/>
  <c r="P482" i="3"/>
  <c r="N483" i="3"/>
  <c r="O483" i="3"/>
  <c r="P483" i="3"/>
  <c r="N484" i="3"/>
  <c r="O484" i="3"/>
  <c r="P484" i="3"/>
  <c r="N485" i="3"/>
  <c r="O485" i="3"/>
  <c r="P485" i="3"/>
  <c r="N486" i="3"/>
  <c r="O486" i="3"/>
  <c r="P486" i="3"/>
  <c r="N487" i="3"/>
  <c r="O487" i="3"/>
  <c r="P487" i="3"/>
  <c r="N488" i="3"/>
  <c r="O488" i="3"/>
  <c r="P488" i="3"/>
  <c r="N489" i="3"/>
  <c r="O489" i="3"/>
  <c r="P489" i="3"/>
  <c r="N490" i="3"/>
  <c r="O490" i="3"/>
  <c r="P490" i="3"/>
  <c r="N491" i="3"/>
  <c r="O491" i="3"/>
  <c r="P491" i="3"/>
  <c r="N492" i="3"/>
  <c r="O492" i="3"/>
  <c r="P492" i="3"/>
  <c r="N493" i="3"/>
  <c r="O493" i="3"/>
  <c r="P493" i="3"/>
  <c r="N494" i="3"/>
  <c r="O494" i="3"/>
  <c r="P494" i="3"/>
  <c r="N495" i="3"/>
  <c r="O495" i="3"/>
  <c r="P495" i="3"/>
  <c r="N496" i="3"/>
  <c r="O496" i="3"/>
  <c r="P496" i="3"/>
  <c r="N497" i="3"/>
  <c r="O497" i="3"/>
  <c r="P497" i="3"/>
  <c r="N498" i="3"/>
  <c r="O498" i="3"/>
  <c r="P498" i="3"/>
  <c r="N499" i="3"/>
  <c r="O499" i="3"/>
  <c r="P499" i="3"/>
  <c r="N500" i="3"/>
  <c r="O500" i="3"/>
  <c r="P500" i="3"/>
  <c r="N501" i="3"/>
  <c r="O501" i="3"/>
  <c r="P501" i="3"/>
  <c r="N502" i="3"/>
  <c r="O502" i="3"/>
  <c r="P502" i="3"/>
  <c r="N503" i="3"/>
  <c r="O503" i="3"/>
  <c r="P503" i="3"/>
  <c r="N504" i="3"/>
  <c r="O504" i="3"/>
  <c r="P504" i="3"/>
  <c r="N505" i="3"/>
  <c r="O505" i="3"/>
  <c r="P505" i="3"/>
  <c r="N506" i="3"/>
  <c r="O506" i="3"/>
  <c r="P506" i="3"/>
  <c r="N507" i="3"/>
  <c r="O507" i="3"/>
  <c r="P507" i="3"/>
  <c r="N508" i="3"/>
  <c r="O508" i="3"/>
  <c r="P508" i="3"/>
  <c r="N509" i="3"/>
  <c r="O509" i="3"/>
  <c r="P509" i="3"/>
  <c r="N510" i="3"/>
  <c r="O510" i="3"/>
  <c r="P510" i="3"/>
  <c r="N511" i="3"/>
  <c r="O511" i="3"/>
  <c r="P511" i="3"/>
  <c r="N512" i="3"/>
  <c r="O512" i="3"/>
  <c r="P512" i="3"/>
  <c r="N513" i="3"/>
  <c r="O513" i="3"/>
  <c r="P513" i="3"/>
  <c r="N514" i="3"/>
  <c r="O514" i="3"/>
  <c r="P514" i="3"/>
  <c r="N515" i="3"/>
  <c r="O515" i="3"/>
  <c r="P515" i="3"/>
  <c r="N516" i="3"/>
  <c r="O516" i="3"/>
  <c r="P516" i="3"/>
  <c r="N517" i="3"/>
  <c r="O517" i="3"/>
  <c r="P517" i="3"/>
  <c r="N518" i="3"/>
  <c r="O518" i="3"/>
  <c r="P518" i="3"/>
  <c r="N519" i="3"/>
  <c r="O519" i="3"/>
  <c r="P519" i="3"/>
  <c r="N520" i="3"/>
  <c r="O520" i="3"/>
  <c r="P520" i="3"/>
  <c r="N521" i="3"/>
  <c r="O521" i="3"/>
  <c r="P521" i="3"/>
  <c r="N522" i="3"/>
  <c r="O522" i="3"/>
  <c r="P522" i="3"/>
  <c r="N523" i="3"/>
  <c r="O523" i="3"/>
  <c r="P523" i="3"/>
  <c r="N524" i="3"/>
  <c r="O524" i="3"/>
  <c r="P524" i="3"/>
  <c r="N525" i="3"/>
  <c r="O525" i="3"/>
  <c r="P525" i="3"/>
  <c r="N526" i="3"/>
  <c r="O526" i="3"/>
  <c r="P526" i="3"/>
  <c r="N527" i="3"/>
  <c r="O527" i="3"/>
  <c r="P527" i="3"/>
  <c r="N528" i="3"/>
  <c r="O528" i="3"/>
  <c r="P528" i="3"/>
  <c r="P2" i="3"/>
  <c r="O2" i="3"/>
  <c r="N2" i="3"/>
  <c r="G3" i="3"/>
  <c r="H3" i="3"/>
  <c r="I3" i="3"/>
  <c r="J3" i="3"/>
  <c r="L3" i="3" s="1"/>
  <c r="K3" i="3"/>
  <c r="M3" i="3" s="1"/>
  <c r="G4" i="3"/>
  <c r="H4" i="3"/>
  <c r="I4" i="3"/>
  <c r="J4" i="3"/>
  <c r="L4" i="3" s="1"/>
  <c r="K4" i="3"/>
  <c r="M4" i="3" s="1"/>
  <c r="G5" i="3"/>
  <c r="I5" i="3"/>
  <c r="J5" i="3"/>
  <c r="L5" i="3" s="1"/>
  <c r="K5" i="3"/>
  <c r="M5" i="3" s="1"/>
  <c r="G6" i="3"/>
  <c r="H6" i="3"/>
  <c r="I6" i="3"/>
  <c r="J6" i="3"/>
  <c r="L6" i="3" s="1"/>
  <c r="K6" i="3"/>
  <c r="M6" i="3" s="1"/>
  <c r="G7" i="3"/>
  <c r="H7" i="3"/>
  <c r="I7" i="3"/>
  <c r="J7" i="3"/>
  <c r="L7" i="3" s="1"/>
  <c r="K7" i="3"/>
  <c r="M7" i="3" s="1"/>
  <c r="G8" i="3"/>
  <c r="H8" i="3"/>
  <c r="I8" i="3"/>
  <c r="J8" i="3"/>
  <c r="L8" i="3" s="1"/>
  <c r="K8" i="3"/>
  <c r="M8" i="3" s="1"/>
  <c r="G9" i="3"/>
  <c r="I9" i="3"/>
  <c r="J9" i="3"/>
  <c r="L9" i="3" s="1"/>
  <c r="K9" i="3"/>
  <c r="M9" i="3" s="1"/>
  <c r="G10" i="3"/>
  <c r="H10" i="3"/>
  <c r="I10" i="3"/>
  <c r="J10" i="3"/>
  <c r="L10" i="3" s="1"/>
  <c r="K10" i="3"/>
  <c r="M10" i="3" s="1"/>
  <c r="G11" i="3"/>
  <c r="H11" i="3"/>
  <c r="I11" i="3"/>
  <c r="J11" i="3"/>
  <c r="L11" i="3" s="1"/>
  <c r="K11" i="3"/>
  <c r="M11" i="3" s="1"/>
  <c r="G12" i="3"/>
  <c r="H12" i="3"/>
  <c r="I12" i="3"/>
  <c r="J12" i="3"/>
  <c r="L12" i="3" s="1"/>
  <c r="K12" i="3"/>
  <c r="M12" i="3" s="1"/>
  <c r="G13" i="3"/>
  <c r="H13" i="3"/>
  <c r="I13" i="3"/>
  <c r="J13" i="3"/>
  <c r="L13" i="3" s="1"/>
  <c r="K13" i="3"/>
  <c r="M13" i="3" s="1"/>
  <c r="G14" i="3"/>
  <c r="H14" i="3"/>
  <c r="I14" i="3"/>
  <c r="J14" i="3"/>
  <c r="L14" i="3" s="1"/>
  <c r="K14" i="3"/>
  <c r="M14" i="3" s="1"/>
  <c r="G15" i="3"/>
  <c r="H15" i="3"/>
  <c r="I15" i="3"/>
  <c r="J15" i="3"/>
  <c r="L15" i="3" s="1"/>
  <c r="K15" i="3"/>
  <c r="M15" i="3" s="1"/>
  <c r="G16" i="3"/>
  <c r="I16" i="3"/>
  <c r="J16" i="3"/>
  <c r="L16" i="3" s="1"/>
  <c r="K16" i="3"/>
  <c r="M16" i="3" s="1"/>
  <c r="G17" i="3"/>
  <c r="H17" i="3"/>
  <c r="I17" i="3"/>
  <c r="J17" i="3"/>
  <c r="L17" i="3" s="1"/>
  <c r="K17" i="3"/>
  <c r="M17" i="3" s="1"/>
  <c r="G18" i="3"/>
  <c r="H18" i="3"/>
  <c r="I18" i="3"/>
  <c r="J18" i="3"/>
  <c r="L18" i="3" s="1"/>
  <c r="K18" i="3"/>
  <c r="M18" i="3" s="1"/>
  <c r="G19" i="3"/>
  <c r="H19" i="3"/>
  <c r="I19" i="3"/>
  <c r="J19" i="3"/>
  <c r="L19" i="3" s="1"/>
  <c r="K19" i="3"/>
  <c r="M19" i="3" s="1"/>
  <c r="G20" i="3"/>
  <c r="H20" i="3"/>
  <c r="I20" i="3"/>
  <c r="J20" i="3"/>
  <c r="L20" i="3" s="1"/>
  <c r="K20" i="3"/>
  <c r="M20" i="3" s="1"/>
  <c r="G21" i="3"/>
  <c r="H21" i="3"/>
  <c r="I21" i="3"/>
  <c r="J21" i="3"/>
  <c r="L21" i="3" s="1"/>
  <c r="K21" i="3"/>
  <c r="M21" i="3" s="1"/>
  <c r="G22" i="3"/>
  <c r="H22" i="3"/>
  <c r="I22" i="3"/>
  <c r="J22" i="3"/>
  <c r="L22" i="3" s="1"/>
  <c r="K22" i="3"/>
  <c r="M22" i="3" s="1"/>
  <c r="G23" i="3"/>
  <c r="H23" i="3"/>
  <c r="I23" i="3"/>
  <c r="J23" i="3"/>
  <c r="L23" i="3" s="1"/>
  <c r="K23" i="3"/>
  <c r="M23" i="3" s="1"/>
  <c r="G24" i="3"/>
  <c r="H24" i="3"/>
  <c r="I24" i="3"/>
  <c r="J24" i="3"/>
  <c r="L24" i="3" s="1"/>
  <c r="K24" i="3"/>
  <c r="M24" i="3" s="1"/>
  <c r="G25" i="3"/>
  <c r="H25" i="3"/>
  <c r="I25" i="3"/>
  <c r="J25" i="3"/>
  <c r="L25" i="3" s="1"/>
  <c r="K25" i="3"/>
  <c r="M25" i="3" s="1"/>
  <c r="G26" i="3"/>
  <c r="H26" i="3"/>
  <c r="I26" i="3"/>
  <c r="J26" i="3"/>
  <c r="L26" i="3" s="1"/>
  <c r="K26" i="3"/>
  <c r="M26" i="3" s="1"/>
  <c r="G27" i="3"/>
  <c r="H27" i="3"/>
  <c r="I27" i="3"/>
  <c r="J27" i="3"/>
  <c r="L27" i="3" s="1"/>
  <c r="K27" i="3"/>
  <c r="M27" i="3" s="1"/>
  <c r="G28" i="3"/>
  <c r="H28" i="3"/>
  <c r="I28" i="3"/>
  <c r="J28" i="3"/>
  <c r="L28" i="3" s="1"/>
  <c r="K28" i="3"/>
  <c r="M28" i="3" s="1"/>
  <c r="G29" i="3"/>
  <c r="H29" i="3"/>
  <c r="I29" i="3"/>
  <c r="J29" i="3"/>
  <c r="L29" i="3" s="1"/>
  <c r="K29" i="3"/>
  <c r="M29" i="3" s="1"/>
  <c r="G30" i="3"/>
  <c r="H30" i="3"/>
  <c r="I30" i="3"/>
  <c r="J30" i="3"/>
  <c r="L30" i="3" s="1"/>
  <c r="K30" i="3"/>
  <c r="M30" i="3" s="1"/>
  <c r="G31" i="3"/>
  <c r="H31" i="3"/>
  <c r="I31" i="3"/>
  <c r="J31" i="3"/>
  <c r="L31" i="3" s="1"/>
  <c r="K31" i="3"/>
  <c r="M31" i="3" s="1"/>
  <c r="G32" i="3"/>
  <c r="H32" i="3"/>
  <c r="I32" i="3"/>
  <c r="J32" i="3"/>
  <c r="L32" i="3" s="1"/>
  <c r="K32" i="3"/>
  <c r="M32" i="3" s="1"/>
  <c r="G33" i="3"/>
  <c r="H33" i="3"/>
  <c r="I33" i="3"/>
  <c r="J33" i="3"/>
  <c r="L33" i="3" s="1"/>
  <c r="K33" i="3"/>
  <c r="M33" i="3" s="1"/>
  <c r="G34" i="3"/>
  <c r="H34" i="3"/>
  <c r="I34" i="3"/>
  <c r="J34" i="3"/>
  <c r="L34" i="3" s="1"/>
  <c r="K34" i="3"/>
  <c r="M34" i="3" s="1"/>
  <c r="G35" i="3"/>
  <c r="H35" i="3"/>
  <c r="I35" i="3"/>
  <c r="J35" i="3"/>
  <c r="L35" i="3" s="1"/>
  <c r="K35" i="3"/>
  <c r="M35" i="3" s="1"/>
  <c r="G36" i="3"/>
  <c r="H36" i="3"/>
  <c r="I36" i="3"/>
  <c r="J36" i="3"/>
  <c r="L36" i="3" s="1"/>
  <c r="K36" i="3"/>
  <c r="M36" i="3" s="1"/>
  <c r="G37" i="3"/>
  <c r="H37" i="3"/>
  <c r="I37" i="3"/>
  <c r="J37" i="3"/>
  <c r="L37" i="3" s="1"/>
  <c r="K37" i="3"/>
  <c r="M37" i="3" s="1"/>
  <c r="G38" i="3"/>
  <c r="H38" i="3"/>
  <c r="I38" i="3"/>
  <c r="J38" i="3"/>
  <c r="L38" i="3" s="1"/>
  <c r="K38" i="3"/>
  <c r="M38" i="3" s="1"/>
  <c r="G39" i="3"/>
  <c r="H39" i="3"/>
  <c r="I39" i="3"/>
  <c r="J39" i="3"/>
  <c r="L39" i="3" s="1"/>
  <c r="K39" i="3"/>
  <c r="M39" i="3" s="1"/>
  <c r="G40" i="3"/>
  <c r="H40" i="3"/>
  <c r="I40" i="3"/>
  <c r="J40" i="3"/>
  <c r="L40" i="3" s="1"/>
  <c r="K40" i="3"/>
  <c r="M40" i="3" s="1"/>
  <c r="G41" i="3"/>
  <c r="H41" i="3"/>
  <c r="I41" i="3"/>
  <c r="J41" i="3"/>
  <c r="L41" i="3" s="1"/>
  <c r="K41" i="3"/>
  <c r="M41" i="3" s="1"/>
  <c r="G42" i="3"/>
  <c r="H42" i="3"/>
  <c r="I42" i="3"/>
  <c r="J42" i="3"/>
  <c r="L42" i="3" s="1"/>
  <c r="K42" i="3"/>
  <c r="M42" i="3" s="1"/>
  <c r="G43" i="3"/>
  <c r="H43" i="3"/>
  <c r="I43" i="3"/>
  <c r="J43" i="3"/>
  <c r="L43" i="3" s="1"/>
  <c r="K43" i="3"/>
  <c r="M43" i="3" s="1"/>
  <c r="G44" i="3"/>
  <c r="H44" i="3"/>
  <c r="I44" i="3"/>
  <c r="J44" i="3"/>
  <c r="L44" i="3" s="1"/>
  <c r="K44" i="3"/>
  <c r="M44" i="3" s="1"/>
  <c r="G45" i="3"/>
  <c r="H45" i="3"/>
  <c r="I45" i="3"/>
  <c r="J45" i="3"/>
  <c r="L45" i="3" s="1"/>
  <c r="K45" i="3"/>
  <c r="M45" i="3" s="1"/>
  <c r="G46" i="3"/>
  <c r="H46" i="3"/>
  <c r="I46" i="3"/>
  <c r="J46" i="3"/>
  <c r="L46" i="3" s="1"/>
  <c r="K46" i="3"/>
  <c r="M46" i="3" s="1"/>
  <c r="G47" i="3"/>
  <c r="I47" i="3"/>
  <c r="J47" i="3"/>
  <c r="L47" i="3" s="1"/>
  <c r="K47" i="3"/>
  <c r="M47" i="3" s="1"/>
  <c r="G48" i="3"/>
  <c r="H48" i="3"/>
  <c r="I48" i="3"/>
  <c r="J48" i="3"/>
  <c r="L48" i="3" s="1"/>
  <c r="K48" i="3"/>
  <c r="M48" i="3" s="1"/>
  <c r="G49" i="3"/>
  <c r="H49" i="3"/>
  <c r="I49" i="3"/>
  <c r="J49" i="3"/>
  <c r="L49" i="3" s="1"/>
  <c r="K49" i="3"/>
  <c r="M49" i="3" s="1"/>
  <c r="G50" i="3"/>
  <c r="H50" i="3"/>
  <c r="I50" i="3"/>
  <c r="J50" i="3"/>
  <c r="L50" i="3" s="1"/>
  <c r="K50" i="3"/>
  <c r="M50" i="3" s="1"/>
  <c r="G51" i="3"/>
  <c r="H51" i="3"/>
  <c r="I51" i="3"/>
  <c r="J51" i="3"/>
  <c r="L51" i="3" s="1"/>
  <c r="K51" i="3"/>
  <c r="M51" i="3" s="1"/>
  <c r="G52" i="3"/>
  <c r="H52" i="3"/>
  <c r="I52" i="3"/>
  <c r="J52" i="3"/>
  <c r="L52" i="3" s="1"/>
  <c r="K52" i="3"/>
  <c r="M52" i="3" s="1"/>
  <c r="G53" i="3"/>
  <c r="H53" i="3"/>
  <c r="I53" i="3"/>
  <c r="J53" i="3"/>
  <c r="L53" i="3" s="1"/>
  <c r="K53" i="3"/>
  <c r="M53" i="3" s="1"/>
  <c r="G54" i="3"/>
  <c r="H54" i="3"/>
  <c r="I54" i="3"/>
  <c r="J54" i="3"/>
  <c r="L54" i="3" s="1"/>
  <c r="K54" i="3"/>
  <c r="M54" i="3" s="1"/>
  <c r="G55" i="3"/>
  <c r="H55" i="3"/>
  <c r="I55" i="3"/>
  <c r="J55" i="3"/>
  <c r="L55" i="3" s="1"/>
  <c r="K55" i="3"/>
  <c r="M55" i="3" s="1"/>
  <c r="G56" i="3"/>
  <c r="H56" i="3"/>
  <c r="I56" i="3"/>
  <c r="J56" i="3"/>
  <c r="L56" i="3" s="1"/>
  <c r="K56" i="3"/>
  <c r="M56" i="3" s="1"/>
  <c r="G57" i="3"/>
  <c r="H57" i="3"/>
  <c r="I57" i="3"/>
  <c r="J57" i="3"/>
  <c r="L57" i="3" s="1"/>
  <c r="K57" i="3"/>
  <c r="M57" i="3" s="1"/>
  <c r="G58" i="3"/>
  <c r="H58" i="3"/>
  <c r="I58" i="3"/>
  <c r="J58" i="3"/>
  <c r="L58" i="3" s="1"/>
  <c r="K58" i="3"/>
  <c r="M58" i="3" s="1"/>
  <c r="G59" i="3"/>
  <c r="H59" i="3"/>
  <c r="I59" i="3"/>
  <c r="J59" i="3"/>
  <c r="L59" i="3" s="1"/>
  <c r="K59" i="3"/>
  <c r="M59" i="3" s="1"/>
  <c r="G60" i="3"/>
  <c r="H60" i="3"/>
  <c r="I60" i="3"/>
  <c r="J60" i="3"/>
  <c r="L60" i="3" s="1"/>
  <c r="K60" i="3"/>
  <c r="M60" i="3" s="1"/>
  <c r="G61" i="3"/>
  <c r="H61" i="3"/>
  <c r="I61" i="3"/>
  <c r="J61" i="3"/>
  <c r="L61" i="3" s="1"/>
  <c r="K61" i="3"/>
  <c r="M61" i="3" s="1"/>
  <c r="G62" i="3"/>
  <c r="H62" i="3"/>
  <c r="I62" i="3"/>
  <c r="J62" i="3"/>
  <c r="L62" i="3" s="1"/>
  <c r="K62" i="3"/>
  <c r="M62" i="3" s="1"/>
  <c r="G63" i="3"/>
  <c r="H63" i="3"/>
  <c r="I63" i="3"/>
  <c r="J63" i="3"/>
  <c r="L63" i="3" s="1"/>
  <c r="K63" i="3"/>
  <c r="M63" i="3" s="1"/>
  <c r="G64" i="3"/>
  <c r="H64" i="3"/>
  <c r="I64" i="3"/>
  <c r="J64" i="3"/>
  <c r="L64" i="3" s="1"/>
  <c r="K64" i="3"/>
  <c r="M64" i="3" s="1"/>
  <c r="G65" i="3"/>
  <c r="H65" i="3"/>
  <c r="I65" i="3"/>
  <c r="J65" i="3"/>
  <c r="L65" i="3" s="1"/>
  <c r="K65" i="3"/>
  <c r="M65" i="3" s="1"/>
  <c r="G66" i="3"/>
  <c r="H66" i="3"/>
  <c r="I66" i="3"/>
  <c r="J66" i="3"/>
  <c r="L66" i="3" s="1"/>
  <c r="K66" i="3"/>
  <c r="M66" i="3" s="1"/>
  <c r="G67" i="3"/>
  <c r="H67" i="3"/>
  <c r="I67" i="3"/>
  <c r="J67" i="3"/>
  <c r="L67" i="3" s="1"/>
  <c r="K67" i="3"/>
  <c r="M67" i="3" s="1"/>
  <c r="G68" i="3"/>
  <c r="H68" i="3"/>
  <c r="I68" i="3"/>
  <c r="J68" i="3"/>
  <c r="L68" i="3" s="1"/>
  <c r="K68" i="3"/>
  <c r="M68" i="3" s="1"/>
  <c r="G69" i="3"/>
  <c r="H69" i="3"/>
  <c r="I69" i="3"/>
  <c r="J69" i="3"/>
  <c r="L69" i="3" s="1"/>
  <c r="K69" i="3"/>
  <c r="M69" i="3" s="1"/>
  <c r="G70" i="3"/>
  <c r="H70" i="3"/>
  <c r="I70" i="3"/>
  <c r="J70" i="3"/>
  <c r="L70" i="3" s="1"/>
  <c r="K70" i="3"/>
  <c r="M70" i="3" s="1"/>
  <c r="G71" i="3"/>
  <c r="H71" i="3"/>
  <c r="I71" i="3"/>
  <c r="J71" i="3"/>
  <c r="L71" i="3" s="1"/>
  <c r="K71" i="3"/>
  <c r="M71" i="3" s="1"/>
  <c r="G72" i="3"/>
  <c r="H72" i="3"/>
  <c r="I72" i="3"/>
  <c r="J72" i="3"/>
  <c r="L72" i="3" s="1"/>
  <c r="K72" i="3"/>
  <c r="M72" i="3" s="1"/>
  <c r="G73" i="3"/>
  <c r="H73" i="3"/>
  <c r="I73" i="3"/>
  <c r="J73" i="3"/>
  <c r="L73" i="3" s="1"/>
  <c r="K73" i="3"/>
  <c r="M73" i="3" s="1"/>
  <c r="G74" i="3"/>
  <c r="H74" i="3"/>
  <c r="I74" i="3"/>
  <c r="J74" i="3"/>
  <c r="L74" i="3" s="1"/>
  <c r="K74" i="3"/>
  <c r="M74" i="3" s="1"/>
  <c r="G75" i="3"/>
  <c r="H75" i="3"/>
  <c r="I75" i="3"/>
  <c r="J75" i="3"/>
  <c r="L75" i="3" s="1"/>
  <c r="K75" i="3"/>
  <c r="M75" i="3" s="1"/>
  <c r="G76" i="3"/>
  <c r="H76" i="3"/>
  <c r="I76" i="3"/>
  <c r="J76" i="3"/>
  <c r="L76" i="3" s="1"/>
  <c r="K76" i="3"/>
  <c r="M76" i="3" s="1"/>
  <c r="G77" i="3"/>
  <c r="H77" i="3"/>
  <c r="I77" i="3"/>
  <c r="J77" i="3"/>
  <c r="L77" i="3" s="1"/>
  <c r="K77" i="3"/>
  <c r="M77" i="3" s="1"/>
  <c r="G78" i="3"/>
  <c r="H78" i="3"/>
  <c r="I78" i="3"/>
  <c r="J78" i="3"/>
  <c r="L78" i="3" s="1"/>
  <c r="K78" i="3"/>
  <c r="M78" i="3" s="1"/>
  <c r="G79" i="3"/>
  <c r="H79" i="3"/>
  <c r="I79" i="3"/>
  <c r="J79" i="3"/>
  <c r="L79" i="3" s="1"/>
  <c r="K79" i="3"/>
  <c r="M79" i="3" s="1"/>
  <c r="G80" i="3"/>
  <c r="I80" i="3"/>
  <c r="J80" i="3"/>
  <c r="L80" i="3" s="1"/>
  <c r="K80" i="3"/>
  <c r="M80" i="3" s="1"/>
  <c r="G81" i="3"/>
  <c r="H81" i="3"/>
  <c r="I81" i="3"/>
  <c r="J81" i="3"/>
  <c r="L81" i="3" s="1"/>
  <c r="K81" i="3"/>
  <c r="M81" i="3" s="1"/>
  <c r="G82" i="3"/>
  <c r="H82" i="3"/>
  <c r="I82" i="3"/>
  <c r="J82" i="3"/>
  <c r="L82" i="3" s="1"/>
  <c r="K82" i="3"/>
  <c r="M82" i="3" s="1"/>
  <c r="G83" i="3"/>
  <c r="H83" i="3"/>
  <c r="I83" i="3"/>
  <c r="J83" i="3"/>
  <c r="L83" i="3" s="1"/>
  <c r="K83" i="3"/>
  <c r="M83" i="3" s="1"/>
  <c r="G84" i="3"/>
  <c r="H84" i="3"/>
  <c r="I84" i="3"/>
  <c r="J84" i="3"/>
  <c r="L84" i="3" s="1"/>
  <c r="K84" i="3"/>
  <c r="M84" i="3" s="1"/>
  <c r="G85" i="3"/>
  <c r="H85" i="3"/>
  <c r="I85" i="3"/>
  <c r="J85" i="3"/>
  <c r="L85" i="3" s="1"/>
  <c r="K85" i="3"/>
  <c r="M85" i="3" s="1"/>
  <c r="G86" i="3"/>
  <c r="H86" i="3"/>
  <c r="I86" i="3"/>
  <c r="J86" i="3"/>
  <c r="L86" i="3" s="1"/>
  <c r="K86" i="3"/>
  <c r="M86" i="3" s="1"/>
  <c r="G87" i="3"/>
  <c r="I87" i="3"/>
  <c r="J87" i="3"/>
  <c r="L87" i="3" s="1"/>
  <c r="K87" i="3"/>
  <c r="M87" i="3" s="1"/>
  <c r="G88" i="3"/>
  <c r="I88" i="3"/>
  <c r="J88" i="3"/>
  <c r="L88" i="3" s="1"/>
  <c r="K88" i="3"/>
  <c r="M88" i="3" s="1"/>
  <c r="G89" i="3"/>
  <c r="H89" i="3"/>
  <c r="I89" i="3"/>
  <c r="J89" i="3"/>
  <c r="L89" i="3" s="1"/>
  <c r="K89" i="3"/>
  <c r="M89" i="3" s="1"/>
  <c r="G90" i="3"/>
  <c r="H90" i="3"/>
  <c r="I90" i="3"/>
  <c r="J90" i="3"/>
  <c r="L90" i="3" s="1"/>
  <c r="K90" i="3"/>
  <c r="M90" i="3" s="1"/>
  <c r="G91" i="3"/>
  <c r="H91" i="3"/>
  <c r="I91" i="3"/>
  <c r="J91" i="3"/>
  <c r="L91" i="3" s="1"/>
  <c r="K91" i="3"/>
  <c r="M91" i="3" s="1"/>
  <c r="G92" i="3"/>
  <c r="H92" i="3"/>
  <c r="I92" i="3"/>
  <c r="J92" i="3"/>
  <c r="L92" i="3" s="1"/>
  <c r="K92" i="3"/>
  <c r="M92" i="3" s="1"/>
  <c r="G93" i="3"/>
  <c r="H93" i="3"/>
  <c r="I93" i="3"/>
  <c r="J93" i="3"/>
  <c r="L93" i="3" s="1"/>
  <c r="K93" i="3"/>
  <c r="M93" i="3" s="1"/>
  <c r="G94" i="3"/>
  <c r="H94" i="3"/>
  <c r="I94" i="3"/>
  <c r="J94" i="3"/>
  <c r="L94" i="3" s="1"/>
  <c r="K94" i="3"/>
  <c r="M94" i="3" s="1"/>
  <c r="G95" i="3"/>
  <c r="H95" i="3"/>
  <c r="I95" i="3"/>
  <c r="J95" i="3"/>
  <c r="L95" i="3" s="1"/>
  <c r="K95" i="3"/>
  <c r="M95" i="3" s="1"/>
  <c r="G96" i="3"/>
  <c r="H96" i="3"/>
  <c r="I96" i="3"/>
  <c r="J96" i="3"/>
  <c r="L96" i="3" s="1"/>
  <c r="K96" i="3"/>
  <c r="M96" i="3" s="1"/>
  <c r="G97" i="3"/>
  <c r="H97" i="3"/>
  <c r="I97" i="3"/>
  <c r="J97" i="3"/>
  <c r="L97" i="3" s="1"/>
  <c r="K97" i="3"/>
  <c r="M97" i="3" s="1"/>
  <c r="G98" i="3"/>
  <c r="H98" i="3"/>
  <c r="I98" i="3"/>
  <c r="J98" i="3"/>
  <c r="L98" i="3" s="1"/>
  <c r="K98" i="3"/>
  <c r="M98" i="3" s="1"/>
  <c r="G99" i="3"/>
  <c r="H99" i="3"/>
  <c r="I99" i="3"/>
  <c r="J99" i="3"/>
  <c r="L99" i="3" s="1"/>
  <c r="K99" i="3"/>
  <c r="M99" i="3" s="1"/>
  <c r="G100" i="3"/>
  <c r="H100" i="3"/>
  <c r="I100" i="3"/>
  <c r="J100" i="3"/>
  <c r="L100" i="3" s="1"/>
  <c r="K100" i="3"/>
  <c r="M100" i="3" s="1"/>
  <c r="G101" i="3"/>
  <c r="H101" i="3"/>
  <c r="I101" i="3"/>
  <c r="J101" i="3"/>
  <c r="L101" i="3" s="1"/>
  <c r="K101" i="3"/>
  <c r="M101" i="3" s="1"/>
  <c r="G102" i="3"/>
  <c r="H102" i="3"/>
  <c r="I102" i="3"/>
  <c r="J102" i="3"/>
  <c r="L102" i="3" s="1"/>
  <c r="K102" i="3"/>
  <c r="M102" i="3" s="1"/>
  <c r="G103" i="3"/>
  <c r="I103" i="3"/>
  <c r="J103" i="3"/>
  <c r="L103" i="3" s="1"/>
  <c r="K103" i="3"/>
  <c r="M103" i="3" s="1"/>
  <c r="G104" i="3"/>
  <c r="H104" i="3"/>
  <c r="I104" i="3"/>
  <c r="J104" i="3"/>
  <c r="L104" i="3" s="1"/>
  <c r="K104" i="3"/>
  <c r="M104" i="3" s="1"/>
  <c r="G105" i="3"/>
  <c r="I105" i="3"/>
  <c r="J105" i="3"/>
  <c r="L105" i="3" s="1"/>
  <c r="K105" i="3"/>
  <c r="M105" i="3" s="1"/>
  <c r="G106" i="3"/>
  <c r="H106" i="3"/>
  <c r="I106" i="3"/>
  <c r="J106" i="3"/>
  <c r="L106" i="3" s="1"/>
  <c r="K106" i="3"/>
  <c r="M106" i="3" s="1"/>
  <c r="G107" i="3"/>
  <c r="H107" i="3"/>
  <c r="I107" i="3"/>
  <c r="J107" i="3"/>
  <c r="L107" i="3" s="1"/>
  <c r="K107" i="3"/>
  <c r="M107" i="3" s="1"/>
  <c r="G108" i="3"/>
  <c r="H108" i="3"/>
  <c r="I108" i="3"/>
  <c r="J108" i="3"/>
  <c r="L108" i="3" s="1"/>
  <c r="K108" i="3"/>
  <c r="M108" i="3" s="1"/>
  <c r="G109" i="3"/>
  <c r="H109" i="3"/>
  <c r="I109" i="3"/>
  <c r="J109" i="3"/>
  <c r="L109" i="3" s="1"/>
  <c r="K109" i="3"/>
  <c r="M109" i="3" s="1"/>
  <c r="G110" i="3"/>
  <c r="H110" i="3"/>
  <c r="I110" i="3"/>
  <c r="J110" i="3"/>
  <c r="L110" i="3" s="1"/>
  <c r="K110" i="3"/>
  <c r="M110" i="3" s="1"/>
  <c r="G111" i="3"/>
  <c r="H111" i="3"/>
  <c r="I111" i="3"/>
  <c r="J111" i="3"/>
  <c r="L111" i="3" s="1"/>
  <c r="K111" i="3"/>
  <c r="M111" i="3" s="1"/>
  <c r="G112" i="3"/>
  <c r="H112" i="3"/>
  <c r="I112" i="3"/>
  <c r="J112" i="3"/>
  <c r="L112" i="3" s="1"/>
  <c r="K112" i="3"/>
  <c r="M112" i="3" s="1"/>
  <c r="G113" i="3"/>
  <c r="H113" i="3"/>
  <c r="I113" i="3"/>
  <c r="J113" i="3"/>
  <c r="L113" i="3" s="1"/>
  <c r="K113" i="3"/>
  <c r="M113" i="3" s="1"/>
  <c r="G114" i="3"/>
  <c r="H114" i="3"/>
  <c r="I114" i="3"/>
  <c r="J114" i="3"/>
  <c r="L114" i="3" s="1"/>
  <c r="K114" i="3"/>
  <c r="M114" i="3" s="1"/>
  <c r="G115" i="3"/>
  <c r="H115" i="3"/>
  <c r="I115" i="3"/>
  <c r="J115" i="3"/>
  <c r="L115" i="3" s="1"/>
  <c r="K115" i="3"/>
  <c r="M115" i="3" s="1"/>
  <c r="G116" i="3"/>
  <c r="H116" i="3"/>
  <c r="I116" i="3"/>
  <c r="J116" i="3"/>
  <c r="L116" i="3" s="1"/>
  <c r="K116" i="3"/>
  <c r="M116" i="3" s="1"/>
  <c r="G117" i="3"/>
  <c r="H117" i="3"/>
  <c r="I117" i="3"/>
  <c r="J117" i="3"/>
  <c r="L117" i="3" s="1"/>
  <c r="K117" i="3"/>
  <c r="M117" i="3" s="1"/>
  <c r="G118" i="3"/>
  <c r="H118" i="3"/>
  <c r="I118" i="3"/>
  <c r="J118" i="3"/>
  <c r="L118" i="3" s="1"/>
  <c r="K118" i="3"/>
  <c r="M118" i="3" s="1"/>
  <c r="G119" i="3"/>
  <c r="H119" i="3"/>
  <c r="I119" i="3"/>
  <c r="J119" i="3"/>
  <c r="L119" i="3" s="1"/>
  <c r="K119" i="3"/>
  <c r="M119" i="3" s="1"/>
  <c r="G120" i="3"/>
  <c r="H120" i="3"/>
  <c r="I120" i="3"/>
  <c r="J120" i="3"/>
  <c r="L120" i="3" s="1"/>
  <c r="K120" i="3"/>
  <c r="M120" i="3" s="1"/>
  <c r="G121" i="3"/>
  <c r="I121" i="3"/>
  <c r="J121" i="3"/>
  <c r="L121" i="3" s="1"/>
  <c r="K121" i="3"/>
  <c r="M121" i="3" s="1"/>
  <c r="G122" i="3"/>
  <c r="H122" i="3"/>
  <c r="I122" i="3"/>
  <c r="J122" i="3"/>
  <c r="L122" i="3" s="1"/>
  <c r="K122" i="3"/>
  <c r="M122" i="3" s="1"/>
  <c r="G123" i="3"/>
  <c r="H123" i="3"/>
  <c r="I123" i="3"/>
  <c r="J123" i="3"/>
  <c r="L123" i="3" s="1"/>
  <c r="K123" i="3"/>
  <c r="M123" i="3" s="1"/>
  <c r="G124" i="3"/>
  <c r="H124" i="3"/>
  <c r="I124" i="3"/>
  <c r="J124" i="3"/>
  <c r="L124" i="3" s="1"/>
  <c r="K124" i="3"/>
  <c r="M124" i="3" s="1"/>
  <c r="G125" i="3"/>
  <c r="H125" i="3"/>
  <c r="I125" i="3"/>
  <c r="J125" i="3"/>
  <c r="L125" i="3" s="1"/>
  <c r="K125" i="3"/>
  <c r="M125" i="3" s="1"/>
  <c r="G126" i="3"/>
  <c r="I126" i="3"/>
  <c r="J126" i="3"/>
  <c r="L126" i="3" s="1"/>
  <c r="K126" i="3"/>
  <c r="M126" i="3" s="1"/>
  <c r="G127" i="3"/>
  <c r="I127" i="3"/>
  <c r="J127" i="3"/>
  <c r="L127" i="3" s="1"/>
  <c r="K127" i="3"/>
  <c r="M127" i="3" s="1"/>
  <c r="G128" i="3"/>
  <c r="H128" i="3"/>
  <c r="I128" i="3"/>
  <c r="J128" i="3"/>
  <c r="L128" i="3" s="1"/>
  <c r="K128" i="3"/>
  <c r="M128" i="3" s="1"/>
  <c r="G129" i="3"/>
  <c r="H129" i="3"/>
  <c r="I129" i="3"/>
  <c r="J129" i="3"/>
  <c r="L129" i="3" s="1"/>
  <c r="K129" i="3"/>
  <c r="M129" i="3" s="1"/>
  <c r="G130" i="3"/>
  <c r="H130" i="3"/>
  <c r="I130" i="3"/>
  <c r="J130" i="3"/>
  <c r="L130" i="3" s="1"/>
  <c r="K130" i="3"/>
  <c r="M130" i="3" s="1"/>
  <c r="G131" i="3"/>
  <c r="I131" i="3"/>
  <c r="J131" i="3"/>
  <c r="L131" i="3" s="1"/>
  <c r="K131" i="3"/>
  <c r="M131" i="3" s="1"/>
  <c r="G132" i="3"/>
  <c r="I132" i="3"/>
  <c r="J132" i="3"/>
  <c r="L132" i="3" s="1"/>
  <c r="K132" i="3"/>
  <c r="M132" i="3" s="1"/>
  <c r="G133" i="3"/>
  <c r="H133" i="3"/>
  <c r="I133" i="3"/>
  <c r="J133" i="3"/>
  <c r="L133" i="3" s="1"/>
  <c r="K133" i="3"/>
  <c r="M133" i="3" s="1"/>
  <c r="G134" i="3"/>
  <c r="H134" i="3"/>
  <c r="I134" i="3"/>
  <c r="J134" i="3"/>
  <c r="L134" i="3" s="1"/>
  <c r="K134" i="3"/>
  <c r="M134" i="3" s="1"/>
  <c r="G135" i="3"/>
  <c r="H135" i="3"/>
  <c r="I135" i="3"/>
  <c r="J135" i="3"/>
  <c r="L135" i="3" s="1"/>
  <c r="K135" i="3"/>
  <c r="M135" i="3" s="1"/>
  <c r="G136" i="3"/>
  <c r="I136" i="3"/>
  <c r="J136" i="3"/>
  <c r="L136" i="3" s="1"/>
  <c r="K136" i="3"/>
  <c r="M136" i="3" s="1"/>
  <c r="G137" i="3"/>
  <c r="H137" i="3"/>
  <c r="I137" i="3"/>
  <c r="J137" i="3"/>
  <c r="L137" i="3" s="1"/>
  <c r="K137" i="3"/>
  <c r="M137" i="3" s="1"/>
  <c r="G138" i="3"/>
  <c r="H138" i="3"/>
  <c r="I138" i="3"/>
  <c r="J138" i="3"/>
  <c r="L138" i="3" s="1"/>
  <c r="K138" i="3"/>
  <c r="M138" i="3" s="1"/>
  <c r="G139" i="3"/>
  <c r="H139" i="3"/>
  <c r="I139" i="3"/>
  <c r="J139" i="3"/>
  <c r="L139" i="3" s="1"/>
  <c r="K139" i="3"/>
  <c r="M139" i="3" s="1"/>
  <c r="G140" i="3"/>
  <c r="H140" i="3"/>
  <c r="I140" i="3"/>
  <c r="J140" i="3"/>
  <c r="L140" i="3" s="1"/>
  <c r="K140" i="3"/>
  <c r="M140" i="3" s="1"/>
  <c r="G141" i="3"/>
  <c r="H141" i="3"/>
  <c r="I141" i="3"/>
  <c r="J141" i="3"/>
  <c r="L141" i="3" s="1"/>
  <c r="K141" i="3"/>
  <c r="M141" i="3" s="1"/>
  <c r="G142" i="3"/>
  <c r="H142" i="3"/>
  <c r="I142" i="3"/>
  <c r="J142" i="3"/>
  <c r="L142" i="3" s="1"/>
  <c r="K142" i="3"/>
  <c r="M142" i="3" s="1"/>
  <c r="G143" i="3"/>
  <c r="I143" i="3"/>
  <c r="J143" i="3"/>
  <c r="L143" i="3" s="1"/>
  <c r="K143" i="3"/>
  <c r="M143" i="3" s="1"/>
  <c r="G144" i="3"/>
  <c r="H144" i="3"/>
  <c r="I144" i="3"/>
  <c r="J144" i="3"/>
  <c r="L144" i="3" s="1"/>
  <c r="K144" i="3"/>
  <c r="M144" i="3" s="1"/>
  <c r="G145" i="3"/>
  <c r="H145" i="3"/>
  <c r="I145" i="3"/>
  <c r="J145" i="3"/>
  <c r="L145" i="3" s="1"/>
  <c r="K145" i="3"/>
  <c r="M145" i="3" s="1"/>
  <c r="G146" i="3"/>
  <c r="H146" i="3"/>
  <c r="I146" i="3"/>
  <c r="J146" i="3"/>
  <c r="L146" i="3" s="1"/>
  <c r="K146" i="3"/>
  <c r="M146" i="3" s="1"/>
  <c r="G147" i="3"/>
  <c r="H147" i="3"/>
  <c r="I147" i="3"/>
  <c r="J147" i="3"/>
  <c r="L147" i="3" s="1"/>
  <c r="K147" i="3"/>
  <c r="M147" i="3" s="1"/>
  <c r="G148" i="3"/>
  <c r="H148" i="3"/>
  <c r="I148" i="3"/>
  <c r="J148" i="3"/>
  <c r="L148" i="3" s="1"/>
  <c r="K148" i="3"/>
  <c r="M148" i="3" s="1"/>
  <c r="G149" i="3"/>
  <c r="I149" i="3"/>
  <c r="J149" i="3"/>
  <c r="L149" i="3" s="1"/>
  <c r="K149" i="3"/>
  <c r="M149" i="3" s="1"/>
  <c r="G150" i="3"/>
  <c r="H150" i="3"/>
  <c r="I150" i="3"/>
  <c r="J150" i="3"/>
  <c r="L150" i="3" s="1"/>
  <c r="K150" i="3"/>
  <c r="M150" i="3" s="1"/>
  <c r="G151" i="3"/>
  <c r="H151" i="3"/>
  <c r="I151" i="3"/>
  <c r="J151" i="3"/>
  <c r="L151" i="3" s="1"/>
  <c r="K151" i="3"/>
  <c r="M151" i="3" s="1"/>
  <c r="G152" i="3"/>
  <c r="H152" i="3"/>
  <c r="I152" i="3"/>
  <c r="J152" i="3"/>
  <c r="L152" i="3" s="1"/>
  <c r="K152" i="3"/>
  <c r="M152" i="3" s="1"/>
  <c r="G153" i="3"/>
  <c r="H153" i="3"/>
  <c r="I153" i="3"/>
  <c r="J153" i="3"/>
  <c r="L153" i="3" s="1"/>
  <c r="K153" i="3"/>
  <c r="M153" i="3" s="1"/>
  <c r="G154" i="3"/>
  <c r="H154" i="3"/>
  <c r="I154" i="3"/>
  <c r="J154" i="3"/>
  <c r="L154" i="3" s="1"/>
  <c r="K154" i="3"/>
  <c r="M154" i="3" s="1"/>
  <c r="G155" i="3"/>
  <c r="H155" i="3"/>
  <c r="I155" i="3"/>
  <c r="J155" i="3"/>
  <c r="L155" i="3" s="1"/>
  <c r="K155" i="3"/>
  <c r="M155" i="3" s="1"/>
  <c r="G156" i="3"/>
  <c r="H156" i="3"/>
  <c r="I156" i="3"/>
  <c r="J156" i="3"/>
  <c r="L156" i="3" s="1"/>
  <c r="K156" i="3"/>
  <c r="M156" i="3" s="1"/>
  <c r="G157" i="3"/>
  <c r="H157" i="3"/>
  <c r="I157" i="3"/>
  <c r="J157" i="3"/>
  <c r="L157" i="3" s="1"/>
  <c r="K157" i="3"/>
  <c r="M157" i="3" s="1"/>
  <c r="G158" i="3"/>
  <c r="H158" i="3"/>
  <c r="I158" i="3"/>
  <c r="J158" i="3"/>
  <c r="L158" i="3" s="1"/>
  <c r="K158" i="3"/>
  <c r="M158" i="3" s="1"/>
  <c r="G159" i="3"/>
  <c r="H159" i="3"/>
  <c r="I159" i="3"/>
  <c r="J159" i="3"/>
  <c r="L159" i="3" s="1"/>
  <c r="K159" i="3"/>
  <c r="M159" i="3" s="1"/>
  <c r="G160" i="3"/>
  <c r="I160" i="3"/>
  <c r="J160" i="3"/>
  <c r="L160" i="3" s="1"/>
  <c r="K160" i="3"/>
  <c r="M160" i="3" s="1"/>
  <c r="G161" i="3"/>
  <c r="H161" i="3"/>
  <c r="I161" i="3"/>
  <c r="J161" i="3"/>
  <c r="L161" i="3" s="1"/>
  <c r="K161" i="3"/>
  <c r="M161" i="3" s="1"/>
  <c r="G162" i="3"/>
  <c r="H162" i="3"/>
  <c r="I162" i="3"/>
  <c r="J162" i="3"/>
  <c r="L162" i="3" s="1"/>
  <c r="K162" i="3"/>
  <c r="M162" i="3" s="1"/>
  <c r="G163" i="3"/>
  <c r="H163" i="3"/>
  <c r="I163" i="3"/>
  <c r="J163" i="3"/>
  <c r="L163" i="3" s="1"/>
  <c r="K163" i="3"/>
  <c r="M163" i="3" s="1"/>
  <c r="G164" i="3"/>
  <c r="H164" i="3"/>
  <c r="I164" i="3"/>
  <c r="J164" i="3"/>
  <c r="L164" i="3" s="1"/>
  <c r="K164" i="3"/>
  <c r="M164" i="3" s="1"/>
  <c r="G165" i="3"/>
  <c r="H165" i="3"/>
  <c r="I165" i="3"/>
  <c r="J165" i="3"/>
  <c r="L165" i="3" s="1"/>
  <c r="K165" i="3"/>
  <c r="M165" i="3" s="1"/>
  <c r="G166" i="3"/>
  <c r="H166" i="3"/>
  <c r="I166" i="3"/>
  <c r="J166" i="3"/>
  <c r="L166" i="3" s="1"/>
  <c r="K166" i="3"/>
  <c r="M166" i="3" s="1"/>
  <c r="G167" i="3"/>
  <c r="H167" i="3"/>
  <c r="I167" i="3"/>
  <c r="J167" i="3"/>
  <c r="L167" i="3" s="1"/>
  <c r="K167" i="3"/>
  <c r="M167" i="3" s="1"/>
  <c r="G168" i="3"/>
  <c r="H168" i="3"/>
  <c r="I168" i="3"/>
  <c r="J168" i="3"/>
  <c r="L168" i="3" s="1"/>
  <c r="K168" i="3"/>
  <c r="M168" i="3" s="1"/>
  <c r="G169" i="3"/>
  <c r="H169" i="3"/>
  <c r="I169" i="3"/>
  <c r="J169" i="3"/>
  <c r="L169" i="3" s="1"/>
  <c r="K169" i="3"/>
  <c r="M169" i="3" s="1"/>
  <c r="G170" i="3"/>
  <c r="H170" i="3"/>
  <c r="I170" i="3"/>
  <c r="J170" i="3"/>
  <c r="L170" i="3" s="1"/>
  <c r="K170" i="3"/>
  <c r="M170" i="3" s="1"/>
  <c r="G171" i="3"/>
  <c r="H171" i="3"/>
  <c r="I171" i="3"/>
  <c r="J171" i="3"/>
  <c r="L171" i="3" s="1"/>
  <c r="K171" i="3"/>
  <c r="M171" i="3" s="1"/>
  <c r="G172" i="3"/>
  <c r="H172" i="3"/>
  <c r="I172" i="3"/>
  <c r="J172" i="3"/>
  <c r="L172" i="3" s="1"/>
  <c r="K172" i="3"/>
  <c r="M172" i="3" s="1"/>
  <c r="G173" i="3"/>
  <c r="H173" i="3"/>
  <c r="I173" i="3"/>
  <c r="J173" i="3"/>
  <c r="L173" i="3" s="1"/>
  <c r="K173" i="3"/>
  <c r="M173" i="3" s="1"/>
  <c r="G174" i="3"/>
  <c r="H174" i="3"/>
  <c r="I174" i="3"/>
  <c r="J174" i="3"/>
  <c r="L174" i="3" s="1"/>
  <c r="K174" i="3"/>
  <c r="M174" i="3" s="1"/>
  <c r="G175" i="3"/>
  <c r="I175" i="3"/>
  <c r="J175" i="3"/>
  <c r="L175" i="3" s="1"/>
  <c r="K175" i="3"/>
  <c r="M175" i="3" s="1"/>
  <c r="G176" i="3"/>
  <c r="H176" i="3"/>
  <c r="I176" i="3"/>
  <c r="J176" i="3"/>
  <c r="L176" i="3" s="1"/>
  <c r="K176" i="3"/>
  <c r="M176" i="3" s="1"/>
  <c r="G177" i="3"/>
  <c r="H177" i="3"/>
  <c r="I177" i="3"/>
  <c r="J177" i="3"/>
  <c r="L177" i="3" s="1"/>
  <c r="K177" i="3"/>
  <c r="M177" i="3" s="1"/>
  <c r="G178" i="3"/>
  <c r="H178" i="3"/>
  <c r="I178" i="3"/>
  <c r="J178" i="3"/>
  <c r="L178" i="3" s="1"/>
  <c r="K178" i="3"/>
  <c r="M178" i="3" s="1"/>
  <c r="G179" i="3"/>
  <c r="H179" i="3"/>
  <c r="I179" i="3"/>
  <c r="J179" i="3"/>
  <c r="L179" i="3" s="1"/>
  <c r="K179" i="3"/>
  <c r="M179" i="3" s="1"/>
  <c r="G180" i="3"/>
  <c r="H180" i="3"/>
  <c r="I180" i="3"/>
  <c r="J180" i="3"/>
  <c r="L180" i="3" s="1"/>
  <c r="K180" i="3"/>
  <c r="M180" i="3" s="1"/>
  <c r="G181" i="3"/>
  <c r="H181" i="3"/>
  <c r="I181" i="3"/>
  <c r="J181" i="3"/>
  <c r="L181" i="3" s="1"/>
  <c r="K181" i="3"/>
  <c r="M181" i="3" s="1"/>
  <c r="G182" i="3"/>
  <c r="H182" i="3"/>
  <c r="I182" i="3"/>
  <c r="J182" i="3"/>
  <c r="L182" i="3" s="1"/>
  <c r="K182" i="3"/>
  <c r="M182" i="3" s="1"/>
  <c r="G183" i="3"/>
  <c r="H183" i="3"/>
  <c r="I183" i="3"/>
  <c r="J183" i="3"/>
  <c r="L183" i="3" s="1"/>
  <c r="K183" i="3"/>
  <c r="M183" i="3" s="1"/>
  <c r="G184" i="3"/>
  <c r="H184" i="3"/>
  <c r="I184" i="3"/>
  <c r="J184" i="3"/>
  <c r="L184" i="3" s="1"/>
  <c r="K184" i="3"/>
  <c r="M184" i="3" s="1"/>
  <c r="G185" i="3"/>
  <c r="H185" i="3"/>
  <c r="I185" i="3"/>
  <c r="J185" i="3"/>
  <c r="L185" i="3" s="1"/>
  <c r="K185" i="3"/>
  <c r="M185" i="3" s="1"/>
  <c r="G186" i="3"/>
  <c r="H186" i="3"/>
  <c r="I186" i="3"/>
  <c r="J186" i="3"/>
  <c r="L186" i="3" s="1"/>
  <c r="K186" i="3"/>
  <c r="M186" i="3" s="1"/>
  <c r="G187" i="3"/>
  <c r="H187" i="3"/>
  <c r="I187" i="3"/>
  <c r="J187" i="3"/>
  <c r="L187" i="3" s="1"/>
  <c r="K187" i="3"/>
  <c r="M187" i="3" s="1"/>
  <c r="G188" i="3"/>
  <c r="H188" i="3"/>
  <c r="I188" i="3"/>
  <c r="J188" i="3"/>
  <c r="L188" i="3" s="1"/>
  <c r="K188" i="3"/>
  <c r="M188" i="3" s="1"/>
  <c r="G189" i="3"/>
  <c r="H189" i="3"/>
  <c r="I189" i="3"/>
  <c r="J189" i="3"/>
  <c r="L189" i="3" s="1"/>
  <c r="K189" i="3"/>
  <c r="M189" i="3" s="1"/>
  <c r="G190" i="3"/>
  <c r="H190" i="3"/>
  <c r="I190" i="3"/>
  <c r="J190" i="3"/>
  <c r="L190" i="3" s="1"/>
  <c r="K190" i="3"/>
  <c r="M190" i="3" s="1"/>
  <c r="G191" i="3"/>
  <c r="H191" i="3"/>
  <c r="I191" i="3"/>
  <c r="J191" i="3"/>
  <c r="L191" i="3" s="1"/>
  <c r="K191" i="3"/>
  <c r="M191" i="3" s="1"/>
  <c r="G192" i="3"/>
  <c r="H192" i="3"/>
  <c r="I192" i="3"/>
  <c r="J192" i="3"/>
  <c r="L192" i="3" s="1"/>
  <c r="K192" i="3"/>
  <c r="M192" i="3" s="1"/>
  <c r="G193" i="3"/>
  <c r="H193" i="3"/>
  <c r="I193" i="3"/>
  <c r="J193" i="3"/>
  <c r="L193" i="3" s="1"/>
  <c r="K193" i="3"/>
  <c r="M193" i="3" s="1"/>
  <c r="G194" i="3"/>
  <c r="H194" i="3"/>
  <c r="I194" i="3"/>
  <c r="J194" i="3"/>
  <c r="L194" i="3" s="1"/>
  <c r="K194" i="3"/>
  <c r="M194" i="3" s="1"/>
  <c r="G195" i="3"/>
  <c r="H195" i="3"/>
  <c r="I195" i="3"/>
  <c r="J195" i="3"/>
  <c r="L195" i="3" s="1"/>
  <c r="K195" i="3"/>
  <c r="M195" i="3" s="1"/>
  <c r="G196" i="3"/>
  <c r="I196" i="3"/>
  <c r="J196" i="3"/>
  <c r="L196" i="3" s="1"/>
  <c r="K196" i="3"/>
  <c r="M196" i="3" s="1"/>
  <c r="G197" i="3"/>
  <c r="H197" i="3"/>
  <c r="I197" i="3"/>
  <c r="J197" i="3"/>
  <c r="L197" i="3" s="1"/>
  <c r="K197" i="3"/>
  <c r="M197" i="3" s="1"/>
  <c r="G198" i="3"/>
  <c r="H198" i="3"/>
  <c r="I198" i="3"/>
  <c r="J198" i="3"/>
  <c r="L198" i="3" s="1"/>
  <c r="K198" i="3"/>
  <c r="M198" i="3" s="1"/>
  <c r="G199" i="3"/>
  <c r="H199" i="3"/>
  <c r="I199" i="3"/>
  <c r="J199" i="3"/>
  <c r="L199" i="3" s="1"/>
  <c r="K199" i="3"/>
  <c r="M199" i="3" s="1"/>
  <c r="G200" i="3"/>
  <c r="H200" i="3"/>
  <c r="I200" i="3"/>
  <c r="J200" i="3"/>
  <c r="L200" i="3" s="1"/>
  <c r="K200" i="3"/>
  <c r="M200" i="3" s="1"/>
  <c r="G201" i="3"/>
  <c r="H201" i="3"/>
  <c r="I201" i="3"/>
  <c r="J201" i="3"/>
  <c r="L201" i="3" s="1"/>
  <c r="K201" i="3"/>
  <c r="M201" i="3" s="1"/>
  <c r="G202" i="3"/>
  <c r="H202" i="3"/>
  <c r="I202" i="3"/>
  <c r="J202" i="3"/>
  <c r="L202" i="3" s="1"/>
  <c r="K202" i="3"/>
  <c r="M202" i="3" s="1"/>
  <c r="G203" i="3"/>
  <c r="H203" i="3"/>
  <c r="I203" i="3"/>
  <c r="J203" i="3"/>
  <c r="L203" i="3" s="1"/>
  <c r="K203" i="3"/>
  <c r="M203" i="3" s="1"/>
  <c r="G204" i="3"/>
  <c r="H204" i="3"/>
  <c r="I204" i="3"/>
  <c r="J204" i="3"/>
  <c r="L204" i="3" s="1"/>
  <c r="K204" i="3"/>
  <c r="M204" i="3" s="1"/>
  <c r="G205" i="3"/>
  <c r="H205" i="3"/>
  <c r="I205" i="3"/>
  <c r="J205" i="3"/>
  <c r="L205" i="3" s="1"/>
  <c r="K205" i="3"/>
  <c r="M205" i="3" s="1"/>
  <c r="G206" i="3"/>
  <c r="H206" i="3"/>
  <c r="I206" i="3"/>
  <c r="J206" i="3"/>
  <c r="L206" i="3" s="1"/>
  <c r="K206" i="3"/>
  <c r="M206" i="3" s="1"/>
  <c r="G207" i="3"/>
  <c r="H207" i="3"/>
  <c r="I207" i="3"/>
  <c r="J207" i="3"/>
  <c r="L207" i="3" s="1"/>
  <c r="K207" i="3"/>
  <c r="M207" i="3" s="1"/>
  <c r="G208" i="3"/>
  <c r="H208" i="3"/>
  <c r="I208" i="3"/>
  <c r="J208" i="3"/>
  <c r="L208" i="3" s="1"/>
  <c r="K208" i="3"/>
  <c r="M208" i="3" s="1"/>
  <c r="G209" i="3"/>
  <c r="H209" i="3"/>
  <c r="I209" i="3"/>
  <c r="J209" i="3"/>
  <c r="L209" i="3" s="1"/>
  <c r="K209" i="3"/>
  <c r="M209" i="3" s="1"/>
  <c r="G210" i="3"/>
  <c r="H210" i="3"/>
  <c r="I210" i="3"/>
  <c r="J210" i="3"/>
  <c r="L210" i="3" s="1"/>
  <c r="K210" i="3"/>
  <c r="M210" i="3" s="1"/>
  <c r="G211" i="3"/>
  <c r="H211" i="3"/>
  <c r="I211" i="3"/>
  <c r="J211" i="3"/>
  <c r="L211" i="3" s="1"/>
  <c r="K211" i="3"/>
  <c r="M211" i="3" s="1"/>
  <c r="G212" i="3"/>
  <c r="H212" i="3"/>
  <c r="I212" i="3"/>
  <c r="J212" i="3"/>
  <c r="L212" i="3" s="1"/>
  <c r="K212" i="3"/>
  <c r="M212" i="3" s="1"/>
  <c r="G213" i="3"/>
  <c r="H213" i="3"/>
  <c r="I213" i="3"/>
  <c r="J213" i="3"/>
  <c r="L213" i="3" s="1"/>
  <c r="K213" i="3"/>
  <c r="M213" i="3" s="1"/>
  <c r="G214" i="3"/>
  <c r="H214" i="3"/>
  <c r="I214" i="3"/>
  <c r="J214" i="3"/>
  <c r="L214" i="3" s="1"/>
  <c r="K214" i="3"/>
  <c r="M214" i="3" s="1"/>
  <c r="G215" i="3"/>
  <c r="H215" i="3"/>
  <c r="I215" i="3"/>
  <c r="J215" i="3"/>
  <c r="L215" i="3" s="1"/>
  <c r="K215" i="3"/>
  <c r="M215" i="3" s="1"/>
  <c r="G216" i="3"/>
  <c r="H216" i="3"/>
  <c r="I216" i="3"/>
  <c r="J216" i="3"/>
  <c r="L216" i="3" s="1"/>
  <c r="K216" i="3"/>
  <c r="M216" i="3" s="1"/>
  <c r="G217" i="3"/>
  <c r="H217" i="3"/>
  <c r="I217" i="3"/>
  <c r="J217" i="3"/>
  <c r="L217" i="3" s="1"/>
  <c r="K217" i="3"/>
  <c r="M217" i="3" s="1"/>
  <c r="G218" i="3"/>
  <c r="H218" i="3"/>
  <c r="I218" i="3"/>
  <c r="J218" i="3"/>
  <c r="L218" i="3" s="1"/>
  <c r="K218" i="3"/>
  <c r="M218" i="3" s="1"/>
  <c r="G219" i="3"/>
  <c r="I219" i="3"/>
  <c r="J219" i="3"/>
  <c r="L219" i="3" s="1"/>
  <c r="K219" i="3"/>
  <c r="M219" i="3" s="1"/>
  <c r="G220" i="3"/>
  <c r="H220" i="3"/>
  <c r="I220" i="3"/>
  <c r="J220" i="3"/>
  <c r="L220" i="3" s="1"/>
  <c r="K220" i="3"/>
  <c r="M220" i="3" s="1"/>
  <c r="G221" i="3"/>
  <c r="H221" i="3"/>
  <c r="I221" i="3"/>
  <c r="J221" i="3"/>
  <c r="L221" i="3" s="1"/>
  <c r="K221" i="3"/>
  <c r="M221" i="3" s="1"/>
  <c r="G222" i="3"/>
  <c r="H222" i="3"/>
  <c r="I222" i="3"/>
  <c r="J222" i="3"/>
  <c r="L222" i="3" s="1"/>
  <c r="K222" i="3"/>
  <c r="M222" i="3" s="1"/>
  <c r="G223" i="3"/>
  <c r="I223" i="3"/>
  <c r="J223" i="3"/>
  <c r="L223" i="3" s="1"/>
  <c r="K223" i="3"/>
  <c r="M223" i="3" s="1"/>
  <c r="G224" i="3"/>
  <c r="H224" i="3"/>
  <c r="I224" i="3"/>
  <c r="J224" i="3"/>
  <c r="L224" i="3" s="1"/>
  <c r="K224" i="3"/>
  <c r="M224" i="3" s="1"/>
  <c r="G225" i="3"/>
  <c r="H225" i="3"/>
  <c r="I225" i="3"/>
  <c r="J225" i="3"/>
  <c r="L225" i="3" s="1"/>
  <c r="K225" i="3"/>
  <c r="M225" i="3" s="1"/>
  <c r="G226" i="3"/>
  <c r="H226" i="3"/>
  <c r="I226" i="3"/>
  <c r="J226" i="3"/>
  <c r="L226" i="3" s="1"/>
  <c r="K226" i="3"/>
  <c r="M226" i="3" s="1"/>
  <c r="G227" i="3"/>
  <c r="H227" i="3"/>
  <c r="I227" i="3"/>
  <c r="J227" i="3"/>
  <c r="L227" i="3" s="1"/>
  <c r="K227" i="3"/>
  <c r="M227" i="3" s="1"/>
  <c r="G228" i="3"/>
  <c r="H228" i="3"/>
  <c r="I228" i="3"/>
  <c r="J228" i="3"/>
  <c r="L228" i="3" s="1"/>
  <c r="K228" i="3"/>
  <c r="M228" i="3" s="1"/>
  <c r="G229" i="3"/>
  <c r="H229" i="3"/>
  <c r="I229" i="3"/>
  <c r="J229" i="3"/>
  <c r="L229" i="3" s="1"/>
  <c r="K229" i="3"/>
  <c r="M229" i="3" s="1"/>
  <c r="G230" i="3"/>
  <c r="H230" i="3"/>
  <c r="I230" i="3"/>
  <c r="J230" i="3"/>
  <c r="L230" i="3" s="1"/>
  <c r="K230" i="3"/>
  <c r="M230" i="3" s="1"/>
  <c r="G231" i="3"/>
  <c r="H231" i="3"/>
  <c r="I231" i="3"/>
  <c r="J231" i="3"/>
  <c r="L231" i="3" s="1"/>
  <c r="K231" i="3"/>
  <c r="M231" i="3" s="1"/>
  <c r="G232" i="3"/>
  <c r="H232" i="3"/>
  <c r="I232" i="3"/>
  <c r="J232" i="3"/>
  <c r="L232" i="3" s="1"/>
  <c r="K232" i="3"/>
  <c r="M232" i="3" s="1"/>
  <c r="G233" i="3"/>
  <c r="H233" i="3"/>
  <c r="I233" i="3"/>
  <c r="J233" i="3"/>
  <c r="L233" i="3" s="1"/>
  <c r="K233" i="3"/>
  <c r="M233" i="3" s="1"/>
  <c r="G234" i="3"/>
  <c r="H234" i="3"/>
  <c r="I234" i="3"/>
  <c r="J234" i="3"/>
  <c r="L234" i="3" s="1"/>
  <c r="K234" i="3"/>
  <c r="M234" i="3" s="1"/>
  <c r="G235" i="3"/>
  <c r="H235" i="3"/>
  <c r="I235" i="3"/>
  <c r="J235" i="3"/>
  <c r="L235" i="3" s="1"/>
  <c r="K235" i="3"/>
  <c r="M235" i="3" s="1"/>
  <c r="G236" i="3"/>
  <c r="H236" i="3"/>
  <c r="I236" i="3"/>
  <c r="J236" i="3"/>
  <c r="L236" i="3" s="1"/>
  <c r="K236" i="3"/>
  <c r="M236" i="3" s="1"/>
  <c r="G237" i="3"/>
  <c r="H237" i="3"/>
  <c r="I237" i="3"/>
  <c r="J237" i="3"/>
  <c r="L237" i="3" s="1"/>
  <c r="K237" i="3"/>
  <c r="M237" i="3" s="1"/>
  <c r="G238" i="3"/>
  <c r="H238" i="3"/>
  <c r="I238" i="3"/>
  <c r="J238" i="3"/>
  <c r="L238" i="3" s="1"/>
  <c r="K238" i="3"/>
  <c r="M238" i="3" s="1"/>
  <c r="G239" i="3"/>
  <c r="H239" i="3"/>
  <c r="I239" i="3"/>
  <c r="J239" i="3"/>
  <c r="L239" i="3" s="1"/>
  <c r="K239" i="3"/>
  <c r="M239" i="3" s="1"/>
  <c r="G240" i="3"/>
  <c r="H240" i="3"/>
  <c r="I240" i="3"/>
  <c r="J240" i="3"/>
  <c r="L240" i="3" s="1"/>
  <c r="K240" i="3"/>
  <c r="M240" i="3" s="1"/>
  <c r="G241" i="3"/>
  <c r="H241" i="3"/>
  <c r="I241" i="3"/>
  <c r="J241" i="3"/>
  <c r="L241" i="3" s="1"/>
  <c r="K241" i="3"/>
  <c r="M241" i="3" s="1"/>
  <c r="G242" i="3"/>
  <c r="H242" i="3"/>
  <c r="I242" i="3"/>
  <c r="J242" i="3"/>
  <c r="L242" i="3" s="1"/>
  <c r="K242" i="3"/>
  <c r="M242" i="3" s="1"/>
  <c r="G243" i="3"/>
  <c r="H243" i="3"/>
  <c r="I243" i="3"/>
  <c r="J243" i="3"/>
  <c r="L243" i="3" s="1"/>
  <c r="K243" i="3"/>
  <c r="M243" i="3" s="1"/>
  <c r="G244" i="3"/>
  <c r="H244" i="3"/>
  <c r="I244" i="3"/>
  <c r="J244" i="3"/>
  <c r="L244" i="3" s="1"/>
  <c r="K244" i="3"/>
  <c r="M244" i="3" s="1"/>
  <c r="G245" i="3"/>
  <c r="H245" i="3"/>
  <c r="I245" i="3"/>
  <c r="J245" i="3"/>
  <c r="L245" i="3" s="1"/>
  <c r="K245" i="3"/>
  <c r="M245" i="3" s="1"/>
  <c r="G246" i="3"/>
  <c r="H246" i="3"/>
  <c r="I246" i="3"/>
  <c r="J246" i="3"/>
  <c r="L246" i="3" s="1"/>
  <c r="K246" i="3"/>
  <c r="M246" i="3" s="1"/>
  <c r="G247" i="3"/>
  <c r="H247" i="3"/>
  <c r="I247" i="3"/>
  <c r="J247" i="3"/>
  <c r="L247" i="3" s="1"/>
  <c r="K247" i="3"/>
  <c r="M247" i="3" s="1"/>
  <c r="G248" i="3"/>
  <c r="H248" i="3"/>
  <c r="I248" i="3"/>
  <c r="J248" i="3"/>
  <c r="L248" i="3" s="1"/>
  <c r="K248" i="3"/>
  <c r="M248" i="3" s="1"/>
  <c r="G249" i="3"/>
  <c r="H249" i="3"/>
  <c r="I249" i="3"/>
  <c r="J249" i="3"/>
  <c r="L249" i="3" s="1"/>
  <c r="K249" i="3"/>
  <c r="M249" i="3" s="1"/>
  <c r="G250" i="3"/>
  <c r="H250" i="3"/>
  <c r="I250" i="3"/>
  <c r="J250" i="3"/>
  <c r="L250" i="3" s="1"/>
  <c r="K250" i="3"/>
  <c r="M250" i="3" s="1"/>
  <c r="G251" i="3"/>
  <c r="H251" i="3"/>
  <c r="I251" i="3"/>
  <c r="J251" i="3"/>
  <c r="L251" i="3" s="1"/>
  <c r="K251" i="3"/>
  <c r="M251" i="3" s="1"/>
  <c r="G252" i="3"/>
  <c r="H252" i="3"/>
  <c r="I252" i="3"/>
  <c r="J252" i="3"/>
  <c r="L252" i="3" s="1"/>
  <c r="K252" i="3"/>
  <c r="M252" i="3" s="1"/>
  <c r="G253" i="3"/>
  <c r="H253" i="3"/>
  <c r="I253" i="3"/>
  <c r="J253" i="3"/>
  <c r="L253" i="3" s="1"/>
  <c r="K253" i="3"/>
  <c r="M253" i="3" s="1"/>
  <c r="G254" i="3"/>
  <c r="H254" i="3"/>
  <c r="I254" i="3"/>
  <c r="J254" i="3"/>
  <c r="L254" i="3" s="1"/>
  <c r="K254" i="3"/>
  <c r="M254" i="3" s="1"/>
  <c r="G255" i="3"/>
  <c r="H255" i="3"/>
  <c r="I255" i="3"/>
  <c r="J255" i="3"/>
  <c r="L255" i="3" s="1"/>
  <c r="K255" i="3"/>
  <c r="M255" i="3" s="1"/>
  <c r="G256" i="3"/>
  <c r="H256" i="3"/>
  <c r="I256" i="3"/>
  <c r="J256" i="3"/>
  <c r="L256" i="3" s="1"/>
  <c r="K256" i="3"/>
  <c r="M256" i="3" s="1"/>
  <c r="G257" i="3"/>
  <c r="H257" i="3"/>
  <c r="I257" i="3"/>
  <c r="J257" i="3"/>
  <c r="L257" i="3" s="1"/>
  <c r="K257" i="3"/>
  <c r="M257" i="3" s="1"/>
  <c r="G258" i="3"/>
  <c r="H258" i="3"/>
  <c r="I258" i="3"/>
  <c r="J258" i="3"/>
  <c r="L258" i="3" s="1"/>
  <c r="K258" i="3"/>
  <c r="M258" i="3" s="1"/>
  <c r="G259" i="3"/>
  <c r="H259" i="3"/>
  <c r="I259" i="3"/>
  <c r="J259" i="3"/>
  <c r="L259" i="3" s="1"/>
  <c r="K259" i="3"/>
  <c r="M259" i="3" s="1"/>
  <c r="G260" i="3"/>
  <c r="I260" i="3"/>
  <c r="J260" i="3"/>
  <c r="L260" i="3" s="1"/>
  <c r="K260" i="3"/>
  <c r="M260" i="3" s="1"/>
  <c r="G261" i="3"/>
  <c r="H261" i="3"/>
  <c r="I261" i="3"/>
  <c r="J261" i="3"/>
  <c r="L261" i="3" s="1"/>
  <c r="K261" i="3"/>
  <c r="M261" i="3" s="1"/>
  <c r="G262" i="3"/>
  <c r="H262" i="3"/>
  <c r="I262" i="3"/>
  <c r="J262" i="3"/>
  <c r="L262" i="3" s="1"/>
  <c r="K262" i="3"/>
  <c r="M262" i="3" s="1"/>
  <c r="G263" i="3"/>
  <c r="H263" i="3"/>
  <c r="I263" i="3"/>
  <c r="J263" i="3"/>
  <c r="L263" i="3" s="1"/>
  <c r="K263" i="3"/>
  <c r="M263" i="3" s="1"/>
  <c r="G264" i="3"/>
  <c r="H264" i="3"/>
  <c r="I264" i="3"/>
  <c r="J264" i="3"/>
  <c r="L264" i="3" s="1"/>
  <c r="K264" i="3"/>
  <c r="M264" i="3" s="1"/>
  <c r="G265" i="3"/>
  <c r="H265" i="3"/>
  <c r="I265" i="3"/>
  <c r="J265" i="3"/>
  <c r="L265" i="3" s="1"/>
  <c r="K265" i="3"/>
  <c r="M265" i="3" s="1"/>
  <c r="G266" i="3"/>
  <c r="H266" i="3"/>
  <c r="I266" i="3"/>
  <c r="J266" i="3"/>
  <c r="L266" i="3" s="1"/>
  <c r="K266" i="3"/>
  <c r="M266" i="3" s="1"/>
  <c r="G267" i="3"/>
  <c r="I267" i="3"/>
  <c r="J267" i="3"/>
  <c r="L267" i="3" s="1"/>
  <c r="K267" i="3"/>
  <c r="M267" i="3" s="1"/>
  <c r="G268" i="3"/>
  <c r="H268" i="3"/>
  <c r="I268" i="3"/>
  <c r="J268" i="3"/>
  <c r="L268" i="3" s="1"/>
  <c r="K268" i="3"/>
  <c r="M268" i="3" s="1"/>
  <c r="G269" i="3"/>
  <c r="H269" i="3"/>
  <c r="I269" i="3"/>
  <c r="J269" i="3"/>
  <c r="L269" i="3" s="1"/>
  <c r="K269" i="3"/>
  <c r="M269" i="3" s="1"/>
  <c r="G270" i="3"/>
  <c r="H270" i="3"/>
  <c r="I270" i="3"/>
  <c r="J270" i="3"/>
  <c r="L270" i="3" s="1"/>
  <c r="K270" i="3"/>
  <c r="M270" i="3" s="1"/>
  <c r="G271" i="3"/>
  <c r="H271" i="3"/>
  <c r="I271" i="3"/>
  <c r="J271" i="3"/>
  <c r="L271" i="3" s="1"/>
  <c r="K271" i="3"/>
  <c r="M271" i="3" s="1"/>
  <c r="G272" i="3"/>
  <c r="H272" i="3"/>
  <c r="I272" i="3"/>
  <c r="J272" i="3"/>
  <c r="L272" i="3" s="1"/>
  <c r="K272" i="3"/>
  <c r="M272" i="3" s="1"/>
  <c r="G273" i="3"/>
  <c r="H273" i="3"/>
  <c r="I273" i="3"/>
  <c r="J273" i="3"/>
  <c r="L273" i="3" s="1"/>
  <c r="K273" i="3"/>
  <c r="M273" i="3" s="1"/>
  <c r="G274" i="3"/>
  <c r="H274" i="3"/>
  <c r="I274" i="3"/>
  <c r="J274" i="3"/>
  <c r="L274" i="3" s="1"/>
  <c r="K274" i="3"/>
  <c r="M274" i="3" s="1"/>
  <c r="G275" i="3"/>
  <c r="H275" i="3"/>
  <c r="I275" i="3"/>
  <c r="J275" i="3"/>
  <c r="L275" i="3" s="1"/>
  <c r="K275" i="3"/>
  <c r="M275" i="3" s="1"/>
  <c r="G276" i="3"/>
  <c r="H276" i="3"/>
  <c r="I276" i="3"/>
  <c r="J276" i="3"/>
  <c r="L276" i="3" s="1"/>
  <c r="K276" i="3"/>
  <c r="M276" i="3" s="1"/>
  <c r="G277" i="3"/>
  <c r="H277" i="3"/>
  <c r="I277" i="3"/>
  <c r="J277" i="3"/>
  <c r="L277" i="3" s="1"/>
  <c r="K277" i="3"/>
  <c r="M277" i="3" s="1"/>
  <c r="G278" i="3"/>
  <c r="H278" i="3"/>
  <c r="I278" i="3"/>
  <c r="J278" i="3"/>
  <c r="L278" i="3" s="1"/>
  <c r="K278" i="3"/>
  <c r="M278" i="3" s="1"/>
  <c r="G279" i="3"/>
  <c r="H279" i="3"/>
  <c r="I279" i="3"/>
  <c r="J279" i="3"/>
  <c r="L279" i="3" s="1"/>
  <c r="K279" i="3"/>
  <c r="M279" i="3" s="1"/>
  <c r="G280" i="3"/>
  <c r="H280" i="3"/>
  <c r="I280" i="3"/>
  <c r="J280" i="3"/>
  <c r="L280" i="3" s="1"/>
  <c r="K280" i="3"/>
  <c r="M280" i="3" s="1"/>
  <c r="G281" i="3"/>
  <c r="H281" i="3"/>
  <c r="I281" i="3"/>
  <c r="J281" i="3"/>
  <c r="L281" i="3" s="1"/>
  <c r="K281" i="3"/>
  <c r="M281" i="3" s="1"/>
  <c r="G282" i="3"/>
  <c r="H282" i="3"/>
  <c r="I282" i="3"/>
  <c r="J282" i="3"/>
  <c r="L282" i="3" s="1"/>
  <c r="K282" i="3"/>
  <c r="M282" i="3" s="1"/>
  <c r="G283" i="3"/>
  <c r="H283" i="3"/>
  <c r="I283" i="3"/>
  <c r="J283" i="3"/>
  <c r="L283" i="3" s="1"/>
  <c r="K283" i="3"/>
  <c r="M283" i="3" s="1"/>
  <c r="G284" i="3"/>
  <c r="H284" i="3"/>
  <c r="I284" i="3"/>
  <c r="J284" i="3"/>
  <c r="L284" i="3" s="1"/>
  <c r="K284" i="3"/>
  <c r="M284" i="3" s="1"/>
  <c r="G285" i="3"/>
  <c r="H285" i="3"/>
  <c r="I285" i="3"/>
  <c r="J285" i="3"/>
  <c r="L285" i="3" s="1"/>
  <c r="K285" i="3"/>
  <c r="M285" i="3" s="1"/>
  <c r="G286" i="3"/>
  <c r="I286" i="3"/>
  <c r="J286" i="3"/>
  <c r="L286" i="3" s="1"/>
  <c r="K286" i="3"/>
  <c r="M286" i="3" s="1"/>
  <c r="G287" i="3"/>
  <c r="H287" i="3"/>
  <c r="I287" i="3"/>
  <c r="J287" i="3"/>
  <c r="L287" i="3" s="1"/>
  <c r="K287" i="3"/>
  <c r="M287" i="3" s="1"/>
  <c r="G288" i="3"/>
  <c r="H288" i="3"/>
  <c r="I288" i="3"/>
  <c r="J288" i="3"/>
  <c r="L288" i="3" s="1"/>
  <c r="K288" i="3"/>
  <c r="M288" i="3" s="1"/>
  <c r="G289" i="3"/>
  <c r="I289" i="3"/>
  <c r="J289" i="3"/>
  <c r="L289" i="3" s="1"/>
  <c r="K289" i="3"/>
  <c r="M289" i="3" s="1"/>
  <c r="G290" i="3"/>
  <c r="H290" i="3"/>
  <c r="I290" i="3"/>
  <c r="J290" i="3"/>
  <c r="L290" i="3" s="1"/>
  <c r="K290" i="3"/>
  <c r="M290" i="3" s="1"/>
  <c r="G291" i="3"/>
  <c r="H291" i="3"/>
  <c r="I291" i="3"/>
  <c r="J291" i="3"/>
  <c r="L291" i="3" s="1"/>
  <c r="K291" i="3"/>
  <c r="M291" i="3" s="1"/>
  <c r="G292" i="3"/>
  <c r="H292" i="3"/>
  <c r="I292" i="3"/>
  <c r="J292" i="3"/>
  <c r="L292" i="3" s="1"/>
  <c r="K292" i="3"/>
  <c r="M292" i="3" s="1"/>
  <c r="G293" i="3"/>
  <c r="H293" i="3"/>
  <c r="I293" i="3"/>
  <c r="J293" i="3"/>
  <c r="L293" i="3" s="1"/>
  <c r="K293" i="3"/>
  <c r="M293" i="3" s="1"/>
  <c r="G294" i="3"/>
  <c r="H294" i="3"/>
  <c r="I294" i="3"/>
  <c r="J294" i="3"/>
  <c r="L294" i="3" s="1"/>
  <c r="K294" i="3"/>
  <c r="M294" i="3" s="1"/>
  <c r="G295" i="3"/>
  <c r="H295" i="3"/>
  <c r="I295" i="3"/>
  <c r="J295" i="3"/>
  <c r="L295" i="3" s="1"/>
  <c r="K295" i="3"/>
  <c r="M295" i="3" s="1"/>
  <c r="G296" i="3"/>
  <c r="H296" i="3"/>
  <c r="I296" i="3"/>
  <c r="J296" i="3"/>
  <c r="L296" i="3" s="1"/>
  <c r="K296" i="3"/>
  <c r="M296" i="3" s="1"/>
  <c r="G297" i="3"/>
  <c r="H297" i="3"/>
  <c r="I297" i="3"/>
  <c r="J297" i="3"/>
  <c r="L297" i="3" s="1"/>
  <c r="K297" i="3"/>
  <c r="M297" i="3" s="1"/>
  <c r="G298" i="3"/>
  <c r="H298" i="3"/>
  <c r="I298" i="3"/>
  <c r="J298" i="3"/>
  <c r="L298" i="3" s="1"/>
  <c r="K298" i="3"/>
  <c r="M298" i="3" s="1"/>
  <c r="G299" i="3"/>
  <c r="H299" i="3"/>
  <c r="I299" i="3"/>
  <c r="J299" i="3"/>
  <c r="L299" i="3" s="1"/>
  <c r="K299" i="3"/>
  <c r="M299" i="3" s="1"/>
  <c r="G300" i="3"/>
  <c r="H300" i="3"/>
  <c r="I300" i="3"/>
  <c r="J300" i="3"/>
  <c r="L300" i="3" s="1"/>
  <c r="K300" i="3"/>
  <c r="M300" i="3" s="1"/>
  <c r="G301" i="3"/>
  <c r="H301" i="3"/>
  <c r="I301" i="3"/>
  <c r="J301" i="3"/>
  <c r="L301" i="3" s="1"/>
  <c r="K301" i="3"/>
  <c r="M301" i="3" s="1"/>
  <c r="G302" i="3"/>
  <c r="H302" i="3"/>
  <c r="I302" i="3"/>
  <c r="J302" i="3"/>
  <c r="L302" i="3" s="1"/>
  <c r="K302" i="3"/>
  <c r="M302" i="3" s="1"/>
  <c r="G303" i="3"/>
  <c r="H303" i="3"/>
  <c r="I303" i="3"/>
  <c r="J303" i="3"/>
  <c r="L303" i="3" s="1"/>
  <c r="K303" i="3"/>
  <c r="M303" i="3" s="1"/>
  <c r="G304" i="3"/>
  <c r="H304" i="3"/>
  <c r="I304" i="3"/>
  <c r="J304" i="3"/>
  <c r="L304" i="3" s="1"/>
  <c r="K304" i="3"/>
  <c r="M304" i="3" s="1"/>
  <c r="G305" i="3"/>
  <c r="H305" i="3"/>
  <c r="I305" i="3"/>
  <c r="J305" i="3"/>
  <c r="L305" i="3" s="1"/>
  <c r="K305" i="3"/>
  <c r="M305" i="3" s="1"/>
  <c r="G306" i="3"/>
  <c r="H306" i="3"/>
  <c r="I306" i="3"/>
  <c r="J306" i="3"/>
  <c r="L306" i="3" s="1"/>
  <c r="K306" i="3"/>
  <c r="M306" i="3" s="1"/>
  <c r="G307" i="3"/>
  <c r="H307" i="3"/>
  <c r="I307" i="3"/>
  <c r="J307" i="3"/>
  <c r="L307" i="3" s="1"/>
  <c r="K307" i="3"/>
  <c r="M307" i="3" s="1"/>
  <c r="G308" i="3"/>
  <c r="H308" i="3"/>
  <c r="I308" i="3"/>
  <c r="J308" i="3"/>
  <c r="L308" i="3" s="1"/>
  <c r="K308" i="3"/>
  <c r="M308" i="3" s="1"/>
  <c r="G309" i="3"/>
  <c r="H309" i="3"/>
  <c r="I309" i="3"/>
  <c r="J309" i="3"/>
  <c r="L309" i="3" s="1"/>
  <c r="K309" i="3"/>
  <c r="M309" i="3" s="1"/>
  <c r="G310" i="3"/>
  <c r="H310" i="3"/>
  <c r="I310" i="3"/>
  <c r="J310" i="3"/>
  <c r="L310" i="3" s="1"/>
  <c r="K310" i="3"/>
  <c r="M310" i="3" s="1"/>
  <c r="G311" i="3"/>
  <c r="H311" i="3"/>
  <c r="I311" i="3"/>
  <c r="J311" i="3"/>
  <c r="L311" i="3" s="1"/>
  <c r="K311" i="3"/>
  <c r="M311" i="3" s="1"/>
  <c r="G312" i="3"/>
  <c r="H312" i="3"/>
  <c r="I312" i="3"/>
  <c r="J312" i="3"/>
  <c r="L312" i="3" s="1"/>
  <c r="K312" i="3"/>
  <c r="M312" i="3" s="1"/>
  <c r="G313" i="3"/>
  <c r="H313" i="3"/>
  <c r="I313" i="3"/>
  <c r="J313" i="3"/>
  <c r="L313" i="3" s="1"/>
  <c r="K313" i="3"/>
  <c r="M313" i="3" s="1"/>
  <c r="G314" i="3"/>
  <c r="H314" i="3"/>
  <c r="I314" i="3"/>
  <c r="J314" i="3"/>
  <c r="L314" i="3" s="1"/>
  <c r="K314" i="3"/>
  <c r="M314" i="3" s="1"/>
  <c r="G315" i="3"/>
  <c r="H315" i="3"/>
  <c r="I315" i="3"/>
  <c r="J315" i="3"/>
  <c r="L315" i="3" s="1"/>
  <c r="K315" i="3"/>
  <c r="M315" i="3" s="1"/>
  <c r="G316" i="3"/>
  <c r="H316" i="3"/>
  <c r="I316" i="3"/>
  <c r="J316" i="3"/>
  <c r="L316" i="3" s="1"/>
  <c r="K316" i="3"/>
  <c r="M316" i="3" s="1"/>
  <c r="G317" i="3"/>
  <c r="H317" i="3"/>
  <c r="I317" i="3"/>
  <c r="J317" i="3"/>
  <c r="L317" i="3" s="1"/>
  <c r="K317" i="3"/>
  <c r="M317" i="3" s="1"/>
  <c r="G318" i="3"/>
  <c r="H318" i="3"/>
  <c r="I318" i="3"/>
  <c r="J318" i="3"/>
  <c r="L318" i="3" s="1"/>
  <c r="K318" i="3"/>
  <c r="M318" i="3" s="1"/>
  <c r="G319" i="3"/>
  <c r="H319" i="3"/>
  <c r="I319" i="3"/>
  <c r="J319" i="3"/>
  <c r="L319" i="3" s="1"/>
  <c r="K319" i="3"/>
  <c r="M319" i="3" s="1"/>
  <c r="G320" i="3"/>
  <c r="I320" i="3"/>
  <c r="J320" i="3"/>
  <c r="L320" i="3" s="1"/>
  <c r="K320" i="3"/>
  <c r="M320" i="3" s="1"/>
  <c r="G321" i="3"/>
  <c r="H321" i="3"/>
  <c r="I321" i="3"/>
  <c r="J321" i="3"/>
  <c r="L321" i="3" s="1"/>
  <c r="K321" i="3"/>
  <c r="M321" i="3" s="1"/>
  <c r="G322" i="3"/>
  <c r="H322" i="3"/>
  <c r="I322" i="3"/>
  <c r="J322" i="3"/>
  <c r="L322" i="3" s="1"/>
  <c r="K322" i="3"/>
  <c r="M322" i="3" s="1"/>
  <c r="G323" i="3"/>
  <c r="H323" i="3"/>
  <c r="I323" i="3"/>
  <c r="J323" i="3"/>
  <c r="L323" i="3" s="1"/>
  <c r="K323" i="3"/>
  <c r="M323" i="3" s="1"/>
  <c r="G324" i="3"/>
  <c r="H324" i="3"/>
  <c r="I324" i="3"/>
  <c r="J324" i="3"/>
  <c r="L324" i="3" s="1"/>
  <c r="K324" i="3"/>
  <c r="M324" i="3" s="1"/>
  <c r="G325" i="3"/>
  <c r="H325" i="3"/>
  <c r="I325" i="3"/>
  <c r="J325" i="3"/>
  <c r="L325" i="3" s="1"/>
  <c r="K325" i="3"/>
  <c r="M325" i="3" s="1"/>
  <c r="G326" i="3"/>
  <c r="H326" i="3"/>
  <c r="I326" i="3"/>
  <c r="J326" i="3"/>
  <c r="L326" i="3" s="1"/>
  <c r="K326" i="3"/>
  <c r="M326" i="3" s="1"/>
  <c r="G327" i="3"/>
  <c r="H327" i="3"/>
  <c r="I327" i="3"/>
  <c r="J327" i="3"/>
  <c r="L327" i="3" s="1"/>
  <c r="K327" i="3"/>
  <c r="M327" i="3" s="1"/>
  <c r="G328" i="3"/>
  <c r="H328" i="3"/>
  <c r="I328" i="3"/>
  <c r="J328" i="3"/>
  <c r="L328" i="3" s="1"/>
  <c r="K328" i="3"/>
  <c r="M328" i="3" s="1"/>
  <c r="G329" i="3"/>
  <c r="H329" i="3"/>
  <c r="I329" i="3"/>
  <c r="J329" i="3"/>
  <c r="L329" i="3" s="1"/>
  <c r="K329" i="3"/>
  <c r="M329" i="3" s="1"/>
  <c r="G330" i="3"/>
  <c r="H330" i="3"/>
  <c r="I330" i="3"/>
  <c r="J330" i="3"/>
  <c r="L330" i="3" s="1"/>
  <c r="K330" i="3"/>
  <c r="M330" i="3" s="1"/>
  <c r="G331" i="3"/>
  <c r="H331" i="3"/>
  <c r="I331" i="3"/>
  <c r="J331" i="3"/>
  <c r="L331" i="3" s="1"/>
  <c r="K331" i="3"/>
  <c r="M331" i="3" s="1"/>
  <c r="G332" i="3"/>
  <c r="H332" i="3"/>
  <c r="I332" i="3"/>
  <c r="J332" i="3"/>
  <c r="L332" i="3" s="1"/>
  <c r="K332" i="3"/>
  <c r="M332" i="3" s="1"/>
  <c r="G333" i="3"/>
  <c r="I333" i="3"/>
  <c r="J333" i="3"/>
  <c r="L333" i="3" s="1"/>
  <c r="K333" i="3"/>
  <c r="M333" i="3" s="1"/>
  <c r="G334" i="3"/>
  <c r="H334" i="3"/>
  <c r="I334" i="3"/>
  <c r="J334" i="3"/>
  <c r="L334" i="3" s="1"/>
  <c r="K334" i="3"/>
  <c r="M334" i="3" s="1"/>
  <c r="G335" i="3"/>
  <c r="H335" i="3"/>
  <c r="I335" i="3"/>
  <c r="J335" i="3"/>
  <c r="L335" i="3" s="1"/>
  <c r="K335" i="3"/>
  <c r="M335" i="3" s="1"/>
  <c r="G336" i="3"/>
  <c r="H336" i="3"/>
  <c r="I336" i="3"/>
  <c r="J336" i="3"/>
  <c r="L336" i="3" s="1"/>
  <c r="K336" i="3"/>
  <c r="M336" i="3" s="1"/>
  <c r="G337" i="3"/>
  <c r="H337" i="3"/>
  <c r="I337" i="3"/>
  <c r="J337" i="3"/>
  <c r="L337" i="3" s="1"/>
  <c r="K337" i="3"/>
  <c r="M337" i="3" s="1"/>
  <c r="G338" i="3"/>
  <c r="H338" i="3"/>
  <c r="I338" i="3"/>
  <c r="J338" i="3"/>
  <c r="L338" i="3" s="1"/>
  <c r="K338" i="3"/>
  <c r="M338" i="3" s="1"/>
  <c r="G339" i="3"/>
  <c r="H339" i="3"/>
  <c r="I339" i="3"/>
  <c r="J339" i="3"/>
  <c r="L339" i="3" s="1"/>
  <c r="K339" i="3"/>
  <c r="M339" i="3" s="1"/>
  <c r="G340" i="3"/>
  <c r="H340" i="3"/>
  <c r="I340" i="3"/>
  <c r="J340" i="3"/>
  <c r="L340" i="3" s="1"/>
  <c r="K340" i="3"/>
  <c r="M340" i="3" s="1"/>
  <c r="G341" i="3"/>
  <c r="H341" i="3"/>
  <c r="I341" i="3"/>
  <c r="J341" i="3"/>
  <c r="L341" i="3" s="1"/>
  <c r="K341" i="3"/>
  <c r="M341" i="3" s="1"/>
  <c r="G342" i="3"/>
  <c r="H342" i="3"/>
  <c r="I342" i="3"/>
  <c r="J342" i="3"/>
  <c r="L342" i="3" s="1"/>
  <c r="K342" i="3"/>
  <c r="M342" i="3" s="1"/>
  <c r="G343" i="3"/>
  <c r="H343" i="3"/>
  <c r="I343" i="3"/>
  <c r="J343" i="3"/>
  <c r="L343" i="3" s="1"/>
  <c r="K343" i="3"/>
  <c r="M343" i="3" s="1"/>
  <c r="G344" i="3"/>
  <c r="H344" i="3"/>
  <c r="I344" i="3"/>
  <c r="J344" i="3"/>
  <c r="L344" i="3" s="1"/>
  <c r="K344" i="3"/>
  <c r="M344" i="3" s="1"/>
  <c r="G345" i="3"/>
  <c r="H345" i="3"/>
  <c r="I345" i="3"/>
  <c r="J345" i="3"/>
  <c r="L345" i="3" s="1"/>
  <c r="K345" i="3"/>
  <c r="M345" i="3" s="1"/>
  <c r="G346" i="3"/>
  <c r="H346" i="3"/>
  <c r="I346" i="3"/>
  <c r="J346" i="3"/>
  <c r="L346" i="3" s="1"/>
  <c r="K346" i="3"/>
  <c r="M346" i="3" s="1"/>
  <c r="G347" i="3"/>
  <c r="H347" i="3"/>
  <c r="I347" i="3"/>
  <c r="J347" i="3"/>
  <c r="L347" i="3" s="1"/>
  <c r="K347" i="3"/>
  <c r="M347" i="3" s="1"/>
  <c r="G348" i="3"/>
  <c r="H348" i="3"/>
  <c r="I348" i="3"/>
  <c r="J348" i="3"/>
  <c r="L348" i="3" s="1"/>
  <c r="K348" i="3"/>
  <c r="M348" i="3" s="1"/>
  <c r="G349" i="3"/>
  <c r="H349" i="3"/>
  <c r="I349" i="3"/>
  <c r="J349" i="3"/>
  <c r="L349" i="3" s="1"/>
  <c r="K349" i="3"/>
  <c r="M349" i="3" s="1"/>
  <c r="G350" i="3"/>
  <c r="H350" i="3"/>
  <c r="I350" i="3"/>
  <c r="J350" i="3"/>
  <c r="L350" i="3" s="1"/>
  <c r="K350" i="3"/>
  <c r="M350" i="3" s="1"/>
  <c r="G351" i="3"/>
  <c r="H351" i="3"/>
  <c r="I351" i="3"/>
  <c r="J351" i="3"/>
  <c r="L351" i="3" s="1"/>
  <c r="K351" i="3"/>
  <c r="M351" i="3" s="1"/>
  <c r="G352" i="3"/>
  <c r="H352" i="3"/>
  <c r="I352" i="3"/>
  <c r="J352" i="3"/>
  <c r="L352" i="3" s="1"/>
  <c r="K352" i="3"/>
  <c r="M352" i="3" s="1"/>
  <c r="G353" i="3"/>
  <c r="H353" i="3"/>
  <c r="I353" i="3"/>
  <c r="J353" i="3"/>
  <c r="L353" i="3" s="1"/>
  <c r="K353" i="3"/>
  <c r="M353" i="3" s="1"/>
  <c r="G354" i="3"/>
  <c r="H354" i="3"/>
  <c r="I354" i="3"/>
  <c r="J354" i="3"/>
  <c r="L354" i="3" s="1"/>
  <c r="K354" i="3"/>
  <c r="M354" i="3" s="1"/>
  <c r="G355" i="3"/>
  <c r="H355" i="3"/>
  <c r="I355" i="3"/>
  <c r="J355" i="3"/>
  <c r="L355" i="3" s="1"/>
  <c r="K355" i="3"/>
  <c r="M355" i="3" s="1"/>
  <c r="G356" i="3"/>
  <c r="H356" i="3"/>
  <c r="I356" i="3"/>
  <c r="J356" i="3"/>
  <c r="L356" i="3" s="1"/>
  <c r="K356" i="3"/>
  <c r="M356" i="3" s="1"/>
  <c r="G357" i="3"/>
  <c r="H357" i="3"/>
  <c r="I357" i="3"/>
  <c r="J357" i="3"/>
  <c r="L357" i="3" s="1"/>
  <c r="K357" i="3"/>
  <c r="M357" i="3" s="1"/>
  <c r="G358" i="3"/>
  <c r="H358" i="3"/>
  <c r="I358" i="3"/>
  <c r="J358" i="3"/>
  <c r="L358" i="3" s="1"/>
  <c r="K358" i="3"/>
  <c r="M358" i="3" s="1"/>
  <c r="G359" i="3"/>
  <c r="H359" i="3"/>
  <c r="I359" i="3"/>
  <c r="J359" i="3"/>
  <c r="L359" i="3" s="1"/>
  <c r="K359" i="3"/>
  <c r="M359" i="3" s="1"/>
  <c r="G360" i="3"/>
  <c r="H360" i="3"/>
  <c r="I360" i="3"/>
  <c r="J360" i="3"/>
  <c r="L360" i="3" s="1"/>
  <c r="K360" i="3"/>
  <c r="M360" i="3" s="1"/>
  <c r="G361" i="3"/>
  <c r="H361" i="3"/>
  <c r="I361" i="3"/>
  <c r="J361" i="3"/>
  <c r="L361" i="3" s="1"/>
  <c r="K361" i="3"/>
  <c r="M361" i="3" s="1"/>
  <c r="G362" i="3"/>
  <c r="H362" i="3"/>
  <c r="I362" i="3"/>
  <c r="J362" i="3"/>
  <c r="L362" i="3" s="1"/>
  <c r="K362" i="3"/>
  <c r="M362" i="3" s="1"/>
  <c r="G363" i="3"/>
  <c r="H363" i="3"/>
  <c r="I363" i="3"/>
  <c r="J363" i="3"/>
  <c r="L363" i="3" s="1"/>
  <c r="K363" i="3"/>
  <c r="M363" i="3" s="1"/>
  <c r="G364" i="3"/>
  <c r="H364" i="3"/>
  <c r="I364" i="3"/>
  <c r="J364" i="3"/>
  <c r="L364" i="3" s="1"/>
  <c r="K364" i="3"/>
  <c r="M364" i="3" s="1"/>
  <c r="G365" i="3"/>
  <c r="H365" i="3"/>
  <c r="I365" i="3"/>
  <c r="J365" i="3"/>
  <c r="L365" i="3" s="1"/>
  <c r="K365" i="3"/>
  <c r="M365" i="3" s="1"/>
  <c r="G366" i="3"/>
  <c r="H366" i="3"/>
  <c r="I366" i="3"/>
  <c r="J366" i="3"/>
  <c r="L366" i="3" s="1"/>
  <c r="K366" i="3"/>
  <c r="M366" i="3" s="1"/>
  <c r="G367" i="3"/>
  <c r="H367" i="3"/>
  <c r="I367" i="3"/>
  <c r="J367" i="3"/>
  <c r="L367" i="3" s="1"/>
  <c r="K367" i="3"/>
  <c r="M367" i="3" s="1"/>
  <c r="G368" i="3"/>
  <c r="H368" i="3"/>
  <c r="I368" i="3"/>
  <c r="J368" i="3"/>
  <c r="L368" i="3" s="1"/>
  <c r="K368" i="3"/>
  <c r="M368" i="3" s="1"/>
  <c r="G369" i="3"/>
  <c r="H369" i="3"/>
  <c r="I369" i="3"/>
  <c r="J369" i="3"/>
  <c r="L369" i="3" s="1"/>
  <c r="K369" i="3"/>
  <c r="M369" i="3" s="1"/>
  <c r="G370" i="3"/>
  <c r="H370" i="3"/>
  <c r="I370" i="3"/>
  <c r="J370" i="3"/>
  <c r="L370" i="3" s="1"/>
  <c r="K370" i="3"/>
  <c r="M370" i="3" s="1"/>
  <c r="G371" i="3"/>
  <c r="H371" i="3"/>
  <c r="I371" i="3"/>
  <c r="J371" i="3"/>
  <c r="L371" i="3" s="1"/>
  <c r="K371" i="3"/>
  <c r="M371" i="3" s="1"/>
  <c r="G372" i="3"/>
  <c r="H372" i="3"/>
  <c r="I372" i="3"/>
  <c r="J372" i="3"/>
  <c r="L372" i="3" s="1"/>
  <c r="K372" i="3"/>
  <c r="M372" i="3" s="1"/>
  <c r="G373" i="3"/>
  <c r="H373" i="3"/>
  <c r="I373" i="3"/>
  <c r="J373" i="3"/>
  <c r="L373" i="3" s="1"/>
  <c r="K373" i="3"/>
  <c r="M373" i="3" s="1"/>
  <c r="G374" i="3"/>
  <c r="H374" i="3"/>
  <c r="I374" i="3"/>
  <c r="J374" i="3"/>
  <c r="L374" i="3" s="1"/>
  <c r="K374" i="3"/>
  <c r="M374" i="3" s="1"/>
  <c r="G375" i="3"/>
  <c r="H375" i="3"/>
  <c r="I375" i="3"/>
  <c r="J375" i="3"/>
  <c r="L375" i="3" s="1"/>
  <c r="K375" i="3"/>
  <c r="M375" i="3" s="1"/>
  <c r="G376" i="3"/>
  <c r="H376" i="3"/>
  <c r="I376" i="3"/>
  <c r="J376" i="3"/>
  <c r="L376" i="3" s="1"/>
  <c r="K376" i="3"/>
  <c r="M376" i="3" s="1"/>
  <c r="G377" i="3"/>
  <c r="H377" i="3"/>
  <c r="I377" i="3"/>
  <c r="J377" i="3"/>
  <c r="L377" i="3" s="1"/>
  <c r="K377" i="3"/>
  <c r="M377" i="3" s="1"/>
  <c r="G378" i="3"/>
  <c r="H378" i="3"/>
  <c r="I378" i="3"/>
  <c r="J378" i="3"/>
  <c r="L378" i="3" s="1"/>
  <c r="K378" i="3"/>
  <c r="M378" i="3" s="1"/>
  <c r="G379" i="3"/>
  <c r="H379" i="3"/>
  <c r="I379" i="3"/>
  <c r="J379" i="3"/>
  <c r="L379" i="3" s="1"/>
  <c r="K379" i="3"/>
  <c r="M379" i="3" s="1"/>
  <c r="G380" i="3"/>
  <c r="H380" i="3"/>
  <c r="I380" i="3"/>
  <c r="J380" i="3"/>
  <c r="L380" i="3" s="1"/>
  <c r="K380" i="3"/>
  <c r="M380" i="3" s="1"/>
  <c r="G381" i="3"/>
  <c r="H381" i="3"/>
  <c r="I381" i="3"/>
  <c r="J381" i="3"/>
  <c r="L381" i="3" s="1"/>
  <c r="K381" i="3"/>
  <c r="M381" i="3" s="1"/>
  <c r="G382" i="3"/>
  <c r="H382" i="3"/>
  <c r="I382" i="3"/>
  <c r="J382" i="3"/>
  <c r="L382" i="3" s="1"/>
  <c r="K382" i="3"/>
  <c r="M382" i="3" s="1"/>
  <c r="G383" i="3"/>
  <c r="H383" i="3"/>
  <c r="I383" i="3"/>
  <c r="J383" i="3"/>
  <c r="L383" i="3" s="1"/>
  <c r="K383" i="3"/>
  <c r="M383" i="3" s="1"/>
  <c r="G384" i="3"/>
  <c r="H384" i="3"/>
  <c r="I384" i="3"/>
  <c r="J384" i="3"/>
  <c r="L384" i="3" s="1"/>
  <c r="K384" i="3"/>
  <c r="M384" i="3" s="1"/>
  <c r="G385" i="3"/>
  <c r="H385" i="3"/>
  <c r="I385" i="3"/>
  <c r="J385" i="3"/>
  <c r="L385" i="3" s="1"/>
  <c r="K385" i="3"/>
  <c r="M385" i="3" s="1"/>
  <c r="G386" i="3"/>
  <c r="H386" i="3"/>
  <c r="I386" i="3"/>
  <c r="J386" i="3"/>
  <c r="L386" i="3" s="1"/>
  <c r="K386" i="3"/>
  <c r="M386" i="3" s="1"/>
  <c r="G387" i="3"/>
  <c r="H387" i="3"/>
  <c r="I387" i="3"/>
  <c r="J387" i="3"/>
  <c r="L387" i="3" s="1"/>
  <c r="K387" i="3"/>
  <c r="M387" i="3" s="1"/>
  <c r="G388" i="3"/>
  <c r="H388" i="3"/>
  <c r="I388" i="3"/>
  <c r="J388" i="3"/>
  <c r="L388" i="3" s="1"/>
  <c r="K388" i="3"/>
  <c r="M388" i="3" s="1"/>
  <c r="G389" i="3"/>
  <c r="H389" i="3"/>
  <c r="I389" i="3"/>
  <c r="J389" i="3"/>
  <c r="L389" i="3" s="1"/>
  <c r="K389" i="3"/>
  <c r="M389" i="3" s="1"/>
  <c r="G390" i="3"/>
  <c r="H390" i="3"/>
  <c r="I390" i="3"/>
  <c r="J390" i="3"/>
  <c r="L390" i="3" s="1"/>
  <c r="K390" i="3"/>
  <c r="M390" i="3" s="1"/>
  <c r="G391" i="3"/>
  <c r="H391" i="3"/>
  <c r="I391" i="3"/>
  <c r="J391" i="3"/>
  <c r="L391" i="3" s="1"/>
  <c r="K391" i="3"/>
  <c r="M391" i="3" s="1"/>
  <c r="G392" i="3"/>
  <c r="H392" i="3"/>
  <c r="I392" i="3"/>
  <c r="J392" i="3"/>
  <c r="L392" i="3" s="1"/>
  <c r="K392" i="3"/>
  <c r="M392" i="3" s="1"/>
  <c r="G393" i="3"/>
  <c r="H393" i="3"/>
  <c r="I393" i="3"/>
  <c r="J393" i="3"/>
  <c r="L393" i="3" s="1"/>
  <c r="K393" i="3"/>
  <c r="M393" i="3" s="1"/>
  <c r="G394" i="3"/>
  <c r="H394" i="3"/>
  <c r="I394" i="3"/>
  <c r="J394" i="3"/>
  <c r="L394" i="3" s="1"/>
  <c r="K394" i="3"/>
  <c r="M394" i="3" s="1"/>
  <c r="G395" i="3"/>
  <c r="H395" i="3"/>
  <c r="I395" i="3"/>
  <c r="J395" i="3"/>
  <c r="L395" i="3" s="1"/>
  <c r="K395" i="3"/>
  <c r="M395" i="3" s="1"/>
  <c r="G396" i="3"/>
  <c r="H396" i="3"/>
  <c r="I396" i="3"/>
  <c r="J396" i="3"/>
  <c r="L396" i="3" s="1"/>
  <c r="K396" i="3"/>
  <c r="M396" i="3" s="1"/>
  <c r="G397" i="3"/>
  <c r="H397" i="3"/>
  <c r="I397" i="3"/>
  <c r="J397" i="3"/>
  <c r="L397" i="3" s="1"/>
  <c r="K397" i="3"/>
  <c r="M397" i="3" s="1"/>
  <c r="G398" i="3"/>
  <c r="H398" i="3"/>
  <c r="I398" i="3"/>
  <c r="J398" i="3"/>
  <c r="L398" i="3" s="1"/>
  <c r="K398" i="3"/>
  <c r="M398" i="3" s="1"/>
  <c r="G399" i="3"/>
  <c r="H399" i="3"/>
  <c r="I399" i="3"/>
  <c r="J399" i="3"/>
  <c r="L399" i="3" s="1"/>
  <c r="K399" i="3"/>
  <c r="M399" i="3" s="1"/>
  <c r="G400" i="3"/>
  <c r="H400" i="3"/>
  <c r="I400" i="3"/>
  <c r="J400" i="3"/>
  <c r="L400" i="3" s="1"/>
  <c r="K400" i="3"/>
  <c r="M400" i="3" s="1"/>
  <c r="G401" i="3"/>
  <c r="H401" i="3"/>
  <c r="I401" i="3"/>
  <c r="J401" i="3"/>
  <c r="L401" i="3" s="1"/>
  <c r="K401" i="3"/>
  <c r="M401" i="3" s="1"/>
  <c r="G402" i="3"/>
  <c r="H402" i="3"/>
  <c r="I402" i="3"/>
  <c r="J402" i="3"/>
  <c r="L402" i="3" s="1"/>
  <c r="K402" i="3"/>
  <c r="M402" i="3" s="1"/>
  <c r="G403" i="3"/>
  <c r="H403" i="3"/>
  <c r="I403" i="3"/>
  <c r="J403" i="3"/>
  <c r="L403" i="3" s="1"/>
  <c r="K403" i="3"/>
  <c r="M403" i="3" s="1"/>
  <c r="G404" i="3"/>
  <c r="H404" i="3"/>
  <c r="I404" i="3"/>
  <c r="J404" i="3"/>
  <c r="L404" i="3" s="1"/>
  <c r="K404" i="3"/>
  <c r="M404" i="3" s="1"/>
  <c r="G405" i="3"/>
  <c r="I405" i="3"/>
  <c r="J405" i="3"/>
  <c r="L405" i="3" s="1"/>
  <c r="K405" i="3"/>
  <c r="M405" i="3" s="1"/>
  <c r="G406" i="3"/>
  <c r="H406" i="3"/>
  <c r="I406" i="3"/>
  <c r="J406" i="3"/>
  <c r="L406" i="3" s="1"/>
  <c r="K406" i="3"/>
  <c r="M406" i="3" s="1"/>
  <c r="G407" i="3"/>
  <c r="H407" i="3"/>
  <c r="I407" i="3"/>
  <c r="J407" i="3"/>
  <c r="L407" i="3" s="1"/>
  <c r="K407" i="3"/>
  <c r="M407" i="3" s="1"/>
  <c r="G408" i="3"/>
  <c r="H408" i="3"/>
  <c r="I408" i="3"/>
  <c r="J408" i="3"/>
  <c r="L408" i="3" s="1"/>
  <c r="K408" i="3"/>
  <c r="M408" i="3" s="1"/>
  <c r="G409" i="3"/>
  <c r="H409" i="3"/>
  <c r="I409" i="3"/>
  <c r="J409" i="3"/>
  <c r="L409" i="3" s="1"/>
  <c r="K409" i="3"/>
  <c r="M409" i="3" s="1"/>
  <c r="G410" i="3"/>
  <c r="H410" i="3"/>
  <c r="I410" i="3"/>
  <c r="J410" i="3"/>
  <c r="L410" i="3" s="1"/>
  <c r="K410" i="3"/>
  <c r="M410" i="3" s="1"/>
  <c r="G411" i="3"/>
  <c r="H411" i="3"/>
  <c r="I411" i="3"/>
  <c r="J411" i="3"/>
  <c r="L411" i="3" s="1"/>
  <c r="K411" i="3"/>
  <c r="M411" i="3" s="1"/>
  <c r="G412" i="3"/>
  <c r="H412" i="3"/>
  <c r="I412" i="3"/>
  <c r="J412" i="3"/>
  <c r="L412" i="3" s="1"/>
  <c r="K412" i="3"/>
  <c r="M412" i="3" s="1"/>
  <c r="G413" i="3"/>
  <c r="I413" i="3"/>
  <c r="J413" i="3"/>
  <c r="L413" i="3" s="1"/>
  <c r="K413" i="3"/>
  <c r="M413" i="3" s="1"/>
  <c r="G414" i="3"/>
  <c r="H414" i="3"/>
  <c r="I414" i="3"/>
  <c r="J414" i="3"/>
  <c r="L414" i="3" s="1"/>
  <c r="K414" i="3"/>
  <c r="M414" i="3" s="1"/>
  <c r="G415" i="3"/>
  <c r="H415" i="3"/>
  <c r="I415" i="3"/>
  <c r="J415" i="3"/>
  <c r="L415" i="3" s="1"/>
  <c r="K415" i="3"/>
  <c r="M415" i="3" s="1"/>
  <c r="G416" i="3"/>
  <c r="H416" i="3"/>
  <c r="I416" i="3"/>
  <c r="J416" i="3"/>
  <c r="L416" i="3" s="1"/>
  <c r="K416" i="3"/>
  <c r="M416" i="3" s="1"/>
  <c r="G417" i="3"/>
  <c r="H417" i="3"/>
  <c r="I417" i="3"/>
  <c r="J417" i="3"/>
  <c r="L417" i="3" s="1"/>
  <c r="K417" i="3"/>
  <c r="M417" i="3" s="1"/>
  <c r="G418" i="3"/>
  <c r="H418" i="3"/>
  <c r="I418" i="3"/>
  <c r="J418" i="3"/>
  <c r="L418" i="3" s="1"/>
  <c r="K418" i="3"/>
  <c r="M418" i="3" s="1"/>
  <c r="G419" i="3"/>
  <c r="H419" i="3"/>
  <c r="I419" i="3"/>
  <c r="J419" i="3"/>
  <c r="L419" i="3" s="1"/>
  <c r="K419" i="3"/>
  <c r="M419" i="3" s="1"/>
  <c r="G420" i="3"/>
  <c r="H420" i="3"/>
  <c r="I420" i="3"/>
  <c r="J420" i="3"/>
  <c r="L420" i="3" s="1"/>
  <c r="K420" i="3"/>
  <c r="M420" i="3" s="1"/>
  <c r="G421" i="3"/>
  <c r="H421" i="3"/>
  <c r="I421" i="3"/>
  <c r="J421" i="3"/>
  <c r="L421" i="3" s="1"/>
  <c r="K421" i="3"/>
  <c r="M421" i="3" s="1"/>
  <c r="G422" i="3"/>
  <c r="H422" i="3"/>
  <c r="I422" i="3"/>
  <c r="J422" i="3"/>
  <c r="L422" i="3" s="1"/>
  <c r="K422" i="3"/>
  <c r="M422" i="3" s="1"/>
  <c r="G423" i="3"/>
  <c r="H423" i="3"/>
  <c r="I423" i="3"/>
  <c r="J423" i="3"/>
  <c r="L423" i="3" s="1"/>
  <c r="K423" i="3"/>
  <c r="M423" i="3" s="1"/>
  <c r="G424" i="3"/>
  <c r="H424" i="3"/>
  <c r="I424" i="3"/>
  <c r="J424" i="3"/>
  <c r="L424" i="3" s="1"/>
  <c r="K424" i="3"/>
  <c r="M424" i="3" s="1"/>
  <c r="G425" i="3"/>
  <c r="H425" i="3"/>
  <c r="I425" i="3"/>
  <c r="J425" i="3"/>
  <c r="L425" i="3" s="1"/>
  <c r="K425" i="3"/>
  <c r="M425" i="3" s="1"/>
  <c r="G426" i="3"/>
  <c r="H426" i="3"/>
  <c r="I426" i="3"/>
  <c r="J426" i="3"/>
  <c r="L426" i="3" s="1"/>
  <c r="K426" i="3"/>
  <c r="M426" i="3" s="1"/>
  <c r="G427" i="3"/>
  <c r="H427" i="3"/>
  <c r="I427" i="3"/>
  <c r="J427" i="3"/>
  <c r="L427" i="3" s="1"/>
  <c r="K427" i="3"/>
  <c r="M427" i="3" s="1"/>
  <c r="G428" i="3"/>
  <c r="H428" i="3"/>
  <c r="I428" i="3"/>
  <c r="J428" i="3"/>
  <c r="L428" i="3" s="1"/>
  <c r="K428" i="3"/>
  <c r="M428" i="3" s="1"/>
  <c r="G429" i="3"/>
  <c r="I429" i="3"/>
  <c r="J429" i="3"/>
  <c r="L429" i="3" s="1"/>
  <c r="K429" i="3"/>
  <c r="M429" i="3" s="1"/>
  <c r="G430" i="3"/>
  <c r="H430" i="3"/>
  <c r="I430" i="3"/>
  <c r="J430" i="3"/>
  <c r="L430" i="3" s="1"/>
  <c r="K430" i="3"/>
  <c r="M430" i="3" s="1"/>
  <c r="G431" i="3"/>
  <c r="H431" i="3"/>
  <c r="I431" i="3"/>
  <c r="J431" i="3"/>
  <c r="L431" i="3" s="1"/>
  <c r="K431" i="3"/>
  <c r="M431" i="3" s="1"/>
  <c r="G432" i="3"/>
  <c r="H432" i="3"/>
  <c r="I432" i="3"/>
  <c r="J432" i="3"/>
  <c r="L432" i="3" s="1"/>
  <c r="K432" i="3"/>
  <c r="M432" i="3" s="1"/>
  <c r="G433" i="3"/>
  <c r="H433" i="3"/>
  <c r="I433" i="3"/>
  <c r="J433" i="3"/>
  <c r="L433" i="3" s="1"/>
  <c r="K433" i="3"/>
  <c r="M433" i="3" s="1"/>
  <c r="G434" i="3"/>
  <c r="H434" i="3"/>
  <c r="I434" i="3"/>
  <c r="J434" i="3"/>
  <c r="L434" i="3" s="1"/>
  <c r="K434" i="3"/>
  <c r="M434" i="3" s="1"/>
  <c r="G435" i="3"/>
  <c r="H435" i="3"/>
  <c r="I435" i="3"/>
  <c r="J435" i="3"/>
  <c r="L435" i="3" s="1"/>
  <c r="K435" i="3"/>
  <c r="M435" i="3" s="1"/>
  <c r="G436" i="3"/>
  <c r="H436" i="3"/>
  <c r="I436" i="3"/>
  <c r="J436" i="3"/>
  <c r="L436" i="3" s="1"/>
  <c r="K436" i="3"/>
  <c r="M436" i="3" s="1"/>
  <c r="G437" i="3"/>
  <c r="H437" i="3"/>
  <c r="I437" i="3"/>
  <c r="J437" i="3"/>
  <c r="L437" i="3" s="1"/>
  <c r="K437" i="3"/>
  <c r="M437" i="3" s="1"/>
  <c r="G438" i="3"/>
  <c r="H438" i="3"/>
  <c r="I438" i="3"/>
  <c r="J438" i="3"/>
  <c r="L438" i="3" s="1"/>
  <c r="K438" i="3"/>
  <c r="M438" i="3" s="1"/>
  <c r="G439" i="3"/>
  <c r="H439" i="3"/>
  <c r="I439" i="3"/>
  <c r="J439" i="3"/>
  <c r="L439" i="3" s="1"/>
  <c r="K439" i="3"/>
  <c r="M439" i="3" s="1"/>
  <c r="G440" i="3"/>
  <c r="H440" i="3"/>
  <c r="I440" i="3"/>
  <c r="J440" i="3"/>
  <c r="L440" i="3" s="1"/>
  <c r="K440" i="3"/>
  <c r="M440" i="3" s="1"/>
  <c r="G441" i="3"/>
  <c r="H441" i="3"/>
  <c r="I441" i="3"/>
  <c r="J441" i="3"/>
  <c r="L441" i="3" s="1"/>
  <c r="K441" i="3"/>
  <c r="M441" i="3" s="1"/>
  <c r="G442" i="3"/>
  <c r="H442" i="3"/>
  <c r="I442" i="3"/>
  <c r="J442" i="3"/>
  <c r="L442" i="3" s="1"/>
  <c r="K442" i="3"/>
  <c r="M442" i="3" s="1"/>
  <c r="G443" i="3"/>
  <c r="H443" i="3"/>
  <c r="I443" i="3"/>
  <c r="J443" i="3"/>
  <c r="L443" i="3" s="1"/>
  <c r="K443" i="3"/>
  <c r="M443" i="3" s="1"/>
  <c r="G444" i="3"/>
  <c r="H444" i="3"/>
  <c r="I444" i="3"/>
  <c r="J444" i="3"/>
  <c r="L444" i="3" s="1"/>
  <c r="K444" i="3"/>
  <c r="M444" i="3" s="1"/>
  <c r="G445" i="3"/>
  <c r="I445" i="3"/>
  <c r="J445" i="3"/>
  <c r="L445" i="3" s="1"/>
  <c r="K445" i="3"/>
  <c r="M445" i="3" s="1"/>
  <c r="G446" i="3"/>
  <c r="H446" i="3"/>
  <c r="I446" i="3"/>
  <c r="J446" i="3"/>
  <c r="L446" i="3" s="1"/>
  <c r="K446" i="3"/>
  <c r="M446" i="3" s="1"/>
  <c r="G447" i="3"/>
  <c r="H447" i="3"/>
  <c r="I447" i="3"/>
  <c r="J447" i="3"/>
  <c r="L447" i="3" s="1"/>
  <c r="K447" i="3"/>
  <c r="M447" i="3" s="1"/>
  <c r="G448" i="3"/>
  <c r="H448" i="3"/>
  <c r="I448" i="3"/>
  <c r="J448" i="3"/>
  <c r="L448" i="3" s="1"/>
  <c r="K448" i="3"/>
  <c r="M448" i="3" s="1"/>
  <c r="G449" i="3"/>
  <c r="H449" i="3"/>
  <c r="I449" i="3"/>
  <c r="J449" i="3"/>
  <c r="L449" i="3" s="1"/>
  <c r="K449" i="3"/>
  <c r="M449" i="3" s="1"/>
  <c r="G450" i="3"/>
  <c r="H450" i="3"/>
  <c r="I450" i="3"/>
  <c r="J450" i="3"/>
  <c r="L450" i="3" s="1"/>
  <c r="K450" i="3"/>
  <c r="M450" i="3" s="1"/>
  <c r="G451" i="3"/>
  <c r="H451" i="3"/>
  <c r="I451" i="3"/>
  <c r="J451" i="3"/>
  <c r="L451" i="3" s="1"/>
  <c r="K451" i="3"/>
  <c r="M451" i="3" s="1"/>
  <c r="G452" i="3"/>
  <c r="H452" i="3"/>
  <c r="I452" i="3"/>
  <c r="J452" i="3"/>
  <c r="L452" i="3" s="1"/>
  <c r="K452" i="3"/>
  <c r="M452" i="3" s="1"/>
  <c r="G453" i="3"/>
  <c r="I453" i="3"/>
  <c r="J453" i="3"/>
  <c r="L453" i="3" s="1"/>
  <c r="K453" i="3"/>
  <c r="M453" i="3" s="1"/>
  <c r="G454" i="3"/>
  <c r="H454" i="3"/>
  <c r="I454" i="3"/>
  <c r="J454" i="3"/>
  <c r="L454" i="3" s="1"/>
  <c r="K454" i="3"/>
  <c r="M454" i="3" s="1"/>
  <c r="G455" i="3"/>
  <c r="H455" i="3"/>
  <c r="I455" i="3"/>
  <c r="J455" i="3"/>
  <c r="L455" i="3" s="1"/>
  <c r="K455" i="3"/>
  <c r="M455" i="3" s="1"/>
  <c r="G456" i="3"/>
  <c r="H456" i="3"/>
  <c r="I456" i="3"/>
  <c r="J456" i="3"/>
  <c r="L456" i="3" s="1"/>
  <c r="K456" i="3"/>
  <c r="M456" i="3" s="1"/>
  <c r="G457" i="3"/>
  <c r="H457" i="3"/>
  <c r="I457" i="3"/>
  <c r="J457" i="3"/>
  <c r="L457" i="3" s="1"/>
  <c r="K457" i="3"/>
  <c r="M457" i="3" s="1"/>
  <c r="G458" i="3"/>
  <c r="H458" i="3"/>
  <c r="I458" i="3"/>
  <c r="J458" i="3"/>
  <c r="L458" i="3" s="1"/>
  <c r="K458" i="3"/>
  <c r="M458" i="3" s="1"/>
  <c r="G459" i="3"/>
  <c r="H459" i="3"/>
  <c r="I459" i="3"/>
  <c r="J459" i="3"/>
  <c r="L459" i="3" s="1"/>
  <c r="K459" i="3"/>
  <c r="M459" i="3" s="1"/>
  <c r="G460" i="3"/>
  <c r="H460" i="3"/>
  <c r="I460" i="3"/>
  <c r="J460" i="3"/>
  <c r="L460" i="3" s="1"/>
  <c r="K460" i="3"/>
  <c r="M460" i="3" s="1"/>
  <c r="G461" i="3"/>
  <c r="H461" i="3"/>
  <c r="I461" i="3"/>
  <c r="J461" i="3"/>
  <c r="L461" i="3" s="1"/>
  <c r="K461" i="3"/>
  <c r="M461" i="3" s="1"/>
  <c r="G462" i="3"/>
  <c r="H462" i="3"/>
  <c r="I462" i="3"/>
  <c r="J462" i="3"/>
  <c r="L462" i="3" s="1"/>
  <c r="K462" i="3"/>
  <c r="M462" i="3" s="1"/>
  <c r="G463" i="3"/>
  <c r="H463" i="3"/>
  <c r="I463" i="3"/>
  <c r="J463" i="3"/>
  <c r="L463" i="3" s="1"/>
  <c r="K463" i="3"/>
  <c r="M463" i="3" s="1"/>
  <c r="G464" i="3"/>
  <c r="H464" i="3"/>
  <c r="I464" i="3"/>
  <c r="J464" i="3"/>
  <c r="L464" i="3" s="1"/>
  <c r="K464" i="3"/>
  <c r="M464" i="3" s="1"/>
  <c r="G465" i="3"/>
  <c r="H465" i="3"/>
  <c r="I465" i="3"/>
  <c r="J465" i="3"/>
  <c r="L465" i="3" s="1"/>
  <c r="K465" i="3"/>
  <c r="M465" i="3" s="1"/>
  <c r="G466" i="3"/>
  <c r="H466" i="3"/>
  <c r="I466" i="3"/>
  <c r="J466" i="3"/>
  <c r="L466" i="3" s="1"/>
  <c r="K466" i="3"/>
  <c r="M466" i="3" s="1"/>
  <c r="G467" i="3"/>
  <c r="H467" i="3"/>
  <c r="I467" i="3"/>
  <c r="J467" i="3"/>
  <c r="L467" i="3" s="1"/>
  <c r="K467" i="3"/>
  <c r="M467" i="3" s="1"/>
  <c r="G468" i="3"/>
  <c r="H468" i="3"/>
  <c r="I468" i="3"/>
  <c r="J468" i="3"/>
  <c r="L468" i="3" s="1"/>
  <c r="K468" i="3"/>
  <c r="M468" i="3" s="1"/>
  <c r="G469" i="3"/>
  <c r="H469" i="3"/>
  <c r="I469" i="3"/>
  <c r="J469" i="3"/>
  <c r="L469" i="3" s="1"/>
  <c r="K469" i="3"/>
  <c r="M469" i="3" s="1"/>
  <c r="G470" i="3"/>
  <c r="H470" i="3"/>
  <c r="I470" i="3"/>
  <c r="J470" i="3"/>
  <c r="L470" i="3" s="1"/>
  <c r="K470" i="3"/>
  <c r="M470" i="3" s="1"/>
  <c r="G471" i="3"/>
  <c r="H471" i="3"/>
  <c r="I471" i="3"/>
  <c r="J471" i="3"/>
  <c r="L471" i="3" s="1"/>
  <c r="K471" i="3"/>
  <c r="M471" i="3" s="1"/>
  <c r="G472" i="3"/>
  <c r="H472" i="3"/>
  <c r="I472" i="3"/>
  <c r="J472" i="3"/>
  <c r="L472" i="3" s="1"/>
  <c r="K472" i="3"/>
  <c r="M472" i="3" s="1"/>
  <c r="G473" i="3"/>
  <c r="H473" i="3"/>
  <c r="I473" i="3"/>
  <c r="J473" i="3"/>
  <c r="L473" i="3" s="1"/>
  <c r="K473" i="3"/>
  <c r="M473" i="3" s="1"/>
  <c r="G474" i="3"/>
  <c r="H474" i="3"/>
  <c r="I474" i="3"/>
  <c r="J474" i="3"/>
  <c r="L474" i="3" s="1"/>
  <c r="K474" i="3"/>
  <c r="M474" i="3" s="1"/>
  <c r="G475" i="3"/>
  <c r="H475" i="3"/>
  <c r="I475" i="3"/>
  <c r="J475" i="3"/>
  <c r="L475" i="3" s="1"/>
  <c r="K475" i="3"/>
  <c r="M475" i="3" s="1"/>
  <c r="G476" i="3"/>
  <c r="H476" i="3"/>
  <c r="I476" i="3"/>
  <c r="J476" i="3"/>
  <c r="L476" i="3" s="1"/>
  <c r="K476" i="3"/>
  <c r="M476" i="3" s="1"/>
  <c r="G477" i="3"/>
  <c r="H477" i="3"/>
  <c r="I477" i="3"/>
  <c r="J477" i="3"/>
  <c r="L477" i="3" s="1"/>
  <c r="K477" i="3"/>
  <c r="M477" i="3" s="1"/>
  <c r="G478" i="3"/>
  <c r="H478" i="3"/>
  <c r="I478" i="3"/>
  <c r="J478" i="3"/>
  <c r="L478" i="3" s="1"/>
  <c r="K478" i="3"/>
  <c r="M478" i="3" s="1"/>
  <c r="G479" i="3"/>
  <c r="H479" i="3"/>
  <c r="I479" i="3"/>
  <c r="J479" i="3"/>
  <c r="L479" i="3" s="1"/>
  <c r="K479" i="3"/>
  <c r="M479" i="3" s="1"/>
  <c r="G480" i="3"/>
  <c r="H480" i="3"/>
  <c r="I480" i="3"/>
  <c r="J480" i="3"/>
  <c r="L480" i="3" s="1"/>
  <c r="K480" i="3"/>
  <c r="M480" i="3" s="1"/>
  <c r="G481" i="3"/>
  <c r="H481" i="3"/>
  <c r="I481" i="3"/>
  <c r="J481" i="3"/>
  <c r="L481" i="3" s="1"/>
  <c r="K481" i="3"/>
  <c r="M481" i="3" s="1"/>
  <c r="G482" i="3"/>
  <c r="H482" i="3"/>
  <c r="I482" i="3"/>
  <c r="J482" i="3"/>
  <c r="L482" i="3" s="1"/>
  <c r="K482" i="3"/>
  <c r="M482" i="3" s="1"/>
  <c r="G483" i="3"/>
  <c r="H483" i="3"/>
  <c r="I483" i="3"/>
  <c r="J483" i="3"/>
  <c r="L483" i="3" s="1"/>
  <c r="K483" i="3"/>
  <c r="M483" i="3" s="1"/>
  <c r="G484" i="3"/>
  <c r="H484" i="3"/>
  <c r="I484" i="3"/>
  <c r="J484" i="3"/>
  <c r="L484" i="3" s="1"/>
  <c r="K484" i="3"/>
  <c r="M484" i="3" s="1"/>
  <c r="G485" i="3"/>
  <c r="H485" i="3"/>
  <c r="I485" i="3"/>
  <c r="J485" i="3"/>
  <c r="L485" i="3" s="1"/>
  <c r="K485" i="3"/>
  <c r="M485" i="3" s="1"/>
  <c r="G486" i="3"/>
  <c r="H486" i="3"/>
  <c r="I486" i="3"/>
  <c r="J486" i="3"/>
  <c r="L486" i="3" s="1"/>
  <c r="K486" i="3"/>
  <c r="M486" i="3" s="1"/>
  <c r="G487" i="3"/>
  <c r="H487" i="3"/>
  <c r="I487" i="3"/>
  <c r="J487" i="3"/>
  <c r="L487" i="3" s="1"/>
  <c r="K487" i="3"/>
  <c r="M487" i="3" s="1"/>
  <c r="G488" i="3"/>
  <c r="H488" i="3"/>
  <c r="I488" i="3"/>
  <c r="J488" i="3"/>
  <c r="L488" i="3" s="1"/>
  <c r="K488" i="3"/>
  <c r="M488" i="3" s="1"/>
  <c r="G489" i="3"/>
  <c r="H489" i="3"/>
  <c r="I489" i="3"/>
  <c r="J489" i="3"/>
  <c r="L489" i="3" s="1"/>
  <c r="K489" i="3"/>
  <c r="M489" i="3" s="1"/>
  <c r="G490" i="3"/>
  <c r="H490" i="3"/>
  <c r="I490" i="3"/>
  <c r="J490" i="3"/>
  <c r="L490" i="3" s="1"/>
  <c r="K490" i="3"/>
  <c r="M490" i="3" s="1"/>
  <c r="G491" i="3"/>
  <c r="H491" i="3"/>
  <c r="I491" i="3"/>
  <c r="J491" i="3"/>
  <c r="L491" i="3" s="1"/>
  <c r="K491" i="3"/>
  <c r="M491" i="3" s="1"/>
  <c r="G492" i="3"/>
  <c r="H492" i="3"/>
  <c r="I492" i="3"/>
  <c r="J492" i="3"/>
  <c r="L492" i="3" s="1"/>
  <c r="K492" i="3"/>
  <c r="M492" i="3" s="1"/>
  <c r="G493" i="3"/>
  <c r="H493" i="3"/>
  <c r="I493" i="3"/>
  <c r="J493" i="3"/>
  <c r="L493" i="3" s="1"/>
  <c r="K493" i="3"/>
  <c r="M493" i="3" s="1"/>
  <c r="G494" i="3"/>
  <c r="H494" i="3"/>
  <c r="I494" i="3"/>
  <c r="J494" i="3"/>
  <c r="L494" i="3" s="1"/>
  <c r="K494" i="3"/>
  <c r="M494" i="3" s="1"/>
  <c r="G495" i="3"/>
  <c r="H495" i="3"/>
  <c r="I495" i="3"/>
  <c r="J495" i="3"/>
  <c r="L495" i="3" s="1"/>
  <c r="K495" i="3"/>
  <c r="M495" i="3" s="1"/>
  <c r="G496" i="3"/>
  <c r="H496" i="3"/>
  <c r="I496" i="3"/>
  <c r="J496" i="3"/>
  <c r="L496" i="3" s="1"/>
  <c r="K496" i="3"/>
  <c r="M496" i="3" s="1"/>
  <c r="G497" i="3"/>
  <c r="H497" i="3"/>
  <c r="I497" i="3"/>
  <c r="J497" i="3"/>
  <c r="L497" i="3" s="1"/>
  <c r="K497" i="3"/>
  <c r="M497" i="3" s="1"/>
  <c r="G498" i="3"/>
  <c r="H498" i="3"/>
  <c r="I498" i="3"/>
  <c r="J498" i="3"/>
  <c r="L498" i="3" s="1"/>
  <c r="K498" i="3"/>
  <c r="M498" i="3" s="1"/>
  <c r="G499" i="3"/>
  <c r="H499" i="3"/>
  <c r="I499" i="3"/>
  <c r="J499" i="3"/>
  <c r="L499" i="3" s="1"/>
  <c r="K499" i="3"/>
  <c r="M499" i="3" s="1"/>
  <c r="G500" i="3"/>
  <c r="H500" i="3"/>
  <c r="I500" i="3"/>
  <c r="J500" i="3"/>
  <c r="L500" i="3" s="1"/>
  <c r="K500" i="3"/>
  <c r="M500" i="3" s="1"/>
  <c r="G501" i="3"/>
  <c r="H501" i="3"/>
  <c r="I501" i="3"/>
  <c r="J501" i="3"/>
  <c r="L501" i="3" s="1"/>
  <c r="K501" i="3"/>
  <c r="M501" i="3" s="1"/>
  <c r="G502" i="3"/>
  <c r="H502" i="3"/>
  <c r="I502" i="3"/>
  <c r="J502" i="3"/>
  <c r="L502" i="3" s="1"/>
  <c r="K502" i="3"/>
  <c r="M502" i="3" s="1"/>
  <c r="G503" i="3"/>
  <c r="H503" i="3"/>
  <c r="I503" i="3"/>
  <c r="J503" i="3"/>
  <c r="L503" i="3" s="1"/>
  <c r="K503" i="3"/>
  <c r="M503" i="3" s="1"/>
  <c r="G504" i="3"/>
  <c r="H504" i="3"/>
  <c r="I504" i="3"/>
  <c r="J504" i="3"/>
  <c r="L504" i="3" s="1"/>
  <c r="K504" i="3"/>
  <c r="M504" i="3" s="1"/>
  <c r="G505" i="3"/>
  <c r="H505" i="3"/>
  <c r="I505" i="3"/>
  <c r="J505" i="3"/>
  <c r="L505" i="3" s="1"/>
  <c r="K505" i="3"/>
  <c r="M505" i="3" s="1"/>
  <c r="G506" i="3"/>
  <c r="H506" i="3"/>
  <c r="I506" i="3"/>
  <c r="J506" i="3"/>
  <c r="L506" i="3" s="1"/>
  <c r="K506" i="3"/>
  <c r="M506" i="3" s="1"/>
  <c r="G507" i="3"/>
  <c r="H507" i="3"/>
  <c r="I507" i="3"/>
  <c r="J507" i="3"/>
  <c r="L507" i="3" s="1"/>
  <c r="K507" i="3"/>
  <c r="M507" i="3" s="1"/>
  <c r="G508" i="3"/>
  <c r="H508" i="3"/>
  <c r="I508" i="3"/>
  <c r="J508" i="3"/>
  <c r="L508" i="3" s="1"/>
  <c r="K508" i="3"/>
  <c r="M508" i="3" s="1"/>
  <c r="G509" i="3"/>
  <c r="H509" i="3"/>
  <c r="I509" i="3"/>
  <c r="J509" i="3"/>
  <c r="L509" i="3" s="1"/>
  <c r="K509" i="3"/>
  <c r="M509" i="3" s="1"/>
  <c r="G510" i="3"/>
  <c r="H510" i="3"/>
  <c r="I510" i="3"/>
  <c r="J510" i="3"/>
  <c r="L510" i="3" s="1"/>
  <c r="K510" i="3"/>
  <c r="M510" i="3" s="1"/>
  <c r="G511" i="3"/>
  <c r="H511" i="3"/>
  <c r="I511" i="3"/>
  <c r="J511" i="3"/>
  <c r="L511" i="3" s="1"/>
  <c r="K511" i="3"/>
  <c r="M511" i="3" s="1"/>
  <c r="G512" i="3"/>
  <c r="H512" i="3"/>
  <c r="I512" i="3"/>
  <c r="J512" i="3"/>
  <c r="L512" i="3" s="1"/>
  <c r="K512" i="3"/>
  <c r="M512" i="3" s="1"/>
  <c r="G513" i="3"/>
  <c r="H513" i="3"/>
  <c r="I513" i="3"/>
  <c r="J513" i="3"/>
  <c r="L513" i="3" s="1"/>
  <c r="K513" i="3"/>
  <c r="M513" i="3" s="1"/>
  <c r="G514" i="3"/>
  <c r="H514" i="3"/>
  <c r="I514" i="3"/>
  <c r="J514" i="3"/>
  <c r="L514" i="3" s="1"/>
  <c r="K514" i="3"/>
  <c r="M514" i="3" s="1"/>
  <c r="G515" i="3"/>
  <c r="H515" i="3"/>
  <c r="I515" i="3"/>
  <c r="J515" i="3"/>
  <c r="L515" i="3" s="1"/>
  <c r="K515" i="3"/>
  <c r="M515" i="3" s="1"/>
  <c r="G516" i="3"/>
  <c r="H516" i="3"/>
  <c r="I516" i="3"/>
  <c r="J516" i="3"/>
  <c r="L516" i="3" s="1"/>
  <c r="K516" i="3"/>
  <c r="M516" i="3" s="1"/>
  <c r="G517" i="3"/>
  <c r="H517" i="3"/>
  <c r="I517" i="3"/>
  <c r="J517" i="3"/>
  <c r="L517" i="3" s="1"/>
  <c r="K517" i="3"/>
  <c r="M517" i="3" s="1"/>
  <c r="G518" i="3"/>
  <c r="H518" i="3"/>
  <c r="I518" i="3"/>
  <c r="J518" i="3"/>
  <c r="L518" i="3" s="1"/>
  <c r="K518" i="3"/>
  <c r="M518" i="3" s="1"/>
  <c r="G519" i="3"/>
  <c r="H519" i="3"/>
  <c r="I519" i="3"/>
  <c r="J519" i="3"/>
  <c r="L519" i="3" s="1"/>
  <c r="K519" i="3"/>
  <c r="M519" i="3" s="1"/>
  <c r="G520" i="3"/>
  <c r="H520" i="3"/>
  <c r="I520" i="3"/>
  <c r="J520" i="3"/>
  <c r="L520" i="3" s="1"/>
  <c r="K520" i="3"/>
  <c r="M520" i="3" s="1"/>
  <c r="G521" i="3"/>
  <c r="H521" i="3"/>
  <c r="I521" i="3"/>
  <c r="J521" i="3"/>
  <c r="L521" i="3" s="1"/>
  <c r="K521" i="3"/>
  <c r="M521" i="3" s="1"/>
  <c r="G522" i="3"/>
  <c r="H522" i="3"/>
  <c r="I522" i="3"/>
  <c r="J522" i="3"/>
  <c r="L522" i="3" s="1"/>
  <c r="K522" i="3"/>
  <c r="M522" i="3" s="1"/>
  <c r="G523" i="3"/>
  <c r="H523" i="3"/>
  <c r="I523" i="3"/>
  <c r="J523" i="3"/>
  <c r="L523" i="3" s="1"/>
  <c r="K523" i="3"/>
  <c r="M523" i="3" s="1"/>
  <c r="G524" i="3"/>
  <c r="H524" i="3"/>
  <c r="I524" i="3"/>
  <c r="J524" i="3"/>
  <c r="L524" i="3" s="1"/>
  <c r="K524" i="3"/>
  <c r="M524" i="3" s="1"/>
  <c r="G525" i="3"/>
  <c r="I525" i="3"/>
  <c r="J525" i="3"/>
  <c r="L525" i="3" s="1"/>
  <c r="K525" i="3"/>
  <c r="M525" i="3" s="1"/>
  <c r="G526" i="3"/>
  <c r="H526" i="3"/>
  <c r="I526" i="3"/>
  <c r="J526" i="3"/>
  <c r="L526" i="3" s="1"/>
  <c r="K526" i="3"/>
  <c r="M526" i="3" s="1"/>
  <c r="G527" i="3"/>
  <c r="H527" i="3"/>
  <c r="I527" i="3"/>
  <c r="J527" i="3"/>
  <c r="L527" i="3" s="1"/>
  <c r="K527" i="3"/>
  <c r="M527" i="3" s="1"/>
  <c r="G528" i="3"/>
  <c r="H528" i="3"/>
  <c r="I528" i="3"/>
  <c r="J528" i="3"/>
  <c r="L528" i="3" s="1"/>
  <c r="K528" i="3"/>
  <c r="M528" i="3" s="1"/>
  <c r="H2" i="3"/>
  <c r="I2" i="3"/>
  <c r="J2" i="3"/>
  <c r="L2" i="3" s="1"/>
  <c r="K2" i="3"/>
  <c r="M2" i="3" s="1"/>
  <c r="G2" i="3"/>
  <c r="G5" i="10"/>
  <c r="F5" i="10"/>
  <c r="E5" i="10"/>
  <c r="BF37" i="10" l="1"/>
  <c r="BF5" i="10"/>
  <c r="BF33" i="10"/>
  <c r="BF17" i="10"/>
  <c r="BF21" i="10"/>
  <c r="BF45" i="10"/>
  <c r="BF29" i="10"/>
  <c r="BF13" i="10"/>
  <c r="BF41" i="10"/>
  <c r="BF25" i="10"/>
  <c r="BF9" i="10"/>
  <c r="BF48" i="10"/>
  <c r="BF44" i="10"/>
  <c r="BF40" i="10"/>
  <c r="BF36" i="10"/>
  <c r="BF32" i="10"/>
  <c r="BF28" i="10"/>
  <c r="BF24" i="10"/>
  <c r="BF20" i="10"/>
  <c r="BF16" i="10"/>
  <c r="BF12" i="10"/>
  <c r="BF8" i="10"/>
  <c r="BF47" i="10"/>
  <c r="BF43" i="10"/>
  <c r="BF39" i="10"/>
  <c r="BF35" i="10"/>
  <c r="BF31" i="10"/>
  <c r="BF27" i="10"/>
  <c r="BF23" i="10"/>
  <c r="BF19" i="10"/>
  <c r="BF15" i="10"/>
  <c r="BF11" i="10"/>
  <c r="BF7" i="10"/>
  <c r="BF46" i="10"/>
  <c r="BF42" i="10"/>
  <c r="BF38" i="10"/>
  <c r="BF34" i="10"/>
  <c r="BF30" i="10"/>
  <c r="BF26" i="10"/>
  <c r="BF22" i="10"/>
  <c r="BF18" i="10"/>
  <c r="BF14" i="10"/>
  <c r="BF10" i="10"/>
  <c r="BF6" i="10"/>
  <c r="AY13" i="10"/>
  <c r="AY9" i="10"/>
  <c r="AY12" i="10"/>
  <c r="AY8" i="10"/>
  <c r="AY11" i="10"/>
  <c r="AY7" i="10"/>
  <c r="AY5" i="10"/>
  <c r="AY10" i="10"/>
  <c r="AY6" i="10"/>
  <c r="AS5" i="10"/>
  <c r="AS6" i="10"/>
  <c r="AL13" i="10"/>
  <c r="AL9" i="10"/>
  <c r="AL12" i="10"/>
  <c r="AL8" i="10"/>
  <c r="AL5" i="10"/>
  <c r="AL11" i="10"/>
  <c r="AL7" i="10"/>
  <c r="AL14" i="10"/>
  <c r="AL10" i="10"/>
  <c r="AL6" i="10"/>
  <c r="AJ21" i="10"/>
  <c r="AJ5" i="10"/>
  <c r="AJ33" i="10"/>
  <c r="AJ17" i="10"/>
  <c r="AJ37" i="10"/>
  <c r="AJ45" i="10"/>
  <c r="AJ29" i="10"/>
  <c r="AJ13" i="10"/>
  <c r="AJ41" i="10"/>
  <c r="AJ25" i="10"/>
  <c r="AJ9" i="10"/>
  <c r="AJ48" i="10"/>
  <c r="AJ44" i="10"/>
  <c r="AJ40" i="10"/>
  <c r="AJ36" i="10"/>
  <c r="AJ32" i="10"/>
  <c r="AJ28" i="10"/>
  <c r="AJ24" i="10"/>
  <c r="AJ20" i="10"/>
  <c r="AJ16" i="10"/>
  <c r="AJ12" i="10"/>
  <c r="AJ8" i="10"/>
  <c r="AJ47" i="10"/>
  <c r="AJ43" i="10"/>
  <c r="AJ39" i="10"/>
  <c r="AJ35" i="10"/>
  <c r="AJ31" i="10"/>
  <c r="AJ27" i="10"/>
  <c r="AJ23" i="10"/>
  <c r="AJ19" i="10"/>
  <c r="AJ15" i="10"/>
  <c r="AJ11" i="10"/>
  <c r="AJ7" i="10"/>
  <c r="AJ46" i="10"/>
  <c r="AJ42" i="10"/>
  <c r="AJ38" i="10"/>
  <c r="AJ34" i="10"/>
  <c r="AJ30" i="10"/>
  <c r="AJ26" i="10"/>
  <c r="AJ22" i="10"/>
  <c r="AJ18" i="10"/>
  <c r="AJ14" i="10"/>
  <c r="AJ10" i="10"/>
  <c r="AJ6" i="10"/>
  <c r="Q5" i="10"/>
  <c r="R14" i="10"/>
  <c r="R10" i="10"/>
  <c r="R6" i="10"/>
  <c r="R11" i="10"/>
  <c r="R5" i="10"/>
  <c r="R13" i="10"/>
  <c r="R9" i="10"/>
  <c r="R15" i="10"/>
  <c r="R7" i="10"/>
  <c r="R16" i="10"/>
  <c r="R12" i="10"/>
  <c r="R8" i="10"/>
  <c r="X35" i="10"/>
  <c r="X27" i="10"/>
  <c r="X19" i="10"/>
  <c r="X11" i="10"/>
  <c r="X34" i="10"/>
  <c r="X26" i="10"/>
  <c r="X18" i="10"/>
  <c r="X10" i="10"/>
  <c r="X31" i="10"/>
  <c r="X23" i="10"/>
  <c r="X15" i="10"/>
  <c r="X7" i="10"/>
  <c r="X30" i="10"/>
  <c r="X22" i="10"/>
  <c r="X14" i="10"/>
  <c r="X6" i="10"/>
  <c r="X33" i="10"/>
  <c r="X29" i="10"/>
  <c r="X25" i="10"/>
  <c r="X21" i="10"/>
  <c r="X17" i="10"/>
  <c r="X13" i="10"/>
  <c r="X9" i="10"/>
  <c r="X5" i="10"/>
  <c r="X32" i="10"/>
  <c r="X28" i="10"/>
  <c r="X24" i="10"/>
  <c r="X20" i="10"/>
  <c r="X16" i="10"/>
  <c r="X12" i="10"/>
  <c r="X8" i="10"/>
  <c r="P5" i="10"/>
  <c r="P9" i="10"/>
  <c r="P16" i="10"/>
  <c r="P12" i="10"/>
  <c r="P8" i="10"/>
  <c r="Q16" i="10"/>
  <c r="Q12" i="10"/>
  <c r="Q8" i="10"/>
  <c r="Q13" i="10"/>
  <c r="P15" i="10"/>
  <c r="P11" i="10"/>
  <c r="P7" i="10"/>
  <c r="Q15" i="10"/>
  <c r="Q11" i="10"/>
  <c r="Q7" i="10"/>
  <c r="P13" i="10"/>
  <c r="Q9" i="10"/>
  <c r="P14" i="10"/>
  <c r="P10" i="10"/>
  <c r="P6" i="10"/>
  <c r="Q14" i="10"/>
  <c r="Q10" i="10"/>
  <c r="Q6" i="10"/>
  <c r="H525" i="3"/>
  <c r="H453" i="3"/>
  <c r="H445" i="3"/>
  <c r="H429" i="3"/>
  <c r="H413" i="3"/>
  <c r="H405" i="3"/>
  <c r="H333" i="3"/>
  <c r="H149" i="3"/>
  <c r="H320" i="3"/>
  <c r="H160" i="3"/>
  <c r="H136" i="3"/>
  <c r="H88" i="3"/>
  <c r="H80" i="3"/>
  <c r="H267" i="3"/>
  <c r="H219" i="3"/>
  <c r="H131" i="3"/>
  <c r="H126" i="3"/>
  <c r="H289" i="3"/>
  <c r="H121" i="3"/>
  <c r="H105" i="3"/>
  <c r="H9" i="3"/>
  <c r="H260" i="3"/>
  <c r="H196" i="3"/>
  <c r="H223" i="3"/>
  <c r="H175" i="3"/>
  <c r="H143" i="3"/>
  <c r="H127" i="3"/>
  <c r="AZ6" i="10" l="1"/>
  <c r="AZ10" i="10"/>
  <c r="AZ8" i="10"/>
  <c r="BG6" i="10"/>
  <c r="AZ5" i="10"/>
  <c r="AZ12" i="10"/>
  <c r="AZ7" i="10"/>
  <c r="AZ9" i="10"/>
  <c r="AZ11" i="10"/>
  <c r="AZ13" i="10"/>
  <c r="BG38" i="10"/>
  <c r="BG11" i="10"/>
  <c r="BG16" i="10"/>
  <c r="BG32" i="10"/>
  <c r="BG13" i="10"/>
  <c r="BG17" i="10"/>
  <c r="BG10" i="10"/>
  <c r="BG26" i="10"/>
  <c r="BG42" i="10"/>
  <c r="BG15" i="10"/>
  <c r="BG31" i="10"/>
  <c r="BG47" i="10"/>
  <c r="BG20" i="10"/>
  <c r="BG36" i="10"/>
  <c r="BG9" i="10"/>
  <c r="BG29" i="10"/>
  <c r="BG33" i="10"/>
  <c r="BG27" i="10"/>
  <c r="BG14" i="10"/>
  <c r="BG30" i="10"/>
  <c r="BG46" i="10"/>
  <c r="BG19" i="10"/>
  <c r="BG35" i="10"/>
  <c r="BG8" i="10"/>
  <c r="BG24" i="10"/>
  <c r="BG40" i="10"/>
  <c r="BG25" i="10"/>
  <c r="BG45" i="10"/>
  <c r="BG5" i="10"/>
  <c r="BG22" i="10"/>
  <c r="BG43" i="10"/>
  <c r="BG48" i="10"/>
  <c r="BG18" i="10"/>
  <c r="BG34" i="10"/>
  <c r="BG7" i="10"/>
  <c r="BG23" i="10"/>
  <c r="BG39" i="10"/>
  <c r="BG12" i="10"/>
  <c r="BG28" i="10"/>
  <c r="BG44" i="10"/>
  <c r="BG41" i="10"/>
  <c r="BG21" i="10"/>
  <c r="BG37" i="10"/>
  <c r="AM14" i="10"/>
  <c r="AM8" i="10"/>
  <c r="AM7" i="10"/>
  <c r="AM12" i="10"/>
  <c r="AM6" i="10"/>
  <c r="AM11" i="10"/>
  <c r="AM9" i="10"/>
  <c r="AM10" i="10"/>
  <c r="AM5" i="10"/>
  <c r="AM13" i="10"/>
  <c r="AY2" i="10" l="1"/>
  <c r="AY3" i="10"/>
  <c r="BF3" i="10"/>
  <c r="BF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tc={E4A95E36-AFC4-4BDF-A50F-1530C007CC99}</author>
  </authors>
  <commentList>
    <comment ref="AM3" authorId="0" shapeId="0" xr:uid="{E4A95E36-AFC4-4BDF-A50F-1530C007CC99}">
      <text>
        <t>[Threaded comment]
Your version of Excel allows you to read this threaded comment; however, any edits to it will get removed if the file is opened in a newer version of Excel. Learn more: https://go.microsoft.com/fwlink/?linkid=870924
Comment:
    -2 , ONE FOR HEADER, ONE FOR BLANK'</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<sst xmlns="http://schemas.openxmlformats.org/spreadsheetml/2006/main" count="5200" uniqueCount="206">
  <si>
    <t>PRODUCT ID</t>
  </si>
  <si>
    <t>PRODUCT</t>
  </si>
  <si>
    <t>CATEGORY</t>
  </si>
  <si>
    <t>UOM</t>
  </si>
  <si>
    <t>BUYING PRIZE</t>
  </si>
  <si>
    <t>SELLING PRICE</t>
  </si>
  <si>
    <t>P0001</t>
  </si>
  <si>
    <t>Product01</t>
  </si>
  <si>
    <t>Kg</t>
  </si>
  <si>
    <t>P0002</t>
  </si>
  <si>
    <t>Product02</t>
  </si>
  <si>
    <t>P0003</t>
  </si>
  <si>
    <t>Product03</t>
  </si>
  <si>
    <t>P0004</t>
  </si>
  <si>
    <t>Product04</t>
  </si>
  <si>
    <t>P0005</t>
  </si>
  <si>
    <t>Product05</t>
  </si>
  <si>
    <t>P0006</t>
  </si>
  <si>
    <t>Product06</t>
  </si>
  <si>
    <t>P0007</t>
  </si>
  <si>
    <t>Product07</t>
  </si>
  <si>
    <t>P0008</t>
  </si>
  <si>
    <t>Product08</t>
  </si>
  <si>
    <t>P0009</t>
  </si>
  <si>
    <t>Product09</t>
  </si>
  <si>
    <t>P0010</t>
  </si>
  <si>
    <t>Product10</t>
  </si>
  <si>
    <t>P0011</t>
  </si>
  <si>
    <t>Product11</t>
  </si>
  <si>
    <t>P0012</t>
  </si>
  <si>
    <t>Product12</t>
  </si>
  <si>
    <t>P0013</t>
  </si>
  <si>
    <t>Product13</t>
  </si>
  <si>
    <t>P0014</t>
  </si>
  <si>
    <t>Product14</t>
  </si>
  <si>
    <t>P0015</t>
  </si>
  <si>
    <t>Product15</t>
  </si>
  <si>
    <t>P0016</t>
  </si>
  <si>
    <t>Product16</t>
  </si>
  <si>
    <t>P0017</t>
  </si>
  <si>
    <t>Product17</t>
  </si>
  <si>
    <t>P0018</t>
  </si>
  <si>
    <t>Product18</t>
  </si>
  <si>
    <t>P0019</t>
  </si>
  <si>
    <t>Product19</t>
  </si>
  <si>
    <t>P0020</t>
  </si>
  <si>
    <t>Product20</t>
  </si>
  <si>
    <t>P0021</t>
  </si>
  <si>
    <t>Product21</t>
  </si>
  <si>
    <t>P0022</t>
  </si>
  <si>
    <t>Product22</t>
  </si>
  <si>
    <t>P0023</t>
  </si>
  <si>
    <t>Product23</t>
  </si>
  <si>
    <t>P0024</t>
  </si>
  <si>
    <t>Product24</t>
  </si>
  <si>
    <t>P0025</t>
  </si>
  <si>
    <t>Product25</t>
  </si>
  <si>
    <t>P0026</t>
  </si>
  <si>
    <t>Product26</t>
  </si>
  <si>
    <t>P0027</t>
  </si>
  <si>
    <t>Product27</t>
  </si>
  <si>
    <t>P0028</t>
  </si>
  <si>
    <t>Product28</t>
  </si>
  <si>
    <t>P0029</t>
  </si>
  <si>
    <t>Product29</t>
  </si>
  <si>
    <t>P0030</t>
  </si>
  <si>
    <t>Product30</t>
  </si>
  <si>
    <t>P0031</t>
  </si>
  <si>
    <t>Product31</t>
  </si>
  <si>
    <t>P0032</t>
  </si>
  <si>
    <t>Product32</t>
  </si>
  <si>
    <t>P0033</t>
  </si>
  <si>
    <t>Product33</t>
  </si>
  <si>
    <t>P0034</t>
  </si>
  <si>
    <t>Product34</t>
  </si>
  <si>
    <t>P0035</t>
  </si>
  <si>
    <t>Product35</t>
  </si>
  <si>
    <t>P0036</t>
  </si>
  <si>
    <t>Product36</t>
  </si>
  <si>
    <t>P0037</t>
  </si>
  <si>
    <t>Product37</t>
  </si>
  <si>
    <t>P0038</t>
  </si>
  <si>
    <t>Product38</t>
  </si>
  <si>
    <t>P0039</t>
  </si>
  <si>
    <t>Product39</t>
  </si>
  <si>
    <t>P0040</t>
  </si>
  <si>
    <t>Product40</t>
  </si>
  <si>
    <t>P0041</t>
  </si>
  <si>
    <t>Product41</t>
  </si>
  <si>
    <t>P0042</t>
  </si>
  <si>
    <t>Product42</t>
  </si>
  <si>
    <t>P0043</t>
  </si>
  <si>
    <t>Product43</t>
  </si>
  <si>
    <t>P0044</t>
  </si>
  <si>
    <t>Product44</t>
  </si>
  <si>
    <t>DATE</t>
  </si>
  <si>
    <t>QUANTITY</t>
  </si>
  <si>
    <t>SALE TYPE</t>
  </si>
  <si>
    <t>PAYMENT MODE</t>
  </si>
  <si>
    <t>DISCOUNT %</t>
  </si>
  <si>
    <t>Wholesaler</t>
  </si>
  <si>
    <t>Online</t>
  </si>
  <si>
    <t>Cash</t>
  </si>
  <si>
    <t>Direct Sales</t>
  </si>
  <si>
    <t>Lt</t>
  </si>
  <si>
    <t>Ft</t>
  </si>
  <si>
    <t>No.</t>
  </si>
  <si>
    <t>P0045</t>
  </si>
  <si>
    <t>Product45</t>
  </si>
  <si>
    <t>BUYING VALUES</t>
  </si>
  <si>
    <t>SELLING VALUES</t>
  </si>
  <si>
    <t>DAY</t>
  </si>
  <si>
    <t>MONTH</t>
  </si>
  <si>
    <t>YEAR</t>
  </si>
  <si>
    <t>Row Labels</t>
  </si>
  <si>
    <t>Jan</t>
  </si>
  <si>
    <t>Feb</t>
  </si>
  <si>
    <t>Mar</t>
  </si>
  <si>
    <t>Apr</t>
  </si>
  <si>
    <t>May</t>
  </si>
  <si>
    <t>Jun</t>
  </si>
  <si>
    <t>Jul</t>
  </si>
  <si>
    <t>Aug</t>
  </si>
  <si>
    <t>Sep</t>
  </si>
  <si>
    <t>Oct</t>
  </si>
  <si>
    <t>Nov</t>
  </si>
  <si>
    <t>Dec</t>
  </si>
  <si>
    <t>Organic</t>
  </si>
  <si>
    <t>Gourmet Foods</t>
  </si>
  <si>
    <t>Meat</t>
  </si>
  <si>
    <t>Poultry</t>
  </si>
  <si>
    <t>Seafood</t>
  </si>
  <si>
    <t>Cheese And Dairy</t>
  </si>
  <si>
    <t>Bakery And Desserts</t>
  </si>
  <si>
    <t>Snacks</t>
  </si>
  <si>
    <t>Candy</t>
  </si>
  <si>
    <t>TOTAL SALES</t>
  </si>
  <si>
    <t>TOTAL PROFIT</t>
  </si>
  <si>
    <t>SALES DATA</t>
  </si>
  <si>
    <t>PRODUCT MASTER</t>
  </si>
  <si>
    <t>FINAL TABLE OUTPUT</t>
  </si>
  <si>
    <t>FINAL BUY PRICE</t>
  </si>
  <si>
    <t>FINAL SELL PRICE</t>
  </si>
  <si>
    <t>PROFIT</t>
  </si>
  <si>
    <t>PROFIT%</t>
  </si>
  <si>
    <t>PROFIT(%)</t>
  </si>
  <si>
    <t>FOR HEADER SUMMARY</t>
  </si>
  <si>
    <t>PROFIT (%)</t>
  </si>
  <si>
    <t>TOTAL SALES ($)</t>
  </si>
  <si>
    <t>TOTAL PROFIT ($)</t>
  </si>
  <si>
    <t>FOR HEADER SUMMARY(PLOTTING GRAPH)</t>
  </si>
  <si>
    <t>FOR MONTH WISE CHART</t>
  </si>
  <si>
    <t>[&gt;=1] #,##0;[&gt;0] 0%;0</t>
  </si>
  <si>
    <t>MCODE USED</t>
  </si>
  <si>
    <t>FOR SHOWING EITHER PROFIT IN % OR NUMBERS</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</si>
  <si>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</si>
  <si>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</si>
  <si>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</si>
  <si>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</si>
  <si>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</si>
  <si>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</si>
  <si>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</si>
  <si>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</si>
  <si>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</si>
  <si>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</si>
  <si>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</si>
  <si>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</si>
  <si>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</si>
  <si>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</si>
  <si>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</si>
  <si>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</si>
  <si>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</si>
  <si>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</si>
  <si>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</si>
  <si>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</si>
  <si>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</si>
  <si>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</si>
  <si>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</si>
  <si>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</si>
  <si>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</si>
  <si>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</si>
  <si>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</si>
  <si>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</si>
  <si>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</si>
  <si>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</si>
  <si>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</si>
  <si>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FOR DAILY SALES WISE CHART</t>
  </si>
  <si>
    <t>FOR DAILY SALES WISE CHART ( GRAPH PLOTTING)</t>
  </si>
  <si>
    <t>FOR MONTH WISE CHART(GRAPH PLOTTING)</t>
  </si>
  <si>
    <t>DAYS</t>
  </si>
  <si>
    <t>FOR TYPE WISE CHART</t>
  </si>
  <si>
    <t>FOR CHART WISE SALES</t>
  </si>
  <si>
    <t>TYPE</t>
  </si>
  <si>
    <t>PRODUCT WISE SALES</t>
  </si>
  <si>
    <t>PRODUCT WISE SALES CHART</t>
  </si>
  <si>
    <t>MAXIMUM VALUE FOR SCROLL CONTROL</t>
  </si>
  <si>
    <t>FOR SCROLL BAR</t>
  </si>
  <si>
    <t>PAYMENT MODE WISE SALES</t>
  </si>
  <si>
    <t>PAYMENT MODE WISE SALES GRAPH</t>
  </si>
  <si>
    <t>CATEGORY WISE SALES</t>
  </si>
  <si>
    <t>CATEGORY WISE SALES CHART</t>
  </si>
  <si>
    <t>TOP PRODUCT</t>
  </si>
  <si>
    <t>TOP CATEGORY</t>
  </si>
  <si>
    <t>RANK</t>
  </si>
  <si>
    <t>HIGHEST SELLING PRODUCT</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</si>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</sst>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9]#,##0"/>
    <numFmt numFmtId="165" formatCode="[$$-409]#,##0.00"/>
    <numFmt numFmtId="166" formatCode="[&gt;=1]##,##0;[&gt;0]0%;0"/>
    <numFmt numFmtId="167" formatCode="0;\-0;;@"/>
  </numFmts>
  <fonts count="5" x14ac:knownFonts="1">
    <font>
      <sz val="11"/>
      <color theme="1"/>
      <name val="Calibri"/>
      <family val="2"/>
      <scheme val="minor"/>
    </font>
    <font>
      <b/>
      <sz val="11"/>
      <color rgb="FFFF0000"/>
      <name val="Calibri"/>
      <family val="2"/>
      <scheme val="minor"/>
    </font>
    <font>
      <sz val="11"/>
      <color theme="1"/>
      <name val="Calibri"/>
      <family val="2"/>
      <scheme val="minor"/>
    </font>
    <font>
      <b/>
      <sz val="11"/>
      <color theme="1"/>
      <name val="Calibri"/>
      <family val="2"/>
      <scheme val="minor"/>
    </font>
    <font>
      <b/>
      <sz val="1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9" tint="0.59999389629810485"/>
        <bgColor indexed="64"/>
      </patternFill>
    </fill>
  </fills>
  <borders count="5">
    <border>
      <left/>
      <right/>
      <top/>
      <bottom/>
      <diagonal/>
    </border>
    <border>
      <left/>
      <right/>
      <top/>
      <bottom style="thin">
        <color theme="4" tint="0.3999755851924192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2" fillId="0" borderId="0" applyFont="0" applyFill="0" applyBorder="0" applyAlignment="0" applyProtection="0"/>
  </cellStyleXfs>
  <cellXfs count="28">
    <xf numFmtId="0" fontId="0" fillId="0" borderId="0" xfId="0"/>
    <xf numFmtId="14" fontId="0" fillId="0" borderId="0" xfId="0" applyNumberFormat="1"/>
    <xf numFmtId="14" fontId="1" fillId="0" borderId="0" xfId="0" applyNumberFormat="1" applyFont="1"/>
    <xf numFmtId="0" fontId="1" fillId="0" borderId="0" xfId="0" applyFont="1"/>
    <xf numFmtId="10" fontId="1" fillId="0" borderId="0" xfId="0" applyNumberFormat="1" applyFont="1"/>
    <xf numFmtId="10" fontId="0" fillId="0" borderId="0" xfId="0" applyNumberFormat="1"/>
    <xf numFmtId="164" fontId="1" fillId="0" borderId="0" xfId="0" applyNumberFormat="1" applyFont="1"/>
    <xf numFmtId="164" fontId="0" fillId="0" borderId="0" xfId="0" applyNumberFormat="1"/>
    <xf numFmtId="0" fontId="0" fillId="0" borderId="0" xfId="0" pivotButton="1"/>
    <xf numFmtId="0" fontId="0" fillId="0" borderId="0" xfId="0" applyAlignment="1">
      <alignment horizontal="left"/>
    </xf>
    <xf numFmtId="9" fontId="0" fillId="0" borderId="0" xfId="1" applyFont="1"/>
    <xf numFmtId="0" fontId="3" fillId="2" borderId="1" xfId="0" applyFont="1" applyFill="1" applyBorder="1"/>
    <xf numFmtId="0" fontId="1" fillId="0" borderId="2" xfId="0" applyFont="1" applyBorder="1"/>
    <xf numFmtId="0" fontId="0" fillId="0" borderId="3" xfId="0" applyBorder="1"/>
    <xf numFmtId="0" fontId="0" fillId="0" borderId="4" xfId="0" applyBorder="1"/>
    <xf numFmtId="165" fontId="0" fillId="0" borderId="0" xfId="0" applyNumberFormat="1"/>
    <xf numFmtId="9" fontId="0" fillId="0" borderId="0" xfId="0" applyNumberFormat="1"/>
    <xf numFmtId="166" fontId="0" fillId="0" borderId="0" xfId="0" applyNumberFormat="1"/>
    <xf numFmtId="0" fontId="4" fillId="0" borderId="0" xfId="0" applyFont="1" applyAlignment="1">
      <alignment vertical="center"/>
    </xf>
    <xf numFmtId="167" fontId="0" fillId="0" borderId="0" xfId="0" applyNumberFormat="1"/>
    <xf numFmtId="0" fontId="0" fillId="3" borderId="0" xfId="0" applyFill="1"/>
    <xf numFmtId="0" fontId="3" fillId="2" borderId="0" xfId="0" applyFont="1" applyFill="1"/>
    <xf numFmtId="0" fontId="3" fillId="0" borderId="0" xfId="0" applyFont="1"/>
    <xf numFmtId="0" fontId="0" fillId="3" borderId="0" xfId="0" applyFill="1" applyAlignment="1">
      <alignment horizontal="center"/>
    </xf>
    <xf numFmtId="0" fontId="3" fillId="3" borderId="0" xfId="0" applyFont="1" applyFill="1" applyAlignment="1">
      <alignment horizontal="center"/>
    </xf>
    <xf numFmtId="0" fontId="4" fillId="3" borderId="0" xfId="0" applyFont="1" applyFill="1" applyAlignment="1">
      <alignment horizontal="center"/>
    </xf>
    <xf numFmtId="0" fontId="3" fillId="3" borderId="0" xfId="0" applyFont="1" applyFill="1" applyAlignment="1">
      <alignment horizontal="center" vertical="center"/>
    </xf>
    <xf numFmtId="0" fontId="0" fillId="3" borderId="0" xfId="0" applyFill="1" applyAlignment="1">
      <alignment horizontal="center" vertical="center"/>
    </xf>
  </cellXfs>
  <cellStyles count="2">
    <cellStyle name="Normal" xfId="0" builtinId="0"/>
    <cellStyle name="Per cent" xfId="1" builtinId="5"/>
  </cellStyles>
  <dxfs count="18">
    <dxf>
      <numFmt numFmtId="164" formatCode="[$$-409]#,##0"/>
    </dxf>
    <dxf>
      <numFmt numFmtId="164" formatCode="[$$-409]#,##0"/>
    </dxf>
    <dxf>
      <numFmt numFmtId="164" formatCode="[$$-409]#,##0"/>
    </dxf>
    <dxf>
      <numFmt numFmtId="164" formatCode="[$$-409]#,##0"/>
    </dxf>
    <dxf>
      <numFmt numFmtId="164" formatCode="[$$-409]#,##0"/>
    </dxf>
    <dxf>
      <numFmt numFmtId="164" formatCode="[$$-409]#,##0"/>
    </dxf>
    <dxf>
      <numFmt numFmtId="13" formatCode="0%"/>
    </dxf>
    <dxf>
      <numFmt numFmtId="164" formatCode="[$$-409]#,##0"/>
    </dxf>
    <dxf>
      <numFmt numFmtId="164" formatCode="[$$-409]#,##0"/>
    </dxf>
    <dxf>
      <numFmt numFmtId="164" formatCode="[$$-409]#,##0"/>
    </dxf>
    <dxf>
      <numFmt numFmtId="13" formatCode="0%"/>
    </dxf>
    <dxf>
      <numFmt numFmtId="164" formatCode="[$$-409]#,##0"/>
    </dxf>
    <dxf>
      <font>
        <b/>
        <i val="0"/>
        <sz val="10"/>
        <color theme="0"/>
        <name val="Poppins"/>
      </font>
      <fill>
        <patternFill>
          <bgColor theme="9"/>
        </patternFill>
      </fill>
      <border diagonalUp="0" diagonalDown="0">
        <left/>
        <right/>
        <top/>
        <bottom/>
        <vertical/>
        <horizontal/>
      </border>
    </dxf>
    <dxf>
      <font>
        <sz val="9"/>
        <color theme="0"/>
        <name val="Poppins"/>
      </font>
      <fill>
        <patternFill>
          <bgColor theme="9"/>
        </patternFill>
      </fill>
      <border diagonalUp="0" diagonalDown="0">
        <left/>
        <right/>
        <top/>
        <bottom/>
        <vertical/>
        <horizontal/>
      </border>
    </dxf>
    <dxf>
      <font>
        <b/>
        <i val="0"/>
        <sz val="11"/>
        <color theme="1"/>
        <name val="Times New Roman"/>
        <family val="1"/>
      </font>
      <fill>
        <patternFill patternType="none">
          <bgColor auto="1"/>
        </patternFill>
      </fill>
      <border diagonalUp="0" diagonalDown="0">
        <left/>
        <right/>
        <top/>
        <bottom/>
        <vertical/>
        <horizontal/>
      </border>
    </dxf>
    <dxf>
      <fill>
        <patternFill patternType="solid">
          <fgColor auto="1"/>
          <bgColor rgb="FFC00000"/>
        </patternFill>
      </fill>
      <border diagonalUp="0" diagonalDown="0">
        <left/>
        <right/>
        <top/>
        <bottom/>
        <vertical/>
        <horizontal/>
      </border>
    </dxf>
    <dxf>
      <font>
        <b/>
        <i val="0"/>
        <sz val="11"/>
        <color theme="0"/>
      </font>
      <fill>
        <patternFill>
          <bgColor theme="1"/>
        </patternFill>
      </fill>
    </dxf>
    <dxf>
      <fill>
        <patternFill>
          <bgColor theme="1" tint="0.499984740745262"/>
        </patternFill>
      </fill>
    </dxf>
  </dxfs>
  <tableStyles count="3" defaultTableStyle="TableStyleMedium2" defaultPivotStyle="PivotStyleLight16">
    <tableStyle name="DD" pivot="0" table="0" count="5" xr9:uid="{EC1D02A3-5D6B-488C-96FC-DC8437ADEDF2}">
      <tableStyleElement type="wholeTable" dxfId="17"/>
      <tableStyleElement type="headerRow" dxfId="16"/>
    </tableStyle>
    <tableStyle name="SALES DASHBOARD-SATYAJIT" pivot="0" table="0" count="10" xr9:uid="{264DBBF5-1F44-4894-82A0-AE2BE5B25C1F}">
      <tableStyleElement type="wholeTable" dxfId="15"/>
      <tableStyleElement type="headerRow" dxfId="14"/>
    </tableStyle>
    <tableStyle name="SLICER" pivot="0" table="0" count="10" xr9:uid="{C2F4C036-8D81-403F-996E-142D1BF5CBC0}">
      <tableStyleElement type="wholeTable" dxfId="13"/>
      <tableStyleElement type="headerRow" dxfId="12"/>
    </tableStyle>
  </tableStyles>
  <colors>
    <mruColors>
      <color rgb="FFFFA0A0"/>
      <color rgb="FFCC00CC"/>
    </mruColors>
  </colors>
  <extLst>
    <ext xmlns:x14="http://schemas.microsoft.com/office/spreadsheetml/2009/9/main" uri="{46F421CA-312F-682f-3DD2-61675219B42D}">
      <x14:dxfs count="1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name val="Times New Roman"/>
            <family val="1"/>
          </font>
          <border diagonalUp="0" diagonalDown="0">
            <left/>
            <right/>
            <top/>
            <bottom/>
            <vertical/>
            <horizontal/>
          </border>
        </dxf>
        <dxf>
          <font>
            <name val="Times New Roman"/>
            <family val="1"/>
          </font>
          <border diagonalUp="0" diagonalDown="0">
            <left/>
            <right/>
            <top/>
            <bottom/>
            <vertical/>
            <horizontal/>
          </border>
        </dxf>
        <dxf>
          <font>
            <b/>
            <i/>
            <sz val="10"/>
            <color theme="1"/>
            <name val="Times New Roman"/>
            <family val="1"/>
          </font>
          <fill>
            <patternFill>
              <bgColor theme="0"/>
            </patternFill>
          </fill>
          <border diagonalUp="0" diagonalDown="0">
            <left/>
            <right/>
            <top/>
            <bottom/>
            <vertical/>
            <horizontal/>
          </border>
        </dxf>
        <dxf>
          <font>
            <name val="Times New Roman"/>
            <family val="1"/>
          </font>
          <border diagonalUp="0" diagonalDown="0">
            <left/>
            <right/>
            <top/>
            <bottom/>
            <vertical/>
            <horizontal/>
          </border>
        </dxf>
        <dxf>
          <font>
            <name val="Times New Roman"/>
            <family val="1"/>
          </font>
          <border diagonalUp="0" diagonalDown="0">
            <left/>
            <right/>
            <top/>
            <bottom/>
            <vertical/>
            <horizontal/>
          </border>
        </dxf>
        <dxf>
          <font>
            <b/>
            <i val="0"/>
            <sz val="10"/>
            <color theme="1"/>
            <name val="Times New Roman"/>
            <family val="1"/>
            <scheme val="none"/>
          </font>
          <fill>
            <patternFill>
              <bgColor theme="5" tint="0.79998168889431442"/>
            </patternFill>
          </fill>
          <border diagonalUp="0" diagonalDown="0">
            <left/>
            <right/>
            <top/>
            <bottom/>
            <vertical/>
            <horizontal/>
          </border>
        </dxf>
        <dxf>
          <font>
            <name val="Times New Roman"/>
            <family val="1"/>
            <scheme val="none"/>
          </font>
          <border diagonalUp="0" diagonalDown="0">
            <left/>
            <right/>
            <top/>
            <bottom/>
            <vertical/>
            <horizontal/>
          </border>
        </dxf>
        <dxf>
          <font>
            <b/>
            <i val="0"/>
            <sz val="10"/>
            <color theme="0"/>
            <name val="Times New Roman"/>
            <family val="1"/>
            <scheme val="none"/>
          </font>
          <fill>
            <patternFill patternType="solid">
              <bgColor theme="0" tint="-0.14996795556505021"/>
            </patternFill>
          </fill>
          <border diagonalUp="0" diagonalDown="0">
            <left/>
            <right/>
            <top/>
            <bottom/>
            <vertical/>
            <horizontal/>
          </border>
        </dxf>
        <dxf>
          <font>
            <b/>
            <i val="0"/>
            <sz val="11"/>
            <color theme="1"/>
          </font>
          <fill>
            <patternFill>
              <bgColor theme="0"/>
            </patternFill>
          </fill>
        </dxf>
        <dxf>
          <font>
            <b/>
            <i val="0"/>
            <sz val="11"/>
            <color theme="1"/>
          </font>
          <fill>
            <patternFill>
              <bgColor theme="5" tint="0.79998168889431442"/>
            </patternFill>
          </fill>
        </dxf>
        <dxf>
          <font>
            <b/>
            <i val="0"/>
            <sz val="11"/>
            <color theme="0"/>
          </font>
          <fill>
            <patternFill patternType="solid">
              <bgColor theme="0" tint="-0.14996795556505021"/>
            </patternFill>
          </fill>
        </dxf>
      </x14:dxfs>
    </ext>
    <ext xmlns:x14="http://schemas.microsoft.com/office/spreadsheetml/2009/9/main" uri="{EB79DEF2-80B8-43e5-95BD-54CBDDF9020C}">
      <x14:slicerStyles defaultSlicerStyle="SlicerStyleLight1">
        <x14:slicerStyle name="DD">
          <x14:slicerStyleElements>
            <x14:slicerStyleElement type="unselectedItemWithData" dxfId="18"/>
            <x14:slicerStyleElement type="selectedItemWithData" dxfId="17"/>
            <x14:slicerStyleElement type="hoveredSelectedItemWithData" dxfId="16"/>
          </x14:slicerStyleElements>
        </x14:slicerStyle>
        <x14:slicerStyle name="SALES DASHBOARD-SATYAJIT">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59492563429571"/>
          <c:y val="0.14393518518518519"/>
          <c:w val="0.8895323709536308"/>
          <c:h val="0.63813247302420539"/>
        </c:manualLayout>
      </c:layout>
      <c:barChart>
        <c:barDir val="col"/>
        <c:grouping val="stacked"/>
        <c:varyColors val="0"/>
        <c:ser>
          <c:idx val="0"/>
          <c:order val="0"/>
          <c:tx>
            <c:strRef>
              <c:f>'DATA ANALYSIS AND PIVOTS'!$P$4</c:f>
              <c:strCache>
                <c:ptCount val="1"/>
                <c:pt idx="0">
                  <c:v>TOTAL SALES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ANALYSIS AND PIVOTS'!$O$5:$O$16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'DATA ANALYSIS AND PIVOTS'!$P$5:$P$16</c:f>
              <c:numCache>
                <c:formatCode>[$$-409]#,##0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6="http://schemas.microsoft.com/office/drawing/2014/chart" uri="{C3380CC4-5D6E-409C-BE32-E72D297353CC}">
              <c16:uniqueId val="{00000000-657E-46CF-857D-B1A0A898D8C4}"/>
            </c:ext>
          </c:extLst>
        </c:ser>
        <c:ser>
          <c:idx val="1"/>
          <c:order val="1"/>
          <c:tx>
            <c:strRef>
              <c:f>'DATA ANALYSIS AND PIVOTS'!$Q$4</c:f>
              <c:strCache>
                <c:ptCount val="1"/>
                <c:pt idx="0">
                  <c:v>TOTAL PROFIT ($)</c:v>
                </c:pt>
              </c:strCache>
            </c:strRef>
          </c:tx>
          <c:spPr>
            <a:solidFill>
              <a:schemeClr val="accent2"/>
            </a:solidFill>
            <a:ln>
              <a:noFill/>
            </a:ln>
            <a:effectLst/>
          </c:spPr>
          <c:invertIfNegative val="0"/>
          <c:dLbls>
            <c:dLbl>
              <c:idx val="0"/>
              <c:tx>
                <c:rich>
                  <a:bodyPr/>
                  <a:lstStyle/>
                  <a:p>
                    <a:fld id="{65B7E0E1-3E21-4ABD-B985-AAE5DF26EA12}" type="CELLRANGE">
                      <a:rPr lang="en-US"/>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57E-46CF-857D-B1A0A898D8C4}"/>
                </c:ext>
              </c:extLst>
            </c:dLbl>
            <c:dLbl>
              <c:idx val="1"/>
              <c:tx>
                <c:rich>
                  <a:bodyPr/>
                  <a:lstStyle/>
                  <a:p>
                    <a:fld id="{ED3C8B90-F58F-CB44-A16D-C9C9F367A5D3}"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57E-46CF-857D-B1A0A898D8C4}"/>
                </c:ext>
              </c:extLst>
            </c:dLbl>
            <c:dLbl>
              <c:idx val="2"/>
              <c:tx>
                <c:rich>
                  <a:bodyPr/>
                  <a:lstStyle/>
                  <a:p>
                    <a:fld id="{D9A4263D-CF88-824D-806D-45F2DD837873}"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57E-46CF-857D-B1A0A898D8C4}"/>
                </c:ext>
              </c:extLst>
            </c:dLbl>
            <c:dLbl>
              <c:idx val="3"/>
              <c:tx>
                <c:rich>
                  <a:bodyPr/>
                  <a:lstStyle/>
                  <a:p>
                    <a:fld id="{AD7AE654-387E-0C4C-9CA3-FCF3CB4DE339}"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57E-46CF-857D-B1A0A898D8C4}"/>
                </c:ext>
              </c:extLst>
            </c:dLbl>
            <c:dLbl>
              <c:idx val="4"/>
              <c:tx>
                <c:rich>
                  <a:bodyPr/>
                  <a:lstStyle/>
                  <a:p>
                    <a:fld id="{62A6A798-40F2-144E-8D55-117B3276B22B}"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57E-46CF-857D-B1A0A898D8C4}"/>
                </c:ext>
              </c:extLst>
            </c:dLbl>
            <c:dLbl>
              <c:idx val="5"/>
              <c:tx>
                <c:rich>
                  <a:bodyPr/>
                  <a:lstStyle/>
                  <a:p>
                    <a:fld id="{3C00F3BE-2ADF-C94D-8ED0-A01DB1C8A179}"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57E-46CF-857D-B1A0A898D8C4}"/>
                </c:ext>
              </c:extLst>
            </c:dLbl>
            <c:dLbl>
              <c:idx val="6"/>
              <c:tx>
                <c:rich>
                  <a:bodyPr/>
                  <a:lstStyle/>
                  <a:p>
                    <a:fld id="{A5D222C5-8226-2241-B568-872EC0885D8D}"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57E-46CF-857D-B1A0A898D8C4}"/>
                </c:ext>
              </c:extLst>
            </c:dLbl>
            <c:dLbl>
              <c:idx val="7"/>
              <c:tx>
                <c:rich>
                  <a:bodyPr/>
                  <a:lstStyle/>
                  <a:p>
                    <a:fld id="{B1452D36-344C-F04F-A753-101720B209AB}"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57E-46CF-857D-B1A0A898D8C4}"/>
                </c:ext>
              </c:extLst>
            </c:dLbl>
            <c:dLbl>
              <c:idx val="8"/>
              <c:tx>
                <c:rich>
                  <a:bodyPr/>
                  <a:lstStyle/>
                  <a:p>
                    <a:fld id="{1AC812AC-FC6E-D542-9D55-4D1A72E8B300}"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57E-46CF-857D-B1A0A898D8C4}"/>
                </c:ext>
              </c:extLst>
            </c:dLbl>
            <c:dLbl>
              <c:idx val="9"/>
              <c:tx>
                <c:rich>
                  <a:bodyPr/>
                  <a:lstStyle/>
                  <a:p>
                    <a:fld id="{2B79B3AB-7D9C-844D-B9D2-828363A40062}"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57E-46CF-857D-B1A0A898D8C4}"/>
                </c:ext>
              </c:extLst>
            </c:dLbl>
            <c:dLbl>
              <c:idx val="10"/>
              <c:tx>
                <c:rich>
                  <a:bodyPr/>
                  <a:lstStyle/>
                  <a:p>
                    <a:fld id="{BF643BF5-6604-3442-BEB3-6C75A109CF8D}"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57E-46CF-857D-B1A0A898D8C4}"/>
                </c:ext>
              </c:extLst>
            </c:dLbl>
            <c:dLbl>
              <c:idx val="11"/>
              <c:tx>
                <c:rich>
                  <a:bodyPr/>
                  <a:lstStyle/>
                  <a:p>
                    <a:fld id="{E28DF057-A941-894E-8DC8-764C25DF3259}"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57E-46CF-857D-B1A0A898D8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'DATA ANALYSIS AND PIVOTS'!$O$5:$O$16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'DATA ANALYSIS AND PIVOTS'!$Q$5:$Q$16</c:f>
              <c:numCache>
                <c:formatCode>[$$-409]#,##0</c:formatCode>
                <c:ptCount val="12"/>
                <c:pt idx="0">
                  <c:v>7056.96</c:v>
                </c:pt>
                <c:pt idx="1">
                  <c:v>5516.3000000000011</c:v>
                </c:pt>
                <c:pt idx="2">
                  <c:v>5179.6500000000015</c:v>
                </c:pt>
                <c:pt idx="3">
                  <c:v>5297.11</c:v>
                </c:pt>
                <c:pt idx="4">
                  <c:v>4384.4500000000007</c:v>
                </c:pt>
                <c:pt idx="5">
                  <c:v>5654.7099999999991</c:v>
                </c:pt>
                <c:pt idx="6">
                  <c:v>5373.7900000000018</c:v>
                </c:pt>
                <c:pt idx="7">
                  <c:v>5519.3999999999987</c:v>
                </c:pt>
                <c:pt idx="8">
                  <c:v>6484.8100000000013</c:v>
                </c:pt>
                <c:pt idx="9">
                  <c:v>5658.69</c:v>
                </c:pt>
                <c:pt idx="10">
                  <c:v>6818.0700000000006</c:v>
                </c:pt>
                <c:pt idx="11">
                  <c:v>5963.9799999999987</c:v>
                </c:pt>
              </c:numCache>
            </c:numRef>
          </c:val>
          <c:extLst>
            <c:ext xmlns:c15="http://schemas.microsoft.com/office/drawing/2012/chart" uri="{02D57815-91ED-43cb-92C2-25804820EDAC}">
              <c15:datalabelsRange>
                <c15:f>'DATA ANALYSIS AND PIVOTS'!$R$5:$R$16</c15:f>
                <c15:dlblRangeCache>
                  <c:ptCount val="12"/>
                  <c:pt idx="0">
                    <c:v>17%</c:v>
                  </c:pt>
                  <c:pt idx="1">
                    <c:v>18%</c:v>
                  </c:pt>
                  <c:pt idx="2">
                    <c:v>18%</c:v>
                  </c:pt>
                  <c:pt idx="3">
                    <c:v>20%</c:v>
                  </c:pt>
                  <c:pt idx="4">
                    <c:v>14%</c:v>
                  </c:pt>
                  <c:pt idx="5">
                    <c:v>19%</c:v>
                  </c:pt>
                  <c:pt idx="6">
                    <c:v>15%</c:v>
                  </c:pt>
                  <c:pt idx="7">
                    <c:v>16%</c:v>
                  </c:pt>
                  <c:pt idx="8">
                    <c:v>18%</c:v>
                  </c:pt>
                  <c:pt idx="9">
                    <c:v>17%</c:v>
                  </c:pt>
                  <c:pt idx="10">
                    <c:v>19%</c:v>
                  </c:pt>
                  <c:pt idx="11">
                    <c:v>16%</c:v>
                  </c:pt>
                </c15:dlblRangeCache>
              </c15:datalabelsRange>
            </c:ext>
            <c:ext xmlns:c16="http://schemas.microsoft.com/office/drawing/2014/chart" uri="{C3380CC4-5D6E-409C-BE32-E72D297353CC}">
              <c16:uniqueId val="{00000001-657E-46CF-857D-B1A0A898D8C4}"/>
            </c:ext>
          </c:extLst>
        </c:ser>
        <c:dLbls>
          <c:showLegendKey val="0"/>
          <c:showVal val="0"/>
          <c:showCatName val="0"/>
          <c:showSerName val="0"/>
          <c:showPercent val="0"/>
          <c:showBubbleSize val="0"/>
        </c:dLbls>
        <c:gapWidth val="10"/>
        <c:overlap val="100"/>
        <c:axId val="153490784"/>
        <c:axId val="371294768"/>
      </c:barChart>
      <c:catAx>
        <c:axId val="15349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294768"/>
        <c:crosses val="autoZero"/>
        <c:auto val="1"/>
        <c:lblAlgn val="ctr"/>
        <c:lblOffset val="100"/>
        <c:noMultiLvlLbl val="0"/>
      </c:catAx>
      <c:valAx>
        <c:axId val="371294768"/>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90784"/>
        <c:crosses val="autoZero"/>
        <c:crossBetween val="between"/>
      </c:valAx>
      <c:spPr>
        <a:noFill/>
        <a:ln>
          <a:noFill/>
        </a:ln>
        <a:effectLst/>
      </c:spPr>
    </c:plotArea>
    <c:legend>
      <c:legendPos val="b"/>
      <c:layout>
        <c:manualLayout>
          <c:xMode val="edge"/>
          <c:yMode val="edge"/>
          <c:x val="0.26108552055993001"/>
          <c:y val="0.91261519393409141"/>
          <c:w val="0.47782895888013999"/>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solidFill>
              <a:schemeClr val="accent1"/>
            </a:solidFill>
            <a:ln>
              <a:noFill/>
            </a:ln>
            <a:effectLst/>
          </c:spPr>
          <c:cat>
            <c:strRef>
              <c:f>'DATA ANALYSIS AND PIVOTS'!$W$5:$W$35</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 ANALYSIS AND PIVOTS'!$X$5:$X$35</c:f>
              <c:numCache>
                <c:formatCode>[$$-409]#,##0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429B-46E4-AB19-069BC7F6CAB7}"/>
            </c:ext>
          </c:extLst>
        </c:ser>
        <c:dLbls>
          <c:showLegendKey val="0"/>
          <c:showVal val="0"/>
          <c:showCatName val="0"/>
          <c:showSerName val="0"/>
          <c:showPercent val="0"/>
          <c:showBubbleSize val="0"/>
        </c:dLbls>
        <c:axId val="581516288"/>
        <c:axId val="581527104"/>
      </c:areaChart>
      <c:catAx>
        <c:axId val="581516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527104"/>
        <c:crosses val="autoZero"/>
        <c:auto val="1"/>
        <c:lblAlgn val="ctr"/>
        <c:lblOffset val="100"/>
        <c:noMultiLvlLbl val="0"/>
      </c:catAx>
      <c:valAx>
        <c:axId val="58152710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51628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'DATA ANALYSIS AND PIVOTS'!$AD$4</c:f>
              <c:strCache>
                <c:ptCount val="1"/>
                <c:pt idx="0">
                  <c:v>TOTAL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BE-407F-8793-D630D7DFCB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BE-407F-8793-D630D7DFCB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BE-407F-8793-D630D7DFCB0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ANALYSIS AND PIVOTS'!$AC$5:$AC$7</c:f>
              <c:strCache>
                <c:ptCount val="3"/>
                <c:pt idx="0">
                  <c:v>Direct Sales</c:v>
                </c:pt>
                <c:pt idx="1">
                  <c:v>Online</c:v>
                </c:pt>
                <c:pt idx="2">
                  <c:v>Wholesaler</c:v>
                </c:pt>
              </c:strCache>
            </c:strRef>
          </c:cat>
          <c:val>
            <c:numRef>
              <c:f>'DATA ANALYSIS AND PIVOTS'!$AD$5:$AD$7</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0-68AE-4B97-9477-B618D534673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430839895013118"/>
          <c:y val="8.7987386993292491E-2"/>
          <c:w val="0.65513604549431326"/>
          <c:h val="0.85643263342082243"/>
        </c:manualLayout>
      </c:layout>
      <c:barChart>
        <c:barDir val="bar"/>
        <c:grouping val="clustered"/>
        <c:varyColors val="0"/>
        <c:ser>
          <c:idx val="0"/>
          <c:order val="0"/>
          <c:tx>
            <c:strRef>
              <c:f>'DATA ANALYSIS AND PIVOTS'!$AL$5:$AL$14</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tx>
          <c:spPr>
            <a:solidFill>
              <a:schemeClr val="accent1"/>
            </a:solidFill>
            <a:ln>
              <a:noFill/>
            </a:ln>
            <a:effectLst/>
          </c:spPr>
          <c:invertIfNegative val="0"/>
          <c:cat>
            <c:strRef>
              <c:f>'DATA ANALYSIS AND PIVOTS'!$AL$5:$AL$14</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'DATA ANALYSIS AND PIVOTS'!$AM$5:$AM$14</c:f>
              <c:numCache>
                <c:formatCode>[$$-409]#,##0</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1-5201-4744-A925-2B1C55532156}"/>
            </c:ext>
          </c:extLst>
        </c:ser>
        <c:dLbls>
          <c:showLegendKey val="0"/>
          <c:showVal val="0"/>
          <c:showCatName val="0"/>
          <c:showSerName val="0"/>
          <c:showPercent val="0"/>
          <c:showBubbleSize val="0"/>
        </c:dLbls>
        <c:gapWidth val="40"/>
        <c:axId val="208316160"/>
        <c:axId val="208307008"/>
      </c:barChart>
      <c:catAx>
        <c:axId val="2083161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208307008"/>
        <c:crosses val="autoZero"/>
        <c:auto val="1"/>
        <c:lblAlgn val="ctr"/>
        <c:lblOffset val="100"/>
        <c:noMultiLvlLbl val="0"/>
      </c:catAx>
      <c:valAx>
        <c:axId val="208307008"/>
        <c:scaling>
          <c:orientation val="minMax"/>
        </c:scaling>
        <c:delete val="1"/>
        <c:axPos val="t"/>
        <c:numFmt formatCode="[$$-409]#,##0" sourceLinked="1"/>
        <c:majorTickMark val="none"/>
        <c:minorTickMark val="none"/>
        <c:tickLblPos val="nextTo"/>
        <c:crossAx val="20831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010433070866141"/>
          <c:y val="1.3888888888888888E-2"/>
          <c:w val="0.52812467191601054"/>
          <c:h val="0.8802077865266841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12C-4F1A-8680-543831AEBB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12C-4F1A-8680-543831AEBB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extLst>
          </c:dLbls>
          <c:cat>
            <c:strRef>
              <c:f>'DATA ANALYSIS AND PIVOTS'!$AR$5:$AR$6</c:f>
              <c:strCache>
                <c:ptCount val="2"/>
                <c:pt idx="0">
                  <c:v>Cash</c:v>
                </c:pt>
                <c:pt idx="1">
                  <c:v>Online</c:v>
                </c:pt>
              </c:strCache>
            </c:strRef>
          </c:cat>
          <c:val>
            <c:numRef>
              <c:f>'DATA ANALYSIS AND PIVOTS'!$AS$5:$AS$6</c:f>
              <c:numCache>
                <c:formatCode>[$$-409]#,##0</c:formatCode>
                <c:ptCount val="2"/>
                <c:pt idx="0">
                  <c:v>199516.90000000008</c:v>
                </c:pt>
                <c:pt idx="1">
                  <c:v>201895.01999999993</c:v>
                </c:pt>
              </c:numCache>
            </c:numRef>
          </c:val>
          <c:extLst>
            <c:ext xmlns:c16="http://schemas.microsoft.com/office/drawing/2014/chart" uri="{C3380CC4-5D6E-409C-BE32-E72D297353CC}">
              <c16:uniqueId val="{00000000-A81B-43B7-892E-0BB5D04825CE}"/>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59492563429571"/>
          <c:y val="0.14393518518518519"/>
          <c:w val="0.8895323709536308"/>
          <c:h val="0.63813247302420539"/>
        </c:manualLayout>
      </c:layout>
      <c:barChart>
        <c:barDir val="col"/>
        <c:grouping val="stacked"/>
        <c:varyColors val="0"/>
        <c:ser>
          <c:idx val="0"/>
          <c:order val="0"/>
          <c:tx>
            <c:strRef>
              <c:f>'DATA ANALYSIS AND PIVOTS'!$P$4</c:f>
              <c:strCache>
                <c:ptCount val="1"/>
                <c:pt idx="0">
                  <c:v>TOTAL SALES ($)</c:v>
                </c:pt>
              </c:strCache>
            </c:strRef>
          </c:tx>
          <c:spPr>
            <a:gradFill>
              <a:gsLst>
                <a:gs pos="74000">
                  <a:srgbClr val="FFA0A0"/>
                </a:gs>
                <a:gs pos="83000">
                  <a:srgbClr val="FFA0A0"/>
                </a:gs>
                <a:gs pos="0">
                  <a:srgbClr val="FFA0A0"/>
                </a:gs>
                <a:gs pos="100000">
                  <a:srgbClr val="FFA0A0"/>
                </a:gs>
              </a:gsLst>
              <a:lin ang="16200000" scaled="1"/>
            </a:gradFill>
            <a:ln>
              <a:noFill/>
            </a:ln>
            <a:effectLst/>
          </c:spPr>
          <c:invertIfNegative val="0"/>
          <c:cat>
            <c:strRef>
              <c:f>'DATA ANALYSIS AND PIVOTS'!$O$5:$O$16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'DATA ANALYSIS AND PIVOTS'!$P$5:$P$16</c:f>
              <c:numCache>
                <c:formatCode>[$$-409]#,##0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6="http://schemas.microsoft.com/office/drawing/2014/chart" uri="{C3380CC4-5D6E-409C-BE32-E72D297353CC}">
              <c16:uniqueId val="{00000000-6830-4A5C-8550-8712D97A0254}"/>
            </c:ext>
          </c:extLst>
        </c:ser>
        <c:ser>
          <c:idx val="1"/>
          <c:order val="1"/>
          <c:tx>
            <c:strRef>
              <c:f>'DATA ANALYSIS AND PIVOTS'!$Q$4</c:f>
              <c:strCache>
                <c:ptCount val="1"/>
                <c:pt idx="0">
                  <c:v>TOTAL PROFIT ($)</c:v>
                </c:pt>
              </c:strCache>
            </c:strRef>
          </c:tx>
          <c:spPr>
            <a:solidFill>
              <a:srgbClr val="002060"/>
            </a:solidFill>
            <a:ln>
              <a:noFill/>
            </a:ln>
            <a:effectLst/>
          </c:spPr>
          <c:invertIfNegative val="0"/>
          <c:dLbls>
            <c:dLbl>
              <c:idx val="0"/>
              <c:tx>
                <c:rich>
                  <a:bodyPr/>
                  <a:lstStyle/>
                  <a:p>
                    <a:fld id="{64E8956D-B841-C443-A92E-82276D69EC51}" type="CELLRANGE">
                      <a:rPr lang="en-US"/>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830-4A5C-8550-8712D97A0254}"/>
                </c:ext>
              </c:extLst>
            </c:dLbl>
            <c:dLbl>
              <c:idx val="1"/>
              <c:tx>
                <c:rich>
                  <a:bodyPr/>
                  <a:lstStyle/>
                  <a:p>
                    <a:fld id="{4B1807F3-0F1B-F240-A955-1B6E24E05B79}"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830-4A5C-8550-8712D97A0254}"/>
                </c:ext>
              </c:extLst>
            </c:dLbl>
            <c:dLbl>
              <c:idx val="2"/>
              <c:tx>
                <c:rich>
                  <a:bodyPr/>
                  <a:lstStyle/>
                  <a:p>
                    <a:fld id="{43627657-84B5-7747-B094-CD90B80FD979}"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830-4A5C-8550-8712D97A0254}"/>
                </c:ext>
              </c:extLst>
            </c:dLbl>
            <c:dLbl>
              <c:idx val="3"/>
              <c:tx>
                <c:rich>
                  <a:bodyPr/>
                  <a:lstStyle/>
                  <a:p>
                    <a:fld id="{33FF4B0C-AC28-5E4A-890A-667D34251BE4}"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830-4A5C-8550-8712D97A0254}"/>
                </c:ext>
              </c:extLst>
            </c:dLbl>
            <c:dLbl>
              <c:idx val="4"/>
              <c:tx>
                <c:rich>
                  <a:bodyPr/>
                  <a:lstStyle/>
                  <a:p>
                    <a:fld id="{A7810D20-FF66-7344-ACFC-C3D42364D3CA}"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830-4A5C-8550-8712D97A0254}"/>
                </c:ext>
              </c:extLst>
            </c:dLbl>
            <c:dLbl>
              <c:idx val="5"/>
              <c:tx>
                <c:rich>
                  <a:bodyPr/>
                  <a:lstStyle/>
                  <a:p>
                    <a:fld id="{F3C0711E-6093-9644-8945-0E65195FDC20}"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830-4A5C-8550-8712D97A0254}"/>
                </c:ext>
              </c:extLst>
            </c:dLbl>
            <c:dLbl>
              <c:idx val="6"/>
              <c:tx>
                <c:rich>
                  <a:bodyPr/>
                  <a:lstStyle/>
                  <a:p>
                    <a:fld id="{EF54247C-1F35-234A-856E-22CBBBF6F423}"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830-4A5C-8550-8712D97A0254}"/>
                </c:ext>
              </c:extLst>
            </c:dLbl>
            <c:dLbl>
              <c:idx val="7"/>
              <c:tx>
                <c:rich>
                  <a:bodyPr/>
                  <a:lstStyle/>
                  <a:p>
                    <a:fld id="{F7EDFEF4-4BF1-CF45-A993-193A05863777}"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830-4A5C-8550-8712D97A0254}"/>
                </c:ext>
              </c:extLst>
            </c:dLbl>
            <c:dLbl>
              <c:idx val="8"/>
              <c:tx>
                <c:rich>
                  <a:bodyPr/>
                  <a:lstStyle/>
                  <a:p>
                    <a:fld id="{56EAE153-9BEC-D445-A239-564EDBF2D3ED}"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830-4A5C-8550-8712D97A0254}"/>
                </c:ext>
              </c:extLst>
            </c:dLbl>
            <c:dLbl>
              <c:idx val="9"/>
              <c:tx>
                <c:rich>
                  <a:bodyPr/>
                  <a:lstStyle/>
                  <a:p>
                    <a:fld id="{E343A111-A0DF-4A41-96A9-2CF2B3CC3FB4}"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830-4A5C-8550-8712D97A0254}"/>
                </c:ext>
              </c:extLst>
            </c:dLbl>
            <c:dLbl>
              <c:idx val="10"/>
              <c:tx>
                <c:rich>
                  <a:bodyPr/>
                  <a:lstStyle/>
                  <a:p>
                    <a:fld id="{511B926A-336C-124F-AD9F-A858B1EE831F}"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830-4A5C-8550-8712D97A0254}"/>
                </c:ext>
              </c:extLst>
            </c:dLbl>
            <c:dLbl>
              <c:idx val="11"/>
              <c:tx>
                <c:rich>
                  <a:bodyPr/>
                  <a:lstStyle/>
                  <a:p>
                    <a:fld id="{DE4B3E5E-B93B-BE47-8E3E-67A4B5F86B5D}"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830-4A5C-8550-8712D97A025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'DATA ANALYSIS AND PIVOTS'!$O$5:$O$16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'DATA ANALYSIS AND PIVOTS'!$Q$5:$Q$16</c:f>
              <c:numCache>
                <c:formatCode>[$$-409]#,##0</c:formatCode>
                <c:ptCount val="12"/>
                <c:pt idx="0">
                  <c:v>7056.96</c:v>
                </c:pt>
                <c:pt idx="1">
                  <c:v>5516.3000000000011</c:v>
                </c:pt>
                <c:pt idx="2">
                  <c:v>5179.6500000000015</c:v>
                </c:pt>
                <c:pt idx="3">
                  <c:v>5297.11</c:v>
                </c:pt>
                <c:pt idx="4">
                  <c:v>4384.4500000000007</c:v>
                </c:pt>
                <c:pt idx="5">
                  <c:v>5654.7099999999991</c:v>
                </c:pt>
                <c:pt idx="6">
                  <c:v>5373.7900000000018</c:v>
                </c:pt>
                <c:pt idx="7">
                  <c:v>5519.3999999999987</c:v>
                </c:pt>
                <c:pt idx="8">
                  <c:v>6484.8100000000013</c:v>
                </c:pt>
                <c:pt idx="9">
                  <c:v>5658.69</c:v>
                </c:pt>
                <c:pt idx="10">
                  <c:v>6818.0700000000006</c:v>
                </c:pt>
                <c:pt idx="11">
                  <c:v>5963.9799999999987</c:v>
                </c:pt>
              </c:numCache>
            </c:numRef>
          </c:val>
          <c:extLst>
            <c:ext xmlns:c15="http://schemas.microsoft.com/office/drawing/2012/chart" uri="{02D57815-91ED-43cb-92C2-25804820EDAC}">
              <c15:datalabelsRange>
                <c15:f>'DATA ANALYSIS AND PIVOTS'!$R$5:$R$16</c15:f>
                <c15:dlblRangeCache>
                  <c:ptCount val="12"/>
                  <c:pt idx="0">
                    <c:v>17%</c:v>
                  </c:pt>
                  <c:pt idx="1">
                    <c:v>18%</c:v>
                  </c:pt>
                  <c:pt idx="2">
                    <c:v>18%</c:v>
                  </c:pt>
                  <c:pt idx="3">
                    <c:v>20%</c:v>
                  </c:pt>
                  <c:pt idx="4">
                    <c:v>14%</c:v>
                  </c:pt>
                  <c:pt idx="5">
                    <c:v>19%</c:v>
                  </c:pt>
                  <c:pt idx="6">
                    <c:v>15%</c:v>
                  </c:pt>
                  <c:pt idx="7">
                    <c:v>16%</c:v>
                  </c:pt>
                  <c:pt idx="8">
                    <c:v>18%</c:v>
                  </c:pt>
                  <c:pt idx="9">
                    <c:v>17%</c:v>
                  </c:pt>
                  <c:pt idx="10">
                    <c:v>19%</c:v>
                  </c:pt>
                  <c:pt idx="11">
                    <c:v>16%</c:v>
                  </c:pt>
                </c15:dlblRangeCache>
              </c15:datalabelsRange>
            </c:ext>
            <c:ext xmlns:c16="http://schemas.microsoft.com/office/drawing/2014/chart" uri="{C3380CC4-5D6E-409C-BE32-E72D297353CC}">
              <c16:uniqueId val="{0000000D-6830-4A5C-8550-8712D97A0254}"/>
            </c:ext>
          </c:extLst>
        </c:ser>
        <c:dLbls>
          <c:showLegendKey val="0"/>
          <c:showVal val="0"/>
          <c:showCatName val="0"/>
          <c:showSerName val="0"/>
          <c:showPercent val="0"/>
          <c:showBubbleSize val="0"/>
        </c:dLbls>
        <c:gapWidth val="10"/>
        <c:overlap val="100"/>
        <c:axId val="153490784"/>
        <c:axId val="371294768"/>
      </c:barChart>
      <c:catAx>
        <c:axId val="15349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371294768"/>
        <c:crosses val="autoZero"/>
        <c:auto val="1"/>
        <c:lblAlgn val="ctr"/>
        <c:lblOffset val="100"/>
        <c:noMultiLvlLbl val="0"/>
      </c:catAx>
      <c:valAx>
        <c:axId val="371294768"/>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53490784"/>
        <c:crosses val="autoZero"/>
        <c:crossBetween val="between"/>
      </c:valAx>
      <c:spPr>
        <a:noFill/>
        <a:ln>
          <a:noFill/>
        </a:ln>
        <a:effectLst/>
      </c:spPr>
    </c:plotArea>
    <c:legend>
      <c:legendPos val="b"/>
      <c:layout>
        <c:manualLayout>
          <c:xMode val="edge"/>
          <c:yMode val="edge"/>
          <c:x val="0.26108552055993001"/>
          <c:y val="0.91261519393409141"/>
          <c:w val="0.47782895888013999"/>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9202274499904533E-2"/>
          <c:y val="4.1314425249082673E-2"/>
          <c:w val="0.87894404691398775"/>
          <c:h val="0.78597302202896269"/>
        </c:manualLayout>
      </c:layout>
      <c:areaChart>
        <c:grouping val="standard"/>
        <c:varyColors val="0"/>
        <c:ser>
          <c:idx val="0"/>
          <c:order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cat>
            <c:strRef>
              <c:f>'DATA ANALYSIS AND PIVOTS'!$W$5:$W$35</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 ANALYSIS AND PIVOTS'!$X$5:$X$35</c:f>
              <c:numCache>
                <c:formatCode>[$$-409]#,##0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518C-4E2F-8BF2-E4BDF9B41FA7}"/>
            </c:ext>
          </c:extLst>
        </c:ser>
        <c:dLbls>
          <c:showLegendKey val="0"/>
          <c:showVal val="0"/>
          <c:showCatName val="0"/>
          <c:showSerName val="0"/>
          <c:showPercent val="0"/>
          <c:showBubbleSize val="0"/>
        </c:dLbls>
        <c:axId val="581516288"/>
        <c:axId val="581527104"/>
      </c:areaChart>
      <c:catAx>
        <c:axId val="581516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581527104"/>
        <c:crosses val="autoZero"/>
        <c:auto val="1"/>
        <c:lblAlgn val="ctr"/>
        <c:lblOffset val="100"/>
        <c:tickLblSkip val="1"/>
        <c:noMultiLvlLbl val="0"/>
      </c:catAx>
      <c:valAx>
        <c:axId val="58152710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58151628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158726920792934"/>
          <c:y val="6.2149227615204819E-2"/>
          <c:w val="0.5749566929133858"/>
          <c:h val="0.89319335083114615"/>
        </c:manualLayout>
      </c:layout>
      <c:pieChart>
        <c:varyColors val="1"/>
        <c:ser>
          <c:idx val="0"/>
          <c:order val="0"/>
          <c:tx>
            <c:strRef>
              <c:f>'DATA ANALYSIS AND PIVOTS'!$AD$4</c:f>
              <c:strCache>
                <c:ptCount val="1"/>
                <c:pt idx="0">
                  <c:v>TOTAL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3A8-428A-AC2C-8E99420069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3A8-428A-AC2C-8E99420069A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3A8-428A-AC2C-8E99420069A0}"/>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ANALYSIS AND PIVOTS'!$AC$5:$AC$7</c:f>
              <c:strCache>
                <c:ptCount val="3"/>
                <c:pt idx="0">
                  <c:v>Direct Sales</c:v>
                </c:pt>
                <c:pt idx="1">
                  <c:v>Online</c:v>
                </c:pt>
                <c:pt idx="2">
                  <c:v>Wholesaler</c:v>
                </c:pt>
              </c:strCache>
            </c:strRef>
          </c:cat>
          <c:val>
            <c:numRef>
              <c:f>'DATA ANALYSIS AND PIVOTS'!$AD$5:$AD$7</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E3A8-428A-AC2C-8E99420069A0}"/>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4299358413531643"/>
          <c:y val="0.92598632407791126"/>
          <c:w val="0.69086513925342663"/>
          <c:h val="7.4013855239248943E-2"/>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430839895013118"/>
          <c:y val="8.7987386993292491E-2"/>
          <c:w val="0.65513604549431326"/>
          <c:h val="0.85643263342082243"/>
        </c:manualLayout>
      </c:layout>
      <c:barChart>
        <c:barDir val="bar"/>
        <c:grouping val="clustered"/>
        <c:varyColors val="0"/>
        <c:ser>
          <c:idx val="0"/>
          <c:order val="0"/>
          <c:tx>
            <c:strRef>
              <c:f>'DATA ANALYSIS AND PIVOTS'!$AL$5:$AL$14</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invertIfNegative val="0"/>
          <c:cat>
            <c:strRef>
              <c:f>'DATA ANALYSIS AND PIVOTS'!$AL$5:$AL$14</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'DATA ANALYSIS AND PIVOTS'!$AM$5:$AM$14</c:f>
              <c:numCache>
                <c:formatCode>[$$-409]#,##0</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0-1BBE-466B-B06A-759DA7BE8FCB}"/>
            </c:ext>
          </c:extLst>
        </c:ser>
        <c:dLbls>
          <c:showLegendKey val="0"/>
          <c:showVal val="0"/>
          <c:showCatName val="0"/>
          <c:showSerName val="0"/>
          <c:showPercent val="0"/>
          <c:showBubbleSize val="0"/>
        </c:dLbls>
        <c:gapWidth val="20"/>
        <c:axId val="208316160"/>
        <c:axId val="208307008"/>
      </c:barChart>
      <c:catAx>
        <c:axId val="2083161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208307008"/>
        <c:crosses val="autoZero"/>
        <c:auto val="1"/>
        <c:lblAlgn val="ctr"/>
        <c:lblOffset val="100"/>
        <c:noMultiLvlLbl val="0"/>
      </c:catAx>
      <c:valAx>
        <c:axId val="208307008"/>
        <c:scaling>
          <c:orientation val="minMax"/>
        </c:scaling>
        <c:delete val="1"/>
        <c:axPos val="t"/>
        <c:numFmt formatCode="[$$-409]#,##0" sourceLinked="1"/>
        <c:majorTickMark val="none"/>
        <c:minorTickMark val="none"/>
        <c:tickLblPos val="nextTo"/>
        <c:crossAx val="20831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010433070866141"/>
          <c:y val="1.3888888888888888E-2"/>
          <c:w val="0.52812467191601054"/>
          <c:h val="0.8802077865266841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BB1-4469-BF0C-BBC5980F72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B1-4469-BF0C-BBC5980F729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extLst>
          </c:dLbls>
          <c:cat>
            <c:strRef>
              <c:f>'DATA ANALYSIS AND PIVOTS'!$AR$5:$AR$6</c:f>
              <c:strCache>
                <c:ptCount val="2"/>
                <c:pt idx="0">
                  <c:v>Cash</c:v>
                </c:pt>
                <c:pt idx="1">
                  <c:v>Online</c:v>
                </c:pt>
              </c:strCache>
            </c:strRef>
          </c:cat>
          <c:val>
            <c:numRef>
              <c:f>'DATA ANALYSIS AND PIVOTS'!$AS$5:$AS$6</c:f>
              <c:numCache>
                <c:formatCode>[$$-409]#,##0</c:formatCode>
                <c:ptCount val="2"/>
                <c:pt idx="0">
                  <c:v>199516.90000000008</c:v>
                </c:pt>
                <c:pt idx="1">
                  <c:v>201895.01999999993</c:v>
                </c:pt>
              </c:numCache>
            </c:numRef>
          </c:val>
          <c:extLst>
            <c:ext xmlns:c16="http://schemas.microsoft.com/office/drawing/2014/chart" uri="{C3380CC4-5D6E-409C-BE32-E72D297353CC}">
              <c16:uniqueId val="{00000004-FBB1-4469-BF0C-BBC5980F729A}"/>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40693C84-91DA-4F61-A559-28522ECDBAC9}">
          <cx:tx>
            <cx:txData>
              <cx:f>_xlchart.v1.1</cx:f>
              <cx:v>TOTAL SALES</cx:v>
            </cx:txData>
          </cx:tx>
          <cx:dataLabels pos="inEnd">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plotArea>
      <cx:plotAreaRegion>
        <cx:series layoutId="treemap" uniqueId="{40693C84-91DA-4F61-A559-28522ECDBAC9}">
          <cx:tx>
            <cx:txData>
              <cx:f>_xlchart.v1.4</cx:f>
              <cx:v>TOTAL SALES</cx:v>
            </cx:txData>
          </cx:tx>
          <cx:dataLabels pos="inEnd">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Scroll" dx="26" fmlaLink="$AL$2" max="45" min="1" page="10"/>
</file>

<file path=xl/ctrlProps/ctrlProp2.xml><?xml version="1.0" encoding="utf-8"?>
<formControlPr xmlns="http://schemas.microsoft.com/office/spreadsheetml/2009/9/main" objectType="CheckBox" checked="Checked" fmlaLink="'DATA ANALYSIS AND PIVOTS'!$P$3" lockText="1" noThreeD="1"/>
</file>

<file path=xl/ctrlProps/ctrlProp3.xml><?xml version="1.0" encoding="utf-8"?>
<formControlPr xmlns="http://schemas.microsoft.com/office/spreadsheetml/2009/9/main" objectType="CheckBox" checked="Checked" fmlaLink="'DATA ANALYSIS AND PIVOTS'!$Q$3" lockText="1" noThreeD="1"/>
</file>

<file path=xl/ctrlProps/ctrlProp4.xml><?xml version="1.0" encoding="utf-8"?>
<formControlPr xmlns="http://schemas.microsoft.com/office/spreadsheetml/2009/9/main" objectType="CheckBox" checked="Checked" fmlaLink="'DATA ANALYSIS AND PIVOTS'!$R$3" lockText="1" noThreeD="1"/>
</file>

<file path=xl/ctrlProps/ctrlProp5.xml><?xml version="1.0" encoding="utf-8"?>
<formControlPr xmlns="http://schemas.microsoft.com/office/spreadsheetml/2009/9/main" objectType="Scroll" dx="26" fmlaLink="'DATA ANALYSIS AND PIVOTS'!$AL$2" max="45" min="1" page="10"/>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3" Type="http://schemas.openxmlformats.org/officeDocument/2006/relationships/image" Target="../media/image9.svg"/><Relationship Id="rId18" Type="http://schemas.openxmlformats.org/officeDocument/2006/relationships/image" Target="../media/image14.png"/><Relationship Id="rId26" Type="http://schemas.openxmlformats.org/officeDocument/2006/relationships/image" Target="../media/image20.png"/><Relationship Id="rId3" Type="http://schemas.openxmlformats.org/officeDocument/2006/relationships/image" Target="../media/image3.svg"/><Relationship Id="rId21" Type="http://schemas.openxmlformats.org/officeDocument/2006/relationships/image" Target="../media/image17.svg"/><Relationship Id="rId7" Type="http://schemas.openxmlformats.org/officeDocument/2006/relationships/chart" Target="../charts/chart9.xml"/><Relationship Id="rId12" Type="http://schemas.openxmlformats.org/officeDocument/2006/relationships/image" Target="../media/image8.png"/><Relationship Id="rId17" Type="http://schemas.openxmlformats.org/officeDocument/2006/relationships/image" Target="../media/image13.svg"/><Relationship Id="rId25" Type="http://schemas.microsoft.com/office/2014/relationships/chartEx" Target="../charts/chartEx2.xml"/><Relationship Id="rId33" Type="http://schemas.openxmlformats.org/officeDocument/2006/relationships/image" Target="../media/image27.svg"/><Relationship Id="rId2" Type="http://schemas.openxmlformats.org/officeDocument/2006/relationships/image" Target="../media/image2.png"/><Relationship Id="rId16" Type="http://schemas.openxmlformats.org/officeDocument/2006/relationships/image" Target="../media/image12.png"/><Relationship Id="rId20" Type="http://schemas.openxmlformats.org/officeDocument/2006/relationships/image" Target="../media/image16.pn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chart" Target="../charts/chart8.xml"/><Relationship Id="rId11" Type="http://schemas.openxmlformats.org/officeDocument/2006/relationships/image" Target="../media/image7.svg"/><Relationship Id="rId24" Type="http://schemas.openxmlformats.org/officeDocument/2006/relationships/chart" Target="../charts/chart10.xml"/><Relationship Id="rId32" Type="http://schemas.openxmlformats.org/officeDocument/2006/relationships/image" Target="../media/image26.png"/><Relationship Id="rId5" Type="http://schemas.openxmlformats.org/officeDocument/2006/relationships/chart" Target="../charts/chart7.xml"/><Relationship Id="rId15" Type="http://schemas.openxmlformats.org/officeDocument/2006/relationships/image" Target="../media/image11.svg"/><Relationship Id="rId23" Type="http://schemas.openxmlformats.org/officeDocument/2006/relationships/image" Target="../media/image19.svg"/><Relationship Id="rId28" Type="http://schemas.openxmlformats.org/officeDocument/2006/relationships/image" Target="../media/image22.png"/><Relationship Id="rId10" Type="http://schemas.openxmlformats.org/officeDocument/2006/relationships/image" Target="../media/image6.png"/><Relationship Id="rId19" Type="http://schemas.openxmlformats.org/officeDocument/2006/relationships/image" Target="../media/image15.svg"/><Relationship Id="rId31" Type="http://schemas.openxmlformats.org/officeDocument/2006/relationships/image" Target="../media/image25.svg"/><Relationship Id="rId4" Type="http://schemas.openxmlformats.org/officeDocument/2006/relationships/chart" Target="../charts/chart6.xml"/><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18.png"/><Relationship Id="rId27" Type="http://schemas.openxmlformats.org/officeDocument/2006/relationships/image" Target="../media/image21.svg"/><Relationship Id="rId30" Type="http://schemas.openxmlformats.org/officeDocument/2006/relationships/image" Target="../media/image24.png"/><Relationship Id="rId8"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4</xdr:col>
      <xdr:colOff>7620</xdr:colOff>
      <xdr:row>2</xdr:row>
      <xdr:rowOff>114300</xdr:rowOff>
    </xdr:from>
    <xdr:to>
      <xdr:col>5</xdr:col>
      <xdr:colOff>594360</xdr:colOff>
      <xdr:row>3</xdr:row>
      <xdr:rowOff>99060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flipV="1">
          <a:off x="2857500" y="487680"/>
          <a:ext cx="1196340" cy="1676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777240</xdr:colOff>
      <xdr:row>15</xdr:row>
      <xdr:rowOff>7620</xdr:rowOff>
    </xdr:from>
    <xdr:to>
      <xdr:col>4</xdr:col>
      <xdr:colOff>1051560</xdr:colOff>
      <xdr:row>28</xdr:row>
      <xdr:rowOff>97155</xdr:rowOff>
    </xdr:to>
    <mc:AlternateContent xmlns:mc="http://schemas.openxmlformats.org/markup-compatibility/2006" xmlns:a14="http://schemas.microsoft.com/office/drawing/2010/main">
      <mc:Choice Requires="a14">
        <xdr:graphicFrame macro="">
          <xdr:nvGraphicFramePr>
            <xdr:cNvPr id="2" name="SALE TYPE 2">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ALE TYPE 2"/>
            </a:graphicData>
          </a:graphic>
        </xdr:graphicFrame>
      </mc:Choice>
      <mc:Fallback xmlns="">
        <xdr:sp macro="" textlink="">
          <xdr:nvSpPr>
            <xdr:cNvPr id="0" name=""/>
            <xdr:cNvSpPr>
              <a:spLocks noTextEdit="1"/>
            </xdr:cNvSpPr>
          </xdr:nvSpPr>
          <xdr:spPr>
            <a:xfrm>
              <a:off x="2209800" y="2750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198120</xdr:colOff>
      <xdr:row>14</xdr:row>
      <xdr:rowOff>152400</xdr:rowOff>
    </xdr:from>
    <xdr:to>
      <xdr:col>2</xdr:col>
      <xdr:colOff>594360</xdr:colOff>
      <xdr:row>28</xdr:row>
      <xdr:rowOff>59055</xdr:rowOff>
    </xdr:to>
    <mc:AlternateContent xmlns:mc="http://schemas.openxmlformats.org/markup-compatibility/2006" xmlns:a14="http://schemas.microsoft.com/office/drawing/2010/main">
      <mc:Choice Requires="a14">
        <xdr:graphicFrame macro="">
          <xdr:nvGraphicFramePr>
            <xdr:cNvPr id="3" name="PAYMENT MODE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PAYMENT MODE 2"/>
            </a:graphicData>
          </a:graphic>
        </xdr:graphicFrame>
      </mc:Choice>
      <mc:Fallback xmlns="">
        <xdr:sp macro="" textlink="">
          <xdr:nvSpPr>
            <xdr:cNvPr id="0" name=""/>
            <xdr:cNvSpPr>
              <a:spLocks noTextEdit="1"/>
            </xdr:cNvSpPr>
          </xdr:nvSpPr>
          <xdr:spPr>
            <a:xfrm>
              <a:off x="198120" y="27127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1089660</xdr:colOff>
      <xdr:row>15</xdr:row>
      <xdr:rowOff>15240</xdr:rowOff>
    </xdr:from>
    <xdr:to>
      <xdr:col>6</xdr:col>
      <xdr:colOff>91440</xdr:colOff>
      <xdr:row>28</xdr:row>
      <xdr:rowOff>104775</xdr:rowOff>
    </xdr:to>
    <mc:AlternateContent xmlns:mc="http://schemas.openxmlformats.org/markup-compatibility/2006" xmlns:a14="http://schemas.microsoft.com/office/drawing/2010/main">
      <mc:Choice Requires="a14">
        <xdr:graphicFrame macro="">
          <xdr:nvGraphicFramePr>
            <xdr:cNvPr id="6" name="MONTH 2">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4076700" y="27584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129540</xdr:colOff>
      <xdr:row>15</xdr:row>
      <xdr:rowOff>22860</xdr:rowOff>
    </xdr:from>
    <xdr:to>
      <xdr:col>8</xdr:col>
      <xdr:colOff>7620</xdr:colOff>
      <xdr:row>20</xdr:row>
      <xdr:rowOff>114300</xdr:rowOff>
    </xdr:to>
    <mc:AlternateContent xmlns:mc="http://schemas.openxmlformats.org/markup-compatibility/2006" xmlns:a14="http://schemas.microsoft.com/office/drawing/2010/main">
      <mc:Choice Requires="a14">
        <xdr:graphicFrame macro="">
          <xdr:nvGraphicFramePr>
            <xdr:cNvPr id="7" name="YEAR 2">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943600" y="2766060"/>
              <a:ext cx="1097280" cy="1005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457200</xdr:colOff>
      <xdr:row>20</xdr:row>
      <xdr:rowOff>49530</xdr:rowOff>
    </xdr:from>
    <xdr:to>
      <xdr:col>14</xdr:col>
      <xdr:colOff>571500</xdr:colOff>
      <xdr:row>35</xdr:row>
      <xdr:rowOff>49530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937260</xdr:colOff>
      <xdr:row>39</xdr:row>
      <xdr:rowOff>3810</xdr:rowOff>
    </xdr:from>
    <xdr:to>
      <xdr:col>22</xdr:col>
      <xdr:colOff>403860</xdr:colOff>
      <xdr:row>54</xdr:row>
      <xdr:rowOff>3810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121920</xdr:colOff>
      <xdr:row>12</xdr:row>
      <xdr:rowOff>68580</xdr:rowOff>
    </xdr:from>
    <xdr:to>
      <xdr:col>28</xdr:col>
      <xdr:colOff>1028700</xdr:colOff>
      <xdr:row>24</xdr:row>
      <xdr:rowOff>179070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38</xdr:col>
      <xdr:colOff>586740</xdr:colOff>
      <xdr:row>17</xdr:row>
      <xdr:rowOff>53340</xdr:rowOff>
    </xdr:from>
    <xdr:to>
      <xdr:col>40</xdr:col>
      <xdr:colOff>312420</xdr:colOff>
      <xdr:row>30</xdr:row>
      <xdr:rowOff>156210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38</xdr:col>
          <xdr:colOff>177800</xdr:colOff>
          <xdr:row>17</xdr:row>
          <xdr:rowOff>50800</xdr:rowOff>
        </xdr:from>
        <xdr:to>
          <xdr:col>38</xdr:col>
          <xdr:colOff>508000</xdr:colOff>
          <xdr:row>32</xdr:row>
          <xdr:rowOff>63500</xdr:rowOff>
        </xdr:to>
        <xdr:sp macro="" textlink="">
          <xdr:nvSpPr>
            <xdr:cNvPr id="11271" name="Scroll Bar 7" descr="SCROLL HERE&#10;" hidden="1">
              <a:extLst>
                <a:ext uri="{63B3BB69-23CF-44E3-9099-C40C66FF867C}">
                  <a14:compatExt spid="_x0000_s11271"/>
                </a:ext>
                <a:ext uri="{FF2B5EF4-FFF2-40B4-BE49-F238E27FC236}">
                  <a16:creationId xmlns:a16="http://schemas.microsoft.com/office/drawing/2014/main" id="{00000000-0008-0000-0500-000007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40</xdr:col>
      <xdr:colOff>548640</xdr:colOff>
      <xdr:row>11</xdr:row>
      <xdr:rowOff>144780</xdr:rowOff>
    </xdr:from>
    <xdr:to>
      <xdr:col>44</xdr:col>
      <xdr:colOff>38100</xdr:colOff>
      <xdr:row>25</xdr:row>
      <xdr:rowOff>3810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47</xdr:col>
      <xdr:colOff>15240</xdr:colOff>
      <xdr:row>15</xdr:row>
      <xdr:rowOff>49530</xdr:rowOff>
    </xdr:from>
    <xdr:to>
      <xdr:col>51</xdr:col>
      <xdr:colOff>320040</xdr:colOff>
      <xdr:row>30</xdr:row>
      <xdr:rowOff>106680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1696640" y="2907030"/>
              <a:ext cx="3937000" cy="29146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23</xdr:col>
      <xdr:colOff>409563</xdr:colOff>
      <xdr:row>31</xdr:row>
      <xdr:rowOff>93864</xdr:rowOff>
    </xdr:to>
    <xdr:grpSp>
      <xdr:nvGrpSpPr>
        <xdr:cNvPr id="4" name="Group 3">
          <a:extLst>
            <a:ext uri="{FF2B5EF4-FFF2-40B4-BE49-F238E27FC236}">
              <a16:creationId xmlns:a16="http://schemas.microsoft.com/office/drawing/2014/main" id="{00000000-0008-0000-0600-000004000000}"/>
            </a:ext>
          </a:extLst>
        </xdr:cNvPr>
        <xdr:cNvGrpSpPr>
          <a:grpSpLocks noChangeAspect="1"/>
        </xdr:cNvGrpSpPr>
      </xdr:nvGrpSpPr>
      <xdr:grpSpPr>
        <a:xfrm>
          <a:off x="0" y="0"/>
          <a:ext cx="15890863" cy="5999364"/>
          <a:chOff x="22860" y="0"/>
          <a:chExt cx="14430363" cy="5763144"/>
        </a:xfrm>
      </xdr:grpSpPr>
      <xdr:grpSp>
        <xdr:nvGrpSpPr>
          <xdr:cNvPr id="122" name="Group 121">
            <a:extLst>
              <a:ext uri="{FF2B5EF4-FFF2-40B4-BE49-F238E27FC236}">
                <a16:creationId xmlns:a16="http://schemas.microsoft.com/office/drawing/2014/main" id="{00000000-0008-0000-0600-00007A000000}"/>
              </a:ext>
            </a:extLst>
          </xdr:cNvPr>
          <xdr:cNvGrpSpPr/>
        </xdr:nvGrpSpPr>
        <xdr:grpSpPr>
          <a:xfrm>
            <a:off x="22860" y="0"/>
            <a:ext cx="14430363" cy="5763144"/>
            <a:chOff x="0" y="0"/>
            <a:chExt cx="12214653" cy="6861743"/>
          </a:xfrm>
        </xdr:grpSpPr>
        <xdr:sp macro="" textlink="">
          <xdr:nvSpPr>
            <xdr:cNvPr id="44" name="Rectangle 43">
              <a:extLst>
                <a:ext uri="{FF2B5EF4-FFF2-40B4-BE49-F238E27FC236}">
                  <a16:creationId xmlns:a16="http://schemas.microsoft.com/office/drawing/2014/main" id="{00000000-0008-0000-0600-00002C000000}"/>
                </a:ext>
                <a:ext uri="{C183D7F6-B498-43B3-948B-1728B52AA6E4}">
                  <adec:decorative xmlns:adec="http://schemas.microsoft.com/office/drawing/2017/decorative" val="1"/>
                </a:ext>
              </a:extLst>
            </xdr:cNvPr>
            <xdr:cNvSpPr/>
          </xdr:nvSpPr>
          <xdr:spPr bwMode="white">
            <a:xfrm>
              <a:off x="0" y="0"/>
              <a:ext cx="12188952" cy="6858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b="1">
                <a:solidFill>
                  <a:schemeClr val="bg1"/>
                </a:solidFill>
              </a:endParaRPr>
            </a:p>
          </xdr:txBody>
        </xdr:sp>
        <xdr:sp macro="" textlink="">
          <xdr:nvSpPr>
            <xdr:cNvPr id="45" name="Rectangle 44">
              <a:extLst>
                <a:ext uri="{FF2B5EF4-FFF2-40B4-BE49-F238E27FC236}">
                  <a16:creationId xmlns:a16="http://schemas.microsoft.com/office/drawing/2014/main" id="{00000000-0008-0000-0600-00002D000000}"/>
                </a:ext>
              </a:extLst>
            </xdr:cNvPr>
            <xdr:cNvSpPr/>
          </xdr:nvSpPr>
          <xdr:spPr>
            <a:xfrm>
              <a:off x="25701" y="3743"/>
              <a:ext cx="12188952" cy="6858000"/>
            </a:xfrm>
            <a:prstGeom prst="rect">
              <a:avLst/>
            </a:prstGeom>
            <a:gradFill flip="none" rotWithShape="1">
              <a:gsLst>
                <a:gs pos="1000">
                  <a:srgbClr val="002060"/>
                </a:gs>
                <a:gs pos="100000">
                  <a:srgbClr val="CC00CC"/>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endParaRPr>
            </a:p>
          </xdr:txBody>
        </xdr:sp>
        <xdr:sp macro="" textlink="">
          <xdr:nvSpPr>
            <xdr:cNvPr id="46" name="Rectangle: Rounded Corners 45">
              <a:extLst>
                <a:ext uri="{FF2B5EF4-FFF2-40B4-BE49-F238E27FC236}">
                  <a16:creationId xmlns:a16="http://schemas.microsoft.com/office/drawing/2014/main" id="{00000000-0008-0000-0600-00002E000000}"/>
                </a:ext>
              </a:extLst>
            </xdr:cNvPr>
            <xdr:cNvSpPr/>
          </xdr:nvSpPr>
          <xdr:spPr>
            <a:xfrm>
              <a:off x="397310" y="389105"/>
              <a:ext cx="3083668" cy="768485"/>
            </a:xfrm>
            <a:prstGeom prst="roundRect">
              <a:avLst>
                <a:gd name="adj" fmla="val 20001"/>
              </a:avLst>
            </a:prstGeom>
            <a:gradFill>
              <a:gsLst>
                <a:gs pos="100000">
                  <a:srgbClr val="C00000"/>
                </a:gs>
                <a:gs pos="0">
                  <a:schemeClr val="tx1"/>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IN" b="1">
                  <a:solidFill>
                    <a:schemeClr val="bg1"/>
                  </a:solidFill>
                  <a:latin typeface="Times New Roman" panose="02020603050405020304" pitchFamily="18" charset="0"/>
                  <a:cs typeface="Times New Roman" panose="02020603050405020304" pitchFamily="18" charset="0"/>
                </a:rPr>
                <a:t>SALES</a:t>
              </a:r>
              <a:r>
                <a:rPr lang="en-IN" b="1">
                  <a:solidFill>
                    <a:schemeClr val="bg1"/>
                  </a:solidFill>
                </a:rPr>
                <a:t> </a:t>
              </a:r>
              <a:r>
                <a:rPr lang="en-IN" b="1">
                  <a:solidFill>
                    <a:schemeClr val="bg1"/>
                  </a:solidFill>
                  <a:latin typeface="Times New Roman" panose="02020603050405020304" pitchFamily="18" charset="0"/>
                  <a:cs typeface="Times New Roman" panose="02020603050405020304" pitchFamily="18" charset="0"/>
                </a:rPr>
                <a:t>DASHBOARD</a:t>
              </a:r>
            </a:p>
          </xdr:txBody>
        </xdr:sp>
        <xdr:sp macro="" textlink="">
          <xdr:nvSpPr>
            <xdr:cNvPr id="47" name="Rectangle: Rounded Corners 46">
              <a:extLst>
                <a:ext uri="{FF2B5EF4-FFF2-40B4-BE49-F238E27FC236}">
                  <a16:creationId xmlns:a16="http://schemas.microsoft.com/office/drawing/2014/main" id="{00000000-0008-0000-0600-00002F000000}"/>
                </a:ext>
              </a:extLst>
            </xdr:cNvPr>
            <xdr:cNvSpPr/>
          </xdr:nvSpPr>
          <xdr:spPr>
            <a:xfrm>
              <a:off x="3617165" y="389106"/>
              <a:ext cx="5466945" cy="768484"/>
            </a:xfrm>
            <a:prstGeom prst="roundRect">
              <a:avLst>
                <a:gd name="adj" fmla="val 20001"/>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endParaRPr>
            </a:p>
          </xdr:txBody>
        </xdr:sp>
        <xdr:sp macro="" textlink="">
          <xdr:nvSpPr>
            <xdr:cNvPr id="48" name="Rectangle: Rounded Corners 47">
              <a:extLst>
                <a:ext uri="{FF2B5EF4-FFF2-40B4-BE49-F238E27FC236}">
                  <a16:creationId xmlns:a16="http://schemas.microsoft.com/office/drawing/2014/main" id="{00000000-0008-0000-0600-000030000000}"/>
                </a:ext>
              </a:extLst>
            </xdr:cNvPr>
            <xdr:cNvSpPr/>
          </xdr:nvSpPr>
          <xdr:spPr>
            <a:xfrm>
              <a:off x="9161929" y="389105"/>
              <a:ext cx="2970496" cy="767239"/>
            </a:xfrm>
            <a:prstGeom prst="roundRect">
              <a:avLst>
                <a:gd name="adj" fmla="val 20001"/>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endParaRPr>
            </a:p>
          </xdr:txBody>
        </xdr:sp>
        <xdr:pic>
          <xdr:nvPicPr>
            <xdr:cNvPr id="49" name="Picture 48">
              <a:extLst>
                <a:ext uri="{FF2B5EF4-FFF2-40B4-BE49-F238E27FC236}">
                  <a16:creationId xmlns:a16="http://schemas.microsoft.com/office/drawing/2014/main" id="{00000000-0008-0000-0600-00003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49282" y="444556"/>
              <a:ext cx="2792844" cy="644151"/>
            </a:xfrm>
            <a:prstGeom prst="rect">
              <a:avLst/>
            </a:prstGeom>
          </xdr:spPr>
        </xdr:pic>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397311" y="1282760"/>
              <a:ext cx="1075002" cy="1194048"/>
            </a:xfrm>
            <a:prstGeom prst="roundRect">
              <a:avLst>
                <a:gd name="adj" fmla="val 8365"/>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sp macro="" textlink="">
          <xdr:nvSpPr>
            <xdr:cNvPr id="55" name="Rectangle: Rounded Corners 54">
              <a:extLst>
                <a:ext uri="{FF2B5EF4-FFF2-40B4-BE49-F238E27FC236}">
                  <a16:creationId xmlns:a16="http://schemas.microsoft.com/office/drawing/2014/main" id="{00000000-0008-0000-0600-000037000000}"/>
                </a:ext>
              </a:extLst>
            </xdr:cNvPr>
            <xdr:cNvSpPr/>
          </xdr:nvSpPr>
          <xdr:spPr>
            <a:xfrm>
              <a:off x="395786" y="2576608"/>
              <a:ext cx="1075003" cy="3892129"/>
            </a:xfrm>
            <a:prstGeom prst="roundRect">
              <a:avLst>
                <a:gd name="adj" fmla="val 11857"/>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sp macro="" textlink="'DATA ANALYSIS AND PIVOTS'!E5">
          <xdr:nvSpPr>
            <xdr:cNvPr id="60" name="Rectangle: Rounded Corners 59">
              <a:extLst>
                <a:ext uri="{FF2B5EF4-FFF2-40B4-BE49-F238E27FC236}">
                  <a16:creationId xmlns:a16="http://schemas.microsoft.com/office/drawing/2014/main" id="{00000000-0008-0000-0600-00003C000000}"/>
                </a:ext>
              </a:extLst>
            </xdr:cNvPr>
            <xdr:cNvSpPr/>
          </xdr:nvSpPr>
          <xdr:spPr>
            <a:xfrm>
              <a:off x="1503212" y="1266695"/>
              <a:ext cx="2448000" cy="628376"/>
            </a:xfrm>
            <a:prstGeom prst="roundRect">
              <a:avLst>
                <a:gd name="adj" fmla="val 20001"/>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D97355B5-0255-425D-AC2A-A4E605054A0F}" type="TxLink">
                <a:rPr lang="en-US" sz="2400" b="1" i="0" u="none" strike="noStrike" kern="1200">
                  <a:solidFill>
                    <a:schemeClr val="bg1"/>
                  </a:solidFill>
                  <a:latin typeface="Times New Roman" panose="02020603050405020304" pitchFamily="18" charset="0"/>
                  <a:ea typeface="+mn-ea"/>
                  <a:cs typeface="Times New Roman" panose="02020603050405020304" pitchFamily="18" charset="0"/>
                </a:rPr>
                <a:pPr marL="0" indent="0" algn="ctr" defTabSz="914400" rtl="0" eaLnBrk="1" latinLnBrk="0" hangingPunct="1"/>
                <a:t>$4,01,412</a:t>
              </a:fld>
              <a:endParaRPr lang="en-IN" sz="2400" b="1" i="0" u="none" strike="noStrike" kern="1200">
                <a:solidFill>
                  <a:schemeClr val="bg1"/>
                </a:solidFill>
                <a:latin typeface="Times New Roman" panose="02020603050405020304" pitchFamily="18" charset="0"/>
                <a:ea typeface="+mn-ea"/>
                <a:cs typeface="Times New Roman" panose="02020603050405020304" pitchFamily="18" charset="0"/>
              </a:endParaRPr>
            </a:p>
          </xdr:txBody>
        </xdr:sp>
        <xdr:sp macro="" textlink="'DATA ANALYSIS AND PIVOTS'!F5">
          <xdr:nvSpPr>
            <xdr:cNvPr id="61" name="Rectangle: Rounded Corners 60">
              <a:extLst>
                <a:ext uri="{FF2B5EF4-FFF2-40B4-BE49-F238E27FC236}">
                  <a16:creationId xmlns:a16="http://schemas.microsoft.com/office/drawing/2014/main" id="{00000000-0008-0000-0600-00003D000000}"/>
                </a:ext>
              </a:extLst>
            </xdr:cNvPr>
            <xdr:cNvSpPr/>
          </xdr:nvSpPr>
          <xdr:spPr>
            <a:xfrm>
              <a:off x="4074486" y="1266695"/>
              <a:ext cx="2448000" cy="628376"/>
            </a:xfrm>
            <a:prstGeom prst="roundRect">
              <a:avLst>
                <a:gd name="adj" fmla="val 20001"/>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FF5296A9-7218-41BD-BC27-B1705344C1E4}" type="TxLink">
                <a:rPr lang="en-US" sz="2400" b="1" i="0" u="none" strike="noStrike" kern="1200">
                  <a:solidFill>
                    <a:schemeClr val="bg1"/>
                  </a:solidFill>
                  <a:latin typeface="Times New Roman" panose="02020603050405020304" pitchFamily="18" charset="0"/>
                  <a:ea typeface="+mn-ea"/>
                  <a:cs typeface="Times New Roman" panose="02020603050405020304" pitchFamily="18" charset="0"/>
                </a:rPr>
                <a:pPr marL="0" indent="0" algn="ctr" defTabSz="914400" rtl="0" eaLnBrk="1" latinLnBrk="0" hangingPunct="1"/>
                <a:t>$68,908</a:t>
              </a:fld>
              <a:endParaRPr lang="en-IN" sz="2400" b="1" i="0" u="none" strike="noStrike" kern="1200">
                <a:solidFill>
                  <a:schemeClr val="bg1"/>
                </a:solidFill>
                <a:latin typeface="Times New Roman" panose="02020603050405020304" pitchFamily="18" charset="0"/>
                <a:ea typeface="+mn-ea"/>
                <a:cs typeface="Times New Roman" panose="02020603050405020304" pitchFamily="18" charset="0"/>
              </a:endParaRPr>
            </a:p>
          </xdr:txBody>
        </xdr:sp>
        <xdr:sp macro="" textlink="'DATA ANALYSIS AND PIVOTS'!G5">
          <xdr:nvSpPr>
            <xdr:cNvPr id="62" name="Rectangle: Rounded Corners 61">
              <a:extLst>
                <a:ext uri="{FF2B5EF4-FFF2-40B4-BE49-F238E27FC236}">
                  <a16:creationId xmlns:a16="http://schemas.microsoft.com/office/drawing/2014/main" id="{00000000-0008-0000-0600-00003E000000}"/>
                </a:ext>
              </a:extLst>
            </xdr:cNvPr>
            <xdr:cNvSpPr/>
          </xdr:nvSpPr>
          <xdr:spPr>
            <a:xfrm>
              <a:off x="6645759" y="1266695"/>
              <a:ext cx="2448000" cy="628376"/>
            </a:xfrm>
            <a:prstGeom prst="roundRect">
              <a:avLst>
                <a:gd name="adj" fmla="val 20001"/>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7F0FEE54-5F99-4D45-A022-EE14E89FA9F6}" type="TxLink">
                <a:rPr lang="en-US" sz="2400" b="1" i="0" u="none" strike="noStrike" kern="1200">
                  <a:solidFill>
                    <a:schemeClr val="bg1"/>
                  </a:solidFill>
                  <a:latin typeface="Times New Roman" panose="02020603050405020304" pitchFamily="18" charset="0"/>
                  <a:ea typeface="+mn-ea"/>
                  <a:cs typeface="Times New Roman" panose="02020603050405020304" pitchFamily="18" charset="0"/>
                </a:rPr>
                <a:pPr marL="0" indent="0" algn="ctr" defTabSz="914400" rtl="0" eaLnBrk="1" latinLnBrk="0" hangingPunct="1"/>
                <a:t>17%</a:t>
              </a:fld>
              <a:endParaRPr lang="en-IN" sz="2400" b="1" i="0" u="none" strike="noStrike" kern="1200">
                <a:solidFill>
                  <a:schemeClr val="bg1"/>
                </a:solidFill>
                <a:latin typeface="Times New Roman" panose="02020603050405020304" pitchFamily="18" charset="0"/>
                <a:ea typeface="+mn-ea"/>
                <a:cs typeface="Times New Roman" panose="02020603050405020304" pitchFamily="18" charset="0"/>
              </a:endParaRPr>
            </a:p>
          </xdr:txBody>
        </xdr:sp>
        <xdr:sp macro="" textlink="">
          <xdr:nvSpPr>
            <xdr:cNvPr id="63" name="Rectangle: Rounded Corners 62">
              <a:extLst>
                <a:ext uri="{FF2B5EF4-FFF2-40B4-BE49-F238E27FC236}">
                  <a16:creationId xmlns:a16="http://schemas.microsoft.com/office/drawing/2014/main" id="{00000000-0008-0000-0600-00003F000000}"/>
                </a:ext>
              </a:extLst>
            </xdr:cNvPr>
            <xdr:cNvSpPr/>
          </xdr:nvSpPr>
          <xdr:spPr>
            <a:xfrm>
              <a:off x="1515421" y="1953276"/>
              <a:ext cx="3543918" cy="2214000"/>
            </a:xfrm>
            <a:prstGeom prst="roundRect">
              <a:avLst>
                <a:gd name="adj" fmla="val 4604"/>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sp macro="" textlink="">
          <xdr:nvSpPr>
            <xdr:cNvPr id="64" name="Rectangle: Rounded Corners 63">
              <a:extLst>
                <a:ext uri="{FF2B5EF4-FFF2-40B4-BE49-F238E27FC236}">
                  <a16:creationId xmlns:a16="http://schemas.microsoft.com/office/drawing/2014/main" id="{00000000-0008-0000-0600-000040000000}"/>
                </a:ext>
              </a:extLst>
            </xdr:cNvPr>
            <xdr:cNvSpPr/>
          </xdr:nvSpPr>
          <xdr:spPr>
            <a:xfrm>
              <a:off x="5150549" y="1953276"/>
              <a:ext cx="1926000" cy="2214000"/>
            </a:xfrm>
            <a:prstGeom prst="roundRect">
              <a:avLst>
                <a:gd name="adj" fmla="val 4107"/>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sp macro="" textlink="">
          <xdr:nvSpPr>
            <xdr:cNvPr id="65" name="Rectangle: Rounded Corners 64">
              <a:extLst>
                <a:ext uri="{FF2B5EF4-FFF2-40B4-BE49-F238E27FC236}">
                  <a16:creationId xmlns:a16="http://schemas.microsoft.com/office/drawing/2014/main" id="{00000000-0008-0000-0600-000041000000}"/>
                </a:ext>
              </a:extLst>
            </xdr:cNvPr>
            <xdr:cNvSpPr/>
          </xdr:nvSpPr>
          <xdr:spPr>
            <a:xfrm>
              <a:off x="7167759" y="1953276"/>
              <a:ext cx="1926000" cy="2214000"/>
            </a:xfrm>
            <a:prstGeom prst="roundRect">
              <a:avLst>
                <a:gd name="adj" fmla="val 4107"/>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sp macro="" textlink="">
          <xdr:nvSpPr>
            <xdr:cNvPr id="66" name="Rectangle: Rounded Corners 65">
              <a:extLst>
                <a:ext uri="{FF2B5EF4-FFF2-40B4-BE49-F238E27FC236}">
                  <a16:creationId xmlns:a16="http://schemas.microsoft.com/office/drawing/2014/main" id="{00000000-0008-0000-0600-000042000000}"/>
                </a:ext>
              </a:extLst>
            </xdr:cNvPr>
            <xdr:cNvSpPr/>
          </xdr:nvSpPr>
          <xdr:spPr>
            <a:xfrm>
              <a:off x="1516183" y="4235939"/>
              <a:ext cx="5560366" cy="2214000"/>
            </a:xfrm>
            <a:prstGeom prst="roundRect">
              <a:avLst>
                <a:gd name="adj" fmla="val 4604"/>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sp macro="" textlink="">
          <xdr:nvSpPr>
            <xdr:cNvPr id="67" name="Rectangle: Rounded Corners 66">
              <a:extLst>
                <a:ext uri="{FF2B5EF4-FFF2-40B4-BE49-F238E27FC236}">
                  <a16:creationId xmlns:a16="http://schemas.microsoft.com/office/drawing/2014/main" id="{00000000-0008-0000-0600-000043000000}"/>
                </a:ext>
              </a:extLst>
            </xdr:cNvPr>
            <xdr:cNvSpPr/>
          </xdr:nvSpPr>
          <xdr:spPr>
            <a:xfrm>
              <a:off x="7148073" y="4235939"/>
              <a:ext cx="1926000" cy="2214000"/>
            </a:xfrm>
            <a:prstGeom prst="roundRect">
              <a:avLst>
                <a:gd name="adj" fmla="val 4107"/>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cxnSp macro="">
          <xdr:nvCxnSpPr>
            <xdr:cNvPr id="80" name="Straight Connector 79">
              <a:extLst>
                <a:ext uri="{FF2B5EF4-FFF2-40B4-BE49-F238E27FC236}">
                  <a16:creationId xmlns:a16="http://schemas.microsoft.com/office/drawing/2014/main" id="{00000000-0008-0000-0600-000050000000}"/>
                </a:ext>
              </a:extLst>
            </xdr:cNvPr>
            <xdr:cNvCxnSpPr>
              <a:cxnSpLocks/>
            </xdr:cNvCxnSpPr>
          </xdr:nvCxnSpPr>
          <xdr:spPr>
            <a:xfrm>
              <a:off x="1669058" y="4477371"/>
              <a:ext cx="5254616"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600-000051000000}"/>
                </a:ext>
              </a:extLst>
            </xdr:cNvPr>
            <xdr:cNvCxnSpPr>
              <a:cxnSpLocks/>
            </xdr:cNvCxnSpPr>
          </xdr:nvCxnSpPr>
          <xdr:spPr>
            <a:xfrm>
              <a:off x="1600264" y="2184219"/>
              <a:ext cx="3356713"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600-000052000000}"/>
                </a:ext>
              </a:extLst>
            </xdr:cNvPr>
            <xdr:cNvCxnSpPr>
              <a:cxnSpLocks/>
            </xdr:cNvCxnSpPr>
          </xdr:nvCxnSpPr>
          <xdr:spPr>
            <a:xfrm>
              <a:off x="5300365" y="2175147"/>
              <a:ext cx="1678357"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600-000053000000}"/>
                </a:ext>
              </a:extLst>
            </xdr:cNvPr>
            <xdr:cNvCxnSpPr>
              <a:cxnSpLocks/>
            </xdr:cNvCxnSpPr>
          </xdr:nvCxnSpPr>
          <xdr:spPr>
            <a:xfrm>
              <a:off x="7311398" y="2166074"/>
              <a:ext cx="1678357"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600-000054000000}"/>
                </a:ext>
              </a:extLst>
            </xdr:cNvPr>
            <xdr:cNvCxnSpPr>
              <a:cxnSpLocks/>
            </xdr:cNvCxnSpPr>
          </xdr:nvCxnSpPr>
          <xdr:spPr>
            <a:xfrm>
              <a:off x="7271894" y="4477371"/>
              <a:ext cx="1678357" cy="0"/>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sp macro="" textlink="">
          <xdr:nvSpPr>
            <xdr:cNvPr id="85" name="Rectangle: Rounded Corners 84">
              <a:extLst>
                <a:ext uri="{FF2B5EF4-FFF2-40B4-BE49-F238E27FC236}">
                  <a16:creationId xmlns:a16="http://schemas.microsoft.com/office/drawing/2014/main" id="{00000000-0008-0000-0600-000055000000}"/>
                </a:ext>
              </a:extLst>
            </xdr:cNvPr>
            <xdr:cNvSpPr/>
          </xdr:nvSpPr>
          <xdr:spPr>
            <a:xfrm>
              <a:off x="9145596" y="3438501"/>
              <a:ext cx="2844929" cy="3011438"/>
            </a:xfrm>
            <a:prstGeom prst="roundRect">
              <a:avLst>
                <a:gd name="adj" fmla="val 4410"/>
              </a:avLst>
            </a:prstGeom>
            <a:gradFill>
              <a:gsLst>
                <a:gs pos="0">
                  <a:schemeClr val="tx1"/>
                </a:gs>
                <a:gs pos="100000">
                  <a:srgbClr val="C00000"/>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latin typeface="Times New Roman" panose="02020603050405020304" pitchFamily="18" charset="0"/>
                <a:cs typeface="Times New Roman" panose="02020603050405020304" pitchFamily="18" charset="0"/>
              </a:endParaRPr>
            </a:p>
          </xdr:txBody>
        </xdr:sp>
        <xdr:cxnSp macro="">
          <xdr:nvCxnSpPr>
            <xdr:cNvPr id="86" name="Straight Connector 85">
              <a:extLst>
                <a:ext uri="{FF2B5EF4-FFF2-40B4-BE49-F238E27FC236}">
                  <a16:creationId xmlns:a16="http://schemas.microsoft.com/office/drawing/2014/main" id="{00000000-0008-0000-0600-000056000000}"/>
                </a:ext>
              </a:extLst>
            </xdr:cNvPr>
            <xdr:cNvCxnSpPr>
              <a:cxnSpLocks/>
            </xdr:cNvCxnSpPr>
          </xdr:nvCxnSpPr>
          <xdr:spPr>
            <a:xfrm flipV="1">
              <a:off x="9289621" y="3665315"/>
              <a:ext cx="2559005" cy="28055"/>
            </a:xfrm>
            <a:prstGeom prst="line">
              <a:avLst/>
            </a:prstGeom>
            <a:ln w="25400">
              <a:solidFill>
                <a:srgbClr val="FFFF00"/>
              </a:solidFill>
            </a:ln>
          </xdr:spPr>
          <xdr:style>
            <a:lnRef idx="1">
              <a:schemeClr val="accent1"/>
            </a:lnRef>
            <a:fillRef idx="0">
              <a:schemeClr val="accent1"/>
            </a:fillRef>
            <a:effectRef idx="0">
              <a:schemeClr val="accent1"/>
            </a:effectRef>
            <a:fontRef idx="minor">
              <a:schemeClr val="tx1"/>
            </a:fontRef>
          </xdr:style>
        </xdr:cxnSp>
        <xdr:sp macro="" textlink="">
          <xdr:nvSpPr>
            <xdr:cNvPr id="112" name="Freeform: Shape 111">
              <a:extLst>
                <a:ext uri="{FF2B5EF4-FFF2-40B4-BE49-F238E27FC236}">
                  <a16:creationId xmlns:a16="http://schemas.microsoft.com/office/drawing/2014/main" id="{00000000-0008-0000-0600-000070000000}"/>
                </a:ext>
              </a:extLst>
            </xdr:cNvPr>
            <xdr:cNvSpPr/>
          </xdr:nvSpPr>
          <xdr:spPr>
            <a:xfrm rot="5400000">
              <a:off x="8898933" y="1571249"/>
              <a:ext cx="2046947" cy="1642161"/>
            </a:xfrm>
            <a:custGeom>
              <a:avLst/>
              <a:gdLst>
                <a:gd name="connsiteX0" fmla="*/ 259131 w 1954433"/>
                <a:gd name="connsiteY0" fmla="*/ 1167048 h 1505755"/>
                <a:gd name="connsiteX1" fmla="*/ 259132 w 1954433"/>
                <a:gd name="connsiteY1" fmla="*/ 338711 h 1505755"/>
                <a:gd name="connsiteX2" fmla="*/ 1356104 w 1954433"/>
                <a:gd name="connsiteY2" fmla="*/ 338711 h 1505755"/>
                <a:gd name="connsiteX3" fmla="*/ 1770272 w 1954433"/>
                <a:gd name="connsiteY3" fmla="*/ 752880 h 1505755"/>
                <a:gd name="connsiteX4" fmla="*/ 1356104 w 1954433"/>
                <a:gd name="connsiteY4" fmla="*/ 1167048 h 1505755"/>
                <a:gd name="connsiteX5" fmla="*/ 259131 w 1954433"/>
                <a:gd name="connsiteY5" fmla="*/ 1167049 h 1505755"/>
                <a:gd name="connsiteX6" fmla="*/ 1356104 w 1954433"/>
                <a:gd name="connsiteY6" fmla="*/ 1167049 h 1505755"/>
                <a:gd name="connsiteX7" fmla="*/ 1770273 w 1954433"/>
                <a:gd name="connsiteY7" fmla="*/ 752881 h 1505755"/>
                <a:gd name="connsiteX8" fmla="*/ 1770272 w 1954433"/>
                <a:gd name="connsiteY8" fmla="*/ 752880 h 1505755"/>
                <a:gd name="connsiteX9" fmla="*/ 1770273 w 1954433"/>
                <a:gd name="connsiteY9" fmla="*/ 752880 h 1505755"/>
                <a:gd name="connsiteX10" fmla="*/ 1356104 w 1954433"/>
                <a:gd name="connsiteY10" fmla="*/ 338710 h 1505755"/>
                <a:gd name="connsiteX11" fmla="*/ 259132 w 1954433"/>
                <a:gd name="connsiteY11" fmla="*/ 338710 h 1505755"/>
                <a:gd name="connsiteX12" fmla="*/ 259131 w 1954433"/>
                <a:gd name="connsiteY12" fmla="*/ 1167048 h 1505755"/>
                <a:gd name="connsiteX13" fmla="*/ 0 w 1954433"/>
                <a:gd name="connsiteY13" fmla="*/ 1204604 h 1505755"/>
                <a:gd name="connsiteX14" fmla="*/ 0 w 1954433"/>
                <a:gd name="connsiteY14" fmla="*/ 301152 h 1505755"/>
                <a:gd name="connsiteX15" fmla="*/ 249199 w 1954433"/>
                <a:gd name="connsiteY15" fmla="*/ 0 h 1505755"/>
                <a:gd name="connsiteX16" fmla="*/ 249199 w 1954433"/>
                <a:gd name="connsiteY16" fmla="*/ 171303 h 1505755"/>
                <a:gd name="connsiteX17" fmla="*/ 1360433 w 1954433"/>
                <a:gd name="connsiteY17" fmla="*/ 171303 h 1505755"/>
                <a:gd name="connsiteX18" fmla="*/ 1954433 w 1954433"/>
                <a:gd name="connsiteY18" fmla="*/ 765304 h 1505755"/>
                <a:gd name="connsiteX19" fmla="*/ 1360433 w 1954433"/>
                <a:gd name="connsiteY19" fmla="*/ 1359304 h 1505755"/>
                <a:gd name="connsiteX20" fmla="*/ 249198 w 1954433"/>
                <a:gd name="connsiteY20" fmla="*/ 1359304 h 1505755"/>
                <a:gd name="connsiteX21" fmla="*/ 249198 w 1954433"/>
                <a:gd name="connsiteY21" fmla="*/ 1505755 h 15057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954433" h="1505755">
                  <a:moveTo>
                    <a:pt x="259131" y="1167048"/>
                  </a:moveTo>
                  <a:lnTo>
                    <a:pt x="259132" y="338711"/>
                  </a:lnTo>
                  <a:lnTo>
                    <a:pt x="1356104" y="338711"/>
                  </a:lnTo>
                  <a:lnTo>
                    <a:pt x="1770272" y="752880"/>
                  </a:lnTo>
                  <a:lnTo>
                    <a:pt x="1356104" y="1167048"/>
                  </a:lnTo>
                  <a:close/>
                  <a:moveTo>
                    <a:pt x="259131" y="1167049"/>
                  </a:moveTo>
                  <a:lnTo>
                    <a:pt x="1356104" y="1167049"/>
                  </a:lnTo>
                  <a:lnTo>
                    <a:pt x="1770273" y="752881"/>
                  </a:lnTo>
                  <a:lnTo>
                    <a:pt x="1770272" y="752880"/>
                  </a:lnTo>
                  <a:lnTo>
                    <a:pt x="1770273" y="752880"/>
                  </a:lnTo>
                  <a:lnTo>
                    <a:pt x="1356104" y="338710"/>
                  </a:lnTo>
                  <a:lnTo>
                    <a:pt x="259132" y="338710"/>
                  </a:lnTo>
                  <a:lnTo>
                    <a:pt x="259131" y="1167048"/>
                  </a:lnTo>
                  <a:close/>
                  <a:moveTo>
                    <a:pt x="0" y="1204604"/>
                  </a:moveTo>
                  <a:lnTo>
                    <a:pt x="0" y="301152"/>
                  </a:lnTo>
                  <a:lnTo>
                    <a:pt x="249199" y="0"/>
                  </a:lnTo>
                  <a:lnTo>
                    <a:pt x="249199" y="171303"/>
                  </a:lnTo>
                  <a:lnTo>
                    <a:pt x="1360433" y="171303"/>
                  </a:lnTo>
                  <a:lnTo>
                    <a:pt x="1954433" y="765304"/>
                  </a:lnTo>
                  <a:lnTo>
                    <a:pt x="1360433" y="1359304"/>
                  </a:lnTo>
                  <a:lnTo>
                    <a:pt x="249198" y="1359304"/>
                  </a:lnTo>
                  <a:lnTo>
                    <a:pt x="249198" y="1505755"/>
                  </a:lnTo>
                  <a:close/>
                </a:path>
              </a:pathLst>
            </a:custGeom>
            <a:gradFill flip="none" rotWithShape="1">
              <a:gsLst>
                <a:gs pos="100000">
                  <a:srgbClr val="C00000"/>
                </a:gs>
                <a:gs pos="0">
                  <a:schemeClr val="tx1"/>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endParaRPr>
            </a:p>
          </xdr:txBody>
        </xdr:sp>
        <xdr:sp macro="" textlink="">
          <xdr:nvSpPr>
            <xdr:cNvPr id="113" name="Freeform: Shape 112">
              <a:extLst>
                <a:ext uri="{FF2B5EF4-FFF2-40B4-BE49-F238E27FC236}">
                  <a16:creationId xmlns:a16="http://schemas.microsoft.com/office/drawing/2014/main" id="{00000000-0008-0000-0600-000071000000}"/>
                </a:ext>
              </a:extLst>
            </xdr:cNvPr>
            <xdr:cNvSpPr/>
          </xdr:nvSpPr>
          <xdr:spPr>
            <a:xfrm rot="5400000">
              <a:off x="10320121" y="1566729"/>
              <a:ext cx="2046947" cy="1642161"/>
            </a:xfrm>
            <a:custGeom>
              <a:avLst/>
              <a:gdLst>
                <a:gd name="connsiteX0" fmla="*/ 259131 w 1954433"/>
                <a:gd name="connsiteY0" fmla="*/ 1167048 h 1505755"/>
                <a:gd name="connsiteX1" fmla="*/ 259132 w 1954433"/>
                <a:gd name="connsiteY1" fmla="*/ 338711 h 1505755"/>
                <a:gd name="connsiteX2" fmla="*/ 1356104 w 1954433"/>
                <a:gd name="connsiteY2" fmla="*/ 338711 h 1505755"/>
                <a:gd name="connsiteX3" fmla="*/ 1770272 w 1954433"/>
                <a:gd name="connsiteY3" fmla="*/ 752880 h 1505755"/>
                <a:gd name="connsiteX4" fmla="*/ 1356104 w 1954433"/>
                <a:gd name="connsiteY4" fmla="*/ 1167048 h 1505755"/>
                <a:gd name="connsiteX5" fmla="*/ 259131 w 1954433"/>
                <a:gd name="connsiteY5" fmla="*/ 1167049 h 1505755"/>
                <a:gd name="connsiteX6" fmla="*/ 1356104 w 1954433"/>
                <a:gd name="connsiteY6" fmla="*/ 1167049 h 1505755"/>
                <a:gd name="connsiteX7" fmla="*/ 1770273 w 1954433"/>
                <a:gd name="connsiteY7" fmla="*/ 752881 h 1505755"/>
                <a:gd name="connsiteX8" fmla="*/ 1770272 w 1954433"/>
                <a:gd name="connsiteY8" fmla="*/ 752880 h 1505755"/>
                <a:gd name="connsiteX9" fmla="*/ 1770273 w 1954433"/>
                <a:gd name="connsiteY9" fmla="*/ 752880 h 1505755"/>
                <a:gd name="connsiteX10" fmla="*/ 1356104 w 1954433"/>
                <a:gd name="connsiteY10" fmla="*/ 338710 h 1505755"/>
                <a:gd name="connsiteX11" fmla="*/ 259132 w 1954433"/>
                <a:gd name="connsiteY11" fmla="*/ 338710 h 1505755"/>
                <a:gd name="connsiteX12" fmla="*/ 259131 w 1954433"/>
                <a:gd name="connsiteY12" fmla="*/ 1167048 h 1505755"/>
                <a:gd name="connsiteX13" fmla="*/ 0 w 1954433"/>
                <a:gd name="connsiteY13" fmla="*/ 1204604 h 1505755"/>
                <a:gd name="connsiteX14" fmla="*/ 0 w 1954433"/>
                <a:gd name="connsiteY14" fmla="*/ 301152 h 1505755"/>
                <a:gd name="connsiteX15" fmla="*/ 249199 w 1954433"/>
                <a:gd name="connsiteY15" fmla="*/ 0 h 1505755"/>
                <a:gd name="connsiteX16" fmla="*/ 249199 w 1954433"/>
                <a:gd name="connsiteY16" fmla="*/ 171303 h 1505755"/>
                <a:gd name="connsiteX17" fmla="*/ 1360433 w 1954433"/>
                <a:gd name="connsiteY17" fmla="*/ 171303 h 1505755"/>
                <a:gd name="connsiteX18" fmla="*/ 1954433 w 1954433"/>
                <a:gd name="connsiteY18" fmla="*/ 765304 h 1505755"/>
                <a:gd name="connsiteX19" fmla="*/ 1360433 w 1954433"/>
                <a:gd name="connsiteY19" fmla="*/ 1359304 h 1505755"/>
                <a:gd name="connsiteX20" fmla="*/ 249198 w 1954433"/>
                <a:gd name="connsiteY20" fmla="*/ 1359304 h 1505755"/>
                <a:gd name="connsiteX21" fmla="*/ 249198 w 1954433"/>
                <a:gd name="connsiteY21" fmla="*/ 1505755 h 15057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954433" h="1505755">
                  <a:moveTo>
                    <a:pt x="259131" y="1167048"/>
                  </a:moveTo>
                  <a:lnTo>
                    <a:pt x="259132" y="338711"/>
                  </a:lnTo>
                  <a:lnTo>
                    <a:pt x="1356104" y="338711"/>
                  </a:lnTo>
                  <a:lnTo>
                    <a:pt x="1770272" y="752880"/>
                  </a:lnTo>
                  <a:lnTo>
                    <a:pt x="1356104" y="1167048"/>
                  </a:lnTo>
                  <a:close/>
                  <a:moveTo>
                    <a:pt x="259131" y="1167049"/>
                  </a:moveTo>
                  <a:lnTo>
                    <a:pt x="1356104" y="1167049"/>
                  </a:lnTo>
                  <a:lnTo>
                    <a:pt x="1770273" y="752881"/>
                  </a:lnTo>
                  <a:lnTo>
                    <a:pt x="1770272" y="752880"/>
                  </a:lnTo>
                  <a:lnTo>
                    <a:pt x="1770273" y="752880"/>
                  </a:lnTo>
                  <a:lnTo>
                    <a:pt x="1356104" y="338710"/>
                  </a:lnTo>
                  <a:lnTo>
                    <a:pt x="259132" y="338710"/>
                  </a:lnTo>
                  <a:lnTo>
                    <a:pt x="259131" y="1167048"/>
                  </a:lnTo>
                  <a:close/>
                  <a:moveTo>
                    <a:pt x="0" y="1204604"/>
                  </a:moveTo>
                  <a:lnTo>
                    <a:pt x="0" y="301152"/>
                  </a:lnTo>
                  <a:lnTo>
                    <a:pt x="249199" y="0"/>
                  </a:lnTo>
                  <a:lnTo>
                    <a:pt x="249199" y="171303"/>
                  </a:lnTo>
                  <a:lnTo>
                    <a:pt x="1360433" y="171303"/>
                  </a:lnTo>
                  <a:lnTo>
                    <a:pt x="1954433" y="765304"/>
                  </a:lnTo>
                  <a:lnTo>
                    <a:pt x="1360433" y="1359304"/>
                  </a:lnTo>
                  <a:lnTo>
                    <a:pt x="249198" y="1359304"/>
                  </a:lnTo>
                  <a:lnTo>
                    <a:pt x="249198" y="1505755"/>
                  </a:lnTo>
                  <a:close/>
                </a:path>
              </a:pathLst>
            </a:custGeom>
            <a:gradFill flip="none" rotWithShape="1">
              <a:gsLst>
                <a:gs pos="100000">
                  <a:srgbClr val="C00000"/>
                </a:gs>
                <a:gs pos="0">
                  <a:schemeClr val="tx1"/>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solidFill>
                  <a:schemeClr val="bg1"/>
                </a:solidFill>
              </a:endParaRPr>
            </a:p>
          </xdr:txBody>
        </xdr:sp>
      </xdr:grpSp>
      <xdr:sp macro="" textlink="">
        <xdr:nvSpPr>
          <xdr:cNvPr id="123" name="TextBox 122">
            <a:extLst>
              <a:ext uri="{FF2B5EF4-FFF2-40B4-BE49-F238E27FC236}">
                <a16:creationId xmlns:a16="http://schemas.microsoft.com/office/drawing/2014/main" id="{00000000-0008-0000-0600-00007B000000}"/>
              </a:ext>
            </a:extLst>
          </xdr:cNvPr>
          <xdr:cNvSpPr txBox="1"/>
        </xdr:nvSpPr>
        <xdr:spPr>
          <a:xfrm>
            <a:off x="1783080" y="1089660"/>
            <a:ext cx="8610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latin typeface="Times New Roman" panose="02020603050405020304" pitchFamily="18" charset="0"/>
                <a:cs typeface="Times New Roman" panose="02020603050405020304" pitchFamily="18" charset="0"/>
              </a:rPr>
              <a:t>TOTAL SALES</a:t>
            </a:r>
          </a:p>
        </xdr:txBody>
      </xdr:sp>
      <xdr:sp macro="" textlink="">
        <xdr:nvSpPr>
          <xdr:cNvPr id="124" name="TextBox 123">
            <a:extLst>
              <a:ext uri="{FF2B5EF4-FFF2-40B4-BE49-F238E27FC236}">
                <a16:creationId xmlns:a16="http://schemas.microsoft.com/office/drawing/2014/main" id="{00000000-0008-0000-0600-00007C000000}"/>
              </a:ext>
            </a:extLst>
          </xdr:cNvPr>
          <xdr:cNvSpPr txBox="1"/>
        </xdr:nvSpPr>
        <xdr:spPr>
          <a:xfrm>
            <a:off x="4861560" y="1089660"/>
            <a:ext cx="8610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latin typeface="Times New Roman" panose="02020603050405020304" pitchFamily="18" charset="0"/>
                <a:cs typeface="Times New Roman" panose="02020603050405020304" pitchFamily="18" charset="0"/>
              </a:rPr>
              <a:t>TOTAL PROFITS</a:t>
            </a:r>
          </a:p>
        </xdr:txBody>
      </xdr:sp>
      <xdr:sp macro="" textlink="">
        <xdr:nvSpPr>
          <xdr:cNvPr id="125" name="TextBox 124">
            <a:extLst>
              <a:ext uri="{FF2B5EF4-FFF2-40B4-BE49-F238E27FC236}">
                <a16:creationId xmlns:a16="http://schemas.microsoft.com/office/drawing/2014/main" id="{00000000-0008-0000-0600-00007D000000}"/>
              </a:ext>
            </a:extLst>
          </xdr:cNvPr>
          <xdr:cNvSpPr txBox="1"/>
        </xdr:nvSpPr>
        <xdr:spPr>
          <a:xfrm>
            <a:off x="7840980" y="1066800"/>
            <a:ext cx="111252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latin typeface="Times New Roman" panose="02020603050405020304" pitchFamily="18" charset="0"/>
                <a:cs typeface="Times New Roman" panose="02020603050405020304" pitchFamily="18" charset="0"/>
              </a:rPr>
              <a:t>PROFIT MARGIN (%)</a:t>
            </a:r>
          </a:p>
        </xdr:txBody>
      </xdr:sp>
      <mc:AlternateContent xmlns:mc="http://schemas.openxmlformats.org/markup-compatibility/2006" xmlns:a14="http://schemas.microsoft.com/office/drawing/2010/main">
        <mc:Choice Requires="a14">
          <xdr:graphicFrame macro="">
            <xdr:nvGraphicFramePr>
              <xdr:cNvPr id="128" name="YEAR 3">
                <a:extLst>
                  <a:ext uri="{FF2B5EF4-FFF2-40B4-BE49-F238E27FC236}">
                    <a16:creationId xmlns:a16="http://schemas.microsoft.com/office/drawing/2014/main" id="{00000000-0008-0000-0600-000080000000}"/>
                  </a:ext>
                </a:extLst>
              </xdr:cNvPr>
              <xdr:cNvGraphicFramePr/>
            </xdr:nvGraphicFramePr>
            <xdr:xfrm>
              <a:off x="579120" y="1112520"/>
              <a:ext cx="1036320" cy="91440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556260" y="1112520"/>
                <a:ext cx="103632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9" name="MONTH 3">
                <a:extLst>
                  <a:ext uri="{FF2B5EF4-FFF2-40B4-BE49-F238E27FC236}">
                    <a16:creationId xmlns:a16="http://schemas.microsoft.com/office/drawing/2014/main" id="{00000000-0008-0000-0600-000081000000}"/>
                  </a:ext>
                </a:extLst>
              </xdr:cNvPr>
              <xdr:cNvGraphicFramePr/>
            </xdr:nvGraphicFramePr>
            <xdr:xfrm>
              <a:off x="510540" y="2225040"/>
              <a:ext cx="1188720" cy="315468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487680" y="2225040"/>
                <a:ext cx="1188720" cy="3154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0" name="PAYMENT MODE 3">
                <a:extLst>
                  <a:ext uri="{FF2B5EF4-FFF2-40B4-BE49-F238E27FC236}">
                    <a16:creationId xmlns:a16="http://schemas.microsoft.com/office/drawing/2014/main" id="{00000000-0008-0000-0600-000082000000}"/>
                  </a:ext>
                </a:extLst>
              </xdr:cNvPr>
              <xdr:cNvGraphicFramePr/>
            </xdr:nvGraphicFramePr>
            <xdr:xfrm>
              <a:off x="4404360" y="327660"/>
              <a:ext cx="2194560" cy="632460"/>
            </xdr:xfrm>
            <a:graphic>
              <a:graphicData uri="http://schemas.microsoft.com/office/drawing/2010/slicer">
                <sle:slicer xmlns:sle="http://schemas.microsoft.com/office/drawing/2010/slicer" name="PAYMENT MODE 3"/>
              </a:graphicData>
            </a:graphic>
          </xdr:graphicFrame>
        </mc:Choice>
        <mc:Fallback xmlns="">
          <xdr:sp macro="" textlink="">
            <xdr:nvSpPr>
              <xdr:cNvPr id="0" name=""/>
              <xdr:cNvSpPr>
                <a:spLocks noTextEdit="1"/>
              </xdr:cNvSpPr>
            </xdr:nvSpPr>
            <xdr:spPr>
              <a:xfrm>
                <a:off x="4381500" y="327660"/>
                <a:ext cx="2194560" cy="632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1" name="SALE TYPE 3">
                <a:extLst>
                  <a:ext uri="{FF2B5EF4-FFF2-40B4-BE49-F238E27FC236}">
                    <a16:creationId xmlns:a16="http://schemas.microsoft.com/office/drawing/2014/main" id="{00000000-0008-0000-0600-000083000000}"/>
                  </a:ext>
                </a:extLst>
              </xdr:cNvPr>
              <xdr:cNvGraphicFramePr/>
            </xdr:nvGraphicFramePr>
            <xdr:xfrm>
              <a:off x="6675120" y="327660"/>
              <a:ext cx="2918460" cy="633600"/>
            </xdr:xfrm>
            <a:graphic>
              <a:graphicData uri="http://schemas.microsoft.com/office/drawing/2010/slicer">
                <sle:slicer xmlns:sle="http://schemas.microsoft.com/office/drawing/2010/slicer" name="SALE TYPE 3"/>
              </a:graphicData>
            </a:graphic>
          </xdr:graphicFrame>
        </mc:Choice>
        <mc:Fallback xmlns="">
          <xdr:sp macro="" textlink="">
            <xdr:nvSpPr>
              <xdr:cNvPr id="0" name=""/>
              <xdr:cNvSpPr>
                <a:spLocks noTextEdit="1"/>
              </xdr:cNvSpPr>
            </xdr:nvSpPr>
            <xdr:spPr>
              <a:xfrm>
                <a:off x="6652260" y="327660"/>
                <a:ext cx="2918460" cy="633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32" name="Graphic 131" descr="Shopping cart with solid fill">
            <a:extLst>
              <a:ext uri="{FF2B5EF4-FFF2-40B4-BE49-F238E27FC236}">
                <a16:creationId xmlns:a16="http://schemas.microsoft.com/office/drawing/2014/main" id="{00000000-0008-0000-0600-00008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167066" y="480061"/>
            <a:ext cx="528725" cy="504000"/>
          </a:xfrm>
          <a:prstGeom prst="rect">
            <a:avLst/>
          </a:prstGeom>
        </xdr:spPr>
      </xdr:pic>
      <xdr:graphicFrame macro="">
        <xdr:nvGraphicFramePr>
          <xdr:cNvPr id="134" name="Chart 133">
            <a:extLst>
              <a:ext uri="{FF2B5EF4-FFF2-40B4-BE49-F238E27FC236}">
                <a16:creationId xmlns:a16="http://schemas.microsoft.com/office/drawing/2014/main" id="{00000000-0008-0000-0600-000086000000}"/>
              </a:ext>
            </a:extLst>
          </xdr:cNvPr>
          <xdr:cNvGraphicFramePr>
            <a:graphicFrameLocks/>
          </xdr:cNvGraphicFramePr>
        </xdr:nvGraphicFramePr>
        <xdr:xfrm>
          <a:off x="1859280" y="1882140"/>
          <a:ext cx="4023360" cy="1569720"/>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mc:Choice xmlns:a14="http://schemas.microsoft.com/office/drawing/2010/main" Requires="a14">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2865120" y="1539240"/>
                <a:ext cx="1082040" cy="35814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4015740" y="1539240"/>
                <a:ext cx="1074420" cy="35814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5158740" y="1539240"/>
                <a:ext cx="1082040" cy="35814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mc:Choice>
        <mc:Fallback/>
      </mc:AlternateContent>
      <xdr:sp macro="" textlink="">
        <xdr:nvSpPr>
          <xdr:cNvPr id="135" name="TextBox 134">
            <a:extLst>
              <a:ext uri="{FF2B5EF4-FFF2-40B4-BE49-F238E27FC236}">
                <a16:creationId xmlns:a16="http://schemas.microsoft.com/office/drawing/2014/main" id="{00000000-0008-0000-0600-000087000000}"/>
              </a:ext>
            </a:extLst>
          </xdr:cNvPr>
          <xdr:cNvSpPr txBox="1"/>
        </xdr:nvSpPr>
        <xdr:spPr>
          <a:xfrm>
            <a:off x="4198620" y="1661160"/>
            <a:ext cx="8991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600" b="1">
                <a:solidFill>
                  <a:schemeClr val="bg1"/>
                </a:solidFill>
                <a:latin typeface="Times New Roman" panose="02020603050405020304" pitchFamily="18" charset="0"/>
                <a:cs typeface="Times New Roman" panose="02020603050405020304" pitchFamily="18" charset="0"/>
              </a:rPr>
              <a:t>TOTAL PROFIT ($)</a:t>
            </a:r>
          </a:p>
          <a:p>
            <a:pPr algn="l"/>
            <a:endParaRPr lang="en-IN" sz="600"/>
          </a:p>
        </xdr:txBody>
      </xdr:sp>
      <xdr:sp macro="" textlink="">
        <xdr:nvSpPr>
          <xdr:cNvPr id="141" name="TextBox 140">
            <a:extLst>
              <a:ext uri="{FF2B5EF4-FFF2-40B4-BE49-F238E27FC236}">
                <a16:creationId xmlns:a16="http://schemas.microsoft.com/office/drawing/2014/main" id="{00000000-0008-0000-0600-00008D000000}"/>
              </a:ext>
            </a:extLst>
          </xdr:cNvPr>
          <xdr:cNvSpPr txBox="1"/>
        </xdr:nvSpPr>
        <xdr:spPr>
          <a:xfrm>
            <a:off x="5334000" y="1653540"/>
            <a:ext cx="678180" cy="17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600" b="1">
                <a:solidFill>
                  <a:schemeClr val="bg1"/>
                </a:solidFill>
                <a:latin typeface="Times New Roman" panose="02020603050405020304" pitchFamily="18" charset="0"/>
                <a:cs typeface="Times New Roman" panose="02020603050405020304" pitchFamily="18" charset="0"/>
              </a:rPr>
              <a:t>PROFIT</a:t>
            </a:r>
            <a:r>
              <a:rPr lang="en-IN" sz="700" b="1">
                <a:solidFill>
                  <a:schemeClr val="bg1"/>
                </a:solidFill>
                <a:latin typeface="Times New Roman" panose="02020603050405020304" pitchFamily="18" charset="0"/>
                <a:cs typeface="Times New Roman" panose="02020603050405020304" pitchFamily="18" charset="0"/>
              </a:rPr>
              <a:t> (%)</a:t>
            </a:r>
          </a:p>
          <a:p>
            <a:pPr algn="l"/>
            <a:endParaRPr lang="en-IN" sz="700"/>
          </a:p>
        </xdr:txBody>
      </xdr:sp>
      <xdr:sp macro="" textlink="">
        <xdr:nvSpPr>
          <xdr:cNvPr id="143" name="TextBox 142">
            <a:extLst>
              <a:ext uri="{FF2B5EF4-FFF2-40B4-BE49-F238E27FC236}">
                <a16:creationId xmlns:a16="http://schemas.microsoft.com/office/drawing/2014/main" id="{00000000-0008-0000-0600-00008F000000}"/>
              </a:ext>
            </a:extLst>
          </xdr:cNvPr>
          <xdr:cNvSpPr txBox="1"/>
        </xdr:nvSpPr>
        <xdr:spPr>
          <a:xfrm>
            <a:off x="3063240" y="1630680"/>
            <a:ext cx="97536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600" b="1">
                <a:solidFill>
                  <a:schemeClr val="bg1"/>
                </a:solidFill>
                <a:latin typeface="Times New Roman" panose="02020603050405020304" pitchFamily="18" charset="0"/>
                <a:cs typeface="Times New Roman" panose="02020603050405020304" pitchFamily="18" charset="0"/>
              </a:rPr>
              <a:t>TOTAL SALES ($)</a:t>
            </a:r>
          </a:p>
          <a:p>
            <a:pPr algn="l"/>
            <a:endParaRPr lang="en-IN" sz="600"/>
          </a:p>
        </xdr:txBody>
      </xdr:sp>
      <xdr:graphicFrame macro="">
        <xdr:nvGraphicFramePr>
          <xdr:cNvPr id="145" name="Chart 144">
            <a:extLst>
              <a:ext uri="{FF2B5EF4-FFF2-40B4-BE49-F238E27FC236}">
                <a16:creationId xmlns:a16="http://schemas.microsoft.com/office/drawing/2014/main" id="{00000000-0008-0000-0600-000091000000}"/>
              </a:ext>
            </a:extLst>
          </xdr:cNvPr>
          <xdr:cNvGraphicFramePr>
            <a:graphicFrameLocks/>
          </xdr:cNvGraphicFramePr>
        </xdr:nvGraphicFramePr>
        <xdr:xfrm>
          <a:off x="1988820" y="3802380"/>
          <a:ext cx="6179820" cy="153162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46" name="Chart 145">
            <a:extLst>
              <a:ext uri="{FF2B5EF4-FFF2-40B4-BE49-F238E27FC236}">
                <a16:creationId xmlns:a16="http://schemas.microsoft.com/office/drawing/2014/main" id="{00000000-0008-0000-0600-000092000000}"/>
              </a:ext>
            </a:extLst>
          </xdr:cNvPr>
          <xdr:cNvGraphicFramePr>
            <a:graphicFrameLocks/>
          </xdr:cNvGraphicFramePr>
        </xdr:nvGraphicFramePr>
        <xdr:xfrm>
          <a:off x="6134100" y="1882140"/>
          <a:ext cx="2194560" cy="158496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47" name="TextBox 146">
            <a:extLst>
              <a:ext uri="{FF2B5EF4-FFF2-40B4-BE49-F238E27FC236}">
                <a16:creationId xmlns:a16="http://schemas.microsoft.com/office/drawing/2014/main" id="{00000000-0008-0000-0600-000093000000}"/>
              </a:ext>
            </a:extLst>
          </xdr:cNvPr>
          <xdr:cNvSpPr txBox="1"/>
        </xdr:nvSpPr>
        <xdr:spPr>
          <a:xfrm>
            <a:off x="6819900" y="1676400"/>
            <a:ext cx="982980" cy="144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a:solidFill>
                  <a:schemeClr val="bg1"/>
                </a:solidFill>
                <a:latin typeface="Times New Roman" panose="02020603050405020304" pitchFamily="18" charset="0"/>
                <a:cs typeface="Times New Roman" panose="02020603050405020304" pitchFamily="18" charset="0"/>
              </a:rPr>
              <a:t>SALES TYPE</a:t>
            </a:r>
          </a:p>
          <a:p>
            <a:pPr algn="l"/>
            <a:endParaRPr lang="en-IN" sz="800"/>
          </a:p>
        </xdr:txBody>
      </xdr:sp>
      <xdr:graphicFrame macro="">
        <xdr:nvGraphicFramePr>
          <xdr:cNvPr id="50" name="Chart 49">
            <a:extLst>
              <a:ext uri="{FF2B5EF4-FFF2-40B4-BE49-F238E27FC236}">
                <a16:creationId xmlns:a16="http://schemas.microsoft.com/office/drawing/2014/main" id="{00000000-0008-0000-0600-000032000000}"/>
              </a:ext>
            </a:extLst>
          </xdr:cNvPr>
          <xdr:cNvGraphicFramePr>
            <a:graphicFrameLocks/>
          </xdr:cNvGraphicFramePr>
        </xdr:nvGraphicFramePr>
        <xdr:xfrm>
          <a:off x="8801100" y="1813560"/>
          <a:ext cx="1958340" cy="1668780"/>
        </xdr:xfrm>
        <a:graphic>
          <a:graphicData uri="http://schemas.openxmlformats.org/drawingml/2006/chart">
            <c:chart xmlns:c="http://schemas.openxmlformats.org/drawingml/2006/chart" xmlns:r="http://schemas.openxmlformats.org/officeDocument/2006/relationships" r:id="rId7"/>
          </a:graphicData>
        </a:graphic>
      </xdr:graphicFrame>
      <mc:AlternateContent xmlns:mc="http://schemas.openxmlformats.org/markup-compatibility/2006">
        <mc:Choice xmlns:a14="http://schemas.microsoft.com/office/drawing/2010/main" Requires="a14">
          <xdr:sp macro="" textlink="">
            <xdr:nvSpPr>
              <xdr:cNvPr id="12293" name="Scroll Bar 5" descr="SCROLL HERE&#10;"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8526780" y="1996440"/>
                <a:ext cx="297180" cy="1356360"/>
              </a:xfrm>
              <a:prstGeom prst="rect">
                <a:avLst/>
              </a:prstGeom>
              <a:noFill/>
              <a:ln w="9525">
                <a:miter lim="800000"/>
                <a:headEnd/>
                <a:tailEnd/>
              </a:ln>
            </xdr:spPr>
          </xdr:sp>
        </mc:Choice>
        <mc:Fallback/>
      </mc:AlternateContent>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9166860" y="1645920"/>
            <a:ext cx="89916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a:solidFill>
                  <a:schemeClr val="bg1"/>
                </a:solidFill>
                <a:latin typeface="Times New Roman" panose="02020603050405020304" pitchFamily="18" charset="0"/>
                <a:cs typeface="Times New Roman" panose="02020603050405020304" pitchFamily="18" charset="0"/>
              </a:rPr>
              <a:t>PRODUCT</a:t>
            </a:r>
          </a:p>
          <a:p>
            <a:pPr algn="l"/>
            <a:endParaRPr lang="en-IN" sz="800"/>
          </a:p>
        </xdr:txBody>
      </xdr:sp>
      <xdr:pic>
        <xdr:nvPicPr>
          <xdr:cNvPr id="52" name="Graphic 51" descr="Presentation with bar chart with solid fill">
            <a:extLst>
              <a:ext uri="{FF2B5EF4-FFF2-40B4-BE49-F238E27FC236}">
                <a16:creationId xmlns:a16="http://schemas.microsoft.com/office/drawing/2014/main" id="{00000000-0008-0000-0600-00003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1501" y="457201"/>
            <a:ext cx="528725" cy="504000"/>
          </a:xfrm>
          <a:prstGeom prst="rect">
            <a:avLst/>
          </a:prstGeom>
        </xdr:spPr>
      </xdr:pic>
      <xdr:pic>
        <xdr:nvPicPr>
          <xdr:cNvPr id="53" name="Graphic 52" descr="Money with solid fill">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046220" y="1082040"/>
            <a:ext cx="528725" cy="504000"/>
          </a:xfrm>
          <a:prstGeom prst="rect">
            <a:avLst/>
          </a:prstGeom>
        </xdr:spPr>
      </xdr:pic>
      <xdr:pic>
        <xdr:nvPicPr>
          <xdr:cNvPr id="56" name="Graphic 55" descr="Bar graph with upward trend with solid fill">
            <a:extLst>
              <a:ext uri="{FF2B5EF4-FFF2-40B4-BE49-F238E27FC236}">
                <a16:creationId xmlns:a16="http://schemas.microsoft.com/office/drawing/2014/main" id="{00000000-0008-0000-0600-000038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7094221" y="1082040"/>
            <a:ext cx="528725" cy="504000"/>
          </a:xfrm>
          <a:prstGeom prst="rect">
            <a:avLst/>
          </a:prstGeom>
        </xdr:spPr>
      </xdr:pic>
      <xdr:pic>
        <xdr:nvPicPr>
          <xdr:cNvPr id="57" name="Graphic 56" descr="Piggy Bank with solid fill">
            <a:extLst>
              <a:ext uri="{FF2B5EF4-FFF2-40B4-BE49-F238E27FC236}">
                <a16:creationId xmlns:a16="http://schemas.microsoft.com/office/drawing/2014/main" id="{00000000-0008-0000-0600-00003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96502" y="1082040"/>
            <a:ext cx="528725" cy="504000"/>
          </a:xfrm>
          <a:prstGeom prst="rect">
            <a:avLst/>
          </a:prstGeom>
        </xdr:spPr>
      </xdr:pic>
      <xdr:pic>
        <xdr:nvPicPr>
          <xdr:cNvPr id="58" name="Graphic 57" descr="Flip calendar with solid fill">
            <a:extLst>
              <a:ext uri="{FF2B5EF4-FFF2-40B4-BE49-F238E27FC236}">
                <a16:creationId xmlns:a16="http://schemas.microsoft.com/office/drawing/2014/main" id="{00000000-0008-0000-0600-00003A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866903" y="1569720"/>
            <a:ext cx="320037" cy="286582"/>
          </a:xfrm>
          <a:prstGeom prst="rect">
            <a:avLst/>
          </a:prstGeom>
        </xdr:spPr>
      </xdr:pic>
      <xdr:sp macro="" textlink="">
        <xdr:nvSpPr>
          <xdr:cNvPr id="59" name="TextBox 58">
            <a:extLst>
              <a:ext uri="{FF2B5EF4-FFF2-40B4-BE49-F238E27FC236}">
                <a16:creationId xmlns:a16="http://schemas.microsoft.com/office/drawing/2014/main" id="{00000000-0008-0000-0600-00003B000000}"/>
              </a:ext>
            </a:extLst>
          </xdr:cNvPr>
          <xdr:cNvSpPr txBox="1"/>
        </xdr:nvSpPr>
        <xdr:spPr>
          <a:xfrm>
            <a:off x="2118360" y="1607820"/>
            <a:ext cx="7467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800" b="1">
                <a:solidFill>
                  <a:schemeClr val="bg1"/>
                </a:solidFill>
                <a:latin typeface="Times New Roman" panose="02020603050405020304" pitchFamily="18" charset="0"/>
                <a:cs typeface="Times New Roman" panose="02020603050405020304" pitchFamily="18" charset="0"/>
              </a:rPr>
              <a:t>MONTHLY</a:t>
            </a:r>
          </a:p>
          <a:p>
            <a:pPr algn="l"/>
            <a:endParaRPr lang="en-IN" sz="800"/>
          </a:p>
        </xdr:txBody>
      </xdr:sp>
      <xdr:pic>
        <xdr:nvPicPr>
          <xdr:cNvPr id="68" name="Graphic 67" descr="Continuous Improvement with solid fill">
            <a:extLst>
              <a:ext uri="{FF2B5EF4-FFF2-40B4-BE49-F238E27FC236}">
                <a16:creationId xmlns:a16="http://schemas.microsoft.com/office/drawing/2014/main" id="{00000000-0008-0000-0600-000044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286501" y="1584961"/>
            <a:ext cx="279782" cy="266699"/>
          </a:xfrm>
          <a:prstGeom prst="rect">
            <a:avLst/>
          </a:prstGeom>
        </xdr:spPr>
      </xdr:pic>
      <xdr:pic>
        <xdr:nvPicPr>
          <xdr:cNvPr id="69" name="Graphic 68" descr="Online Network with solid fill">
            <a:extLst>
              <a:ext uri="{FF2B5EF4-FFF2-40B4-BE49-F238E27FC236}">
                <a16:creationId xmlns:a16="http://schemas.microsoft.com/office/drawing/2014/main" id="{00000000-0008-0000-0600-00004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656320" y="1632402"/>
            <a:ext cx="242605" cy="178263"/>
          </a:xfrm>
          <a:prstGeom prst="rect">
            <a:avLst/>
          </a:prstGeom>
        </xdr:spPr>
      </xdr:pic>
      <xdr:pic>
        <xdr:nvPicPr>
          <xdr:cNvPr id="70" name="Graphic 69" descr="Daily calendar with solid fill">
            <a:extLst>
              <a:ext uri="{FF2B5EF4-FFF2-40B4-BE49-F238E27FC236}">
                <a16:creationId xmlns:a16="http://schemas.microsoft.com/office/drawing/2014/main" id="{00000000-0008-0000-0600-000046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988037" y="3543300"/>
            <a:ext cx="238780" cy="203654"/>
          </a:xfrm>
          <a:prstGeom prst="rect">
            <a:avLst/>
          </a:prstGeom>
        </xdr:spPr>
      </xdr:pic>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2179320" y="3558540"/>
            <a:ext cx="66294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800" b="1">
                <a:solidFill>
                  <a:schemeClr val="bg1"/>
                </a:solidFill>
                <a:latin typeface="Times New Roman" panose="02020603050405020304" pitchFamily="18" charset="0"/>
                <a:cs typeface="Times New Roman" panose="02020603050405020304" pitchFamily="18" charset="0"/>
              </a:rPr>
              <a:t>DAILY</a:t>
            </a:r>
          </a:p>
          <a:p>
            <a:pPr algn="l"/>
            <a:endParaRPr lang="en-IN" sz="800"/>
          </a:p>
        </xdr:txBody>
      </xdr:sp>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8481060" y="3779520"/>
          <a:ext cx="2240280" cy="1607820"/>
        </xdr:xfrm>
        <a:graphic>
          <a:graphicData uri="http://schemas.openxmlformats.org/drawingml/2006/chart">
            <c:chart xmlns:c="http://schemas.openxmlformats.org/drawingml/2006/chart" xmlns:r="http://schemas.openxmlformats.org/officeDocument/2006/relationships" r:id="rId24"/>
          </a:graphicData>
        </a:graphic>
      </xdr:graphicFrame>
      <mc:AlternateContent xmlns:mc="http://schemas.openxmlformats.org/markup-compatibility/2006">
        <mc:Choice xmlns:cx1="http://schemas.microsoft.com/office/drawing/2015/9/8/chartex" Requires="cx1">
          <xdr:graphicFrame macro="">
            <xdr:nvGraphicFramePr>
              <xdr:cNvPr id="73" name="Chart 72">
                <a:extLst>
                  <a:ext uri="{FF2B5EF4-FFF2-40B4-BE49-F238E27FC236}">
                    <a16:creationId xmlns:a16="http://schemas.microsoft.com/office/drawing/2014/main" id="{00000000-0008-0000-0600-000049000000}"/>
                  </a:ext>
                </a:extLst>
              </xdr:cNvPr>
              <xdr:cNvGraphicFramePr/>
            </xdr:nvGraphicFramePr>
            <xdr:xfrm>
              <a:off x="10850880" y="3131820"/>
              <a:ext cx="3314700" cy="226314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10850880" y="3131820"/>
                <a:ext cx="3314700" cy="226314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pic>
        <xdr:nvPicPr>
          <xdr:cNvPr id="74" name="Graphic 73" descr="Register with solid fill">
            <a:extLst>
              <a:ext uri="{FF2B5EF4-FFF2-40B4-BE49-F238E27FC236}">
                <a16:creationId xmlns:a16="http://schemas.microsoft.com/office/drawing/2014/main" id="{00000000-0008-0000-0600-00004A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8641080" y="3579262"/>
            <a:ext cx="188841" cy="180010"/>
          </a:xfrm>
          <a:prstGeom prst="rect">
            <a:avLst/>
          </a:prstGeom>
        </xdr:spPr>
      </xdr:pic>
      <xdr:sp macro="" textlink="">
        <xdr:nvSpPr>
          <xdr:cNvPr id="75" name="TextBox 74">
            <a:extLst>
              <a:ext uri="{FF2B5EF4-FFF2-40B4-BE49-F238E27FC236}">
                <a16:creationId xmlns:a16="http://schemas.microsoft.com/office/drawing/2014/main" id="{00000000-0008-0000-0600-00004B000000}"/>
              </a:ext>
            </a:extLst>
          </xdr:cNvPr>
          <xdr:cNvSpPr txBox="1"/>
        </xdr:nvSpPr>
        <xdr:spPr>
          <a:xfrm>
            <a:off x="9144000" y="3596640"/>
            <a:ext cx="105918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800" b="1">
                <a:solidFill>
                  <a:schemeClr val="bg1"/>
                </a:solidFill>
                <a:latin typeface="Times New Roman" panose="02020603050405020304" pitchFamily="18" charset="0"/>
                <a:cs typeface="Times New Roman" panose="02020603050405020304" pitchFamily="18" charset="0"/>
              </a:rPr>
              <a:t>PAYMENT</a:t>
            </a:r>
            <a:r>
              <a:rPr lang="en-IN" sz="800" b="1" baseline="0">
                <a:solidFill>
                  <a:schemeClr val="bg1"/>
                </a:solidFill>
                <a:latin typeface="Times New Roman" panose="02020603050405020304" pitchFamily="18" charset="0"/>
                <a:cs typeface="Times New Roman" panose="02020603050405020304" pitchFamily="18" charset="0"/>
              </a:rPr>
              <a:t> MODE</a:t>
            </a:r>
            <a:endParaRPr lang="en-IN" sz="800" b="1">
              <a:solidFill>
                <a:schemeClr val="bg1"/>
              </a:solidFill>
              <a:latin typeface="Times New Roman" panose="02020603050405020304" pitchFamily="18" charset="0"/>
              <a:cs typeface="Times New Roman" panose="02020603050405020304" pitchFamily="18" charset="0"/>
            </a:endParaRPr>
          </a:p>
        </xdr:txBody>
      </xdr:sp>
      <xdr:sp macro="" textlink="">
        <xdr:nvSpPr>
          <xdr:cNvPr id="116" name="TextBox 115">
            <a:extLst>
              <a:ext uri="{FF2B5EF4-FFF2-40B4-BE49-F238E27FC236}">
                <a16:creationId xmlns:a16="http://schemas.microsoft.com/office/drawing/2014/main" id="{00000000-0008-0000-0600-000074000000}"/>
              </a:ext>
            </a:extLst>
          </xdr:cNvPr>
          <xdr:cNvSpPr txBox="1"/>
        </xdr:nvSpPr>
        <xdr:spPr>
          <a:xfrm>
            <a:off x="12199620" y="2933700"/>
            <a:ext cx="96012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800" b="1">
                <a:solidFill>
                  <a:schemeClr val="bg1"/>
                </a:solidFill>
                <a:latin typeface="Times New Roman" panose="02020603050405020304" pitchFamily="18" charset="0"/>
                <a:cs typeface="Times New Roman" panose="02020603050405020304" pitchFamily="18" charset="0"/>
              </a:rPr>
              <a:t>CATEGORY</a:t>
            </a:r>
          </a:p>
        </xdr:txBody>
      </xdr:sp>
      <xdr:pic>
        <xdr:nvPicPr>
          <xdr:cNvPr id="117" name="Graphic 116" descr="Pyramid with levels with solid fill">
            <a:extLst>
              <a:ext uri="{FF2B5EF4-FFF2-40B4-BE49-F238E27FC236}">
                <a16:creationId xmlns:a16="http://schemas.microsoft.com/office/drawing/2014/main" id="{00000000-0008-0000-0600-000075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10957560" y="2883704"/>
            <a:ext cx="277155" cy="264194"/>
          </a:xfrm>
          <a:prstGeom prst="rect">
            <a:avLst/>
          </a:prstGeom>
        </xdr:spPr>
      </xdr:pic>
      <xdr:pic>
        <xdr:nvPicPr>
          <xdr:cNvPr id="118" name="Graphic 117" descr="Trophy with solid fill">
            <a:extLst>
              <a:ext uri="{FF2B5EF4-FFF2-40B4-BE49-F238E27FC236}">
                <a16:creationId xmlns:a16="http://schemas.microsoft.com/office/drawing/2014/main" id="{00000000-0008-0000-0600-000076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1536680" y="2189295"/>
            <a:ext cx="396240" cy="377710"/>
          </a:xfrm>
          <a:prstGeom prst="rect">
            <a:avLst/>
          </a:prstGeom>
        </xdr:spPr>
      </xdr:pic>
      <xdr:pic>
        <xdr:nvPicPr>
          <xdr:cNvPr id="119" name="Graphic 118" descr="Ribbon with solid fill">
            <a:extLst>
              <a:ext uri="{FF2B5EF4-FFF2-40B4-BE49-F238E27FC236}">
                <a16:creationId xmlns:a16="http://schemas.microsoft.com/office/drawing/2014/main" id="{00000000-0008-0000-0600-000077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3215842" y="2148839"/>
            <a:ext cx="437865" cy="417389"/>
          </a:xfrm>
          <a:prstGeom prst="rect">
            <a:avLst/>
          </a:prstGeom>
        </xdr:spPr>
      </xdr:pic>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1209020" y="1379220"/>
            <a:ext cx="10668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a:solidFill>
                  <a:schemeClr val="bg1"/>
                </a:solidFill>
                <a:latin typeface="Times New Roman" panose="02020603050405020304" pitchFamily="18" charset="0"/>
                <a:cs typeface="Times New Roman" panose="02020603050405020304" pitchFamily="18" charset="0"/>
              </a:rPr>
              <a:t>TOP PRODUCT</a:t>
            </a:r>
          </a:p>
        </xdr:txBody>
      </xdr:sp>
      <xdr:sp macro="" textlink="'DATA ANALYSIS AND PIVOTS'!BF3">
        <xdr:nvSpPr>
          <xdr:cNvPr id="76" name="TextBox 75">
            <a:extLst>
              <a:ext uri="{FF2B5EF4-FFF2-40B4-BE49-F238E27FC236}">
                <a16:creationId xmlns:a16="http://schemas.microsoft.com/office/drawing/2014/main" id="{00000000-0008-0000-0600-00004C000000}"/>
              </a:ext>
            </a:extLst>
          </xdr:cNvPr>
          <xdr:cNvSpPr txBox="1"/>
        </xdr:nvSpPr>
        <xdr:spPr>
          <a:xfrm>
            <a:off x="11209020" y="1661160"/>
            <a:ext cx="10668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7AC5E9-B741-4C8E-8924-4EA613F4729B}" type="TxLink">
              <a:rPr lang="en-US" sz="900" b="1" i="0" u="none" strike="noStrike">
                <a:solidFill>
                  <a:schemeClr val="bg1"/>
                </a:solidFill>
                <a:latin typeface="Times New Roman" panose="02020603050405020304" pitchFamily="18" charset="0"/>
                <a:cs typeface="Times New Roman" panose="02020603050405020304" pitchFamily="18" charset="0"/>
              </a:rPr>
              <a:pPr algn="ctr"/>
              <a:t>Product41</a:t>
            </a:fld>
            <a:endParaRPr lang="en-IN" sz="900" b="1">
              <a:solidFill>
                <a:schemeClr val="bg1"/>
              </a:solidFill>
              <a:latin typeface="Times New Roman" panose="02020603050405020304" pitchFamily="18" charset="0"/>
              <a:cs typeface="Times New Roman" panose="02020603050405020304" pitchFamily="18" charset="0"/>
            </a:endParaRPr>
          </a:p>
        </xdr:txBody>
      </xdr:sp>
      <xdr:sp macro="" textlink="'DATA ANALYSIS AND PIVOTS'!BF2">
        <xdr:nvSpPr>
          <xdr:cNvPr id="77" name="TextBox 76">
            <a:extLst>
              <a:ext uri="{FF2B5EF4-FFF2-40B4-BE49-F238E27FC236}">
                <a16:creationId xmlns:a16="http://schemas.microsoft.com/office/drawing/2014/main" id="{00000000-0008-0000-0600-00004D000000}"/>
              </a:ext>
            </a:extLst>
          </xdr:cNvPr>
          <xdr:cNvSpPr txBox="1"/>
        </xdr:nvSpPr>
        <xdr:spPr>
          <a:xfrm>
            <a:off x="11209020" y="1943100"/>
            <a:ext cx="10668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89E641-EA9D-4FF7-951B-20E8254DF0BA}" type="TxLink">
              <a:rPr lang="en-US" sz="1100" b="1" i="0" u="none" strike="noStrike">
                <a:solidFill>
                  <a:schemeClr val="bg1"/>
                </a:solidFill>
                <a:latin typeface="Times New Roman" panose="02020603050405020304" pitchFamily="18" charset="0"/>
                <a:cs typeface="Times New Roman" panose="02020603050405020304" pitchFamily="18" charset="0"/>
              </a:rPr>
              <a:pPr algn="ctr"/>
              <a:t>$22,952</a:t>
            </a:fld>
            <a:endParaRPr lang="en-IN" sz="1100" b="1">
              <a:solidFill>
                <a:schemeClr val="bg1"/>
              </a:solidFill>
              <a:latin typeface="Times New Roman" panose="02020603050405020304" pitchFamily="18" charset="0"/>
              <a:cs typeface="Times New Roman" panose="02020603050405020304" pitchFamily="18" charset="0"/>
            </a:endParaRPr>
          </a:p>
        </xdr:txBody>
      </xdr:sp>
      <xdr:sp macro="" textlink="">
        <xdr:nvSpPr>
          <xdr:cNvPr id="78" name="TextBox 77">
            <a:extLst>
              <a:ext uri="{FF2B5EF4-FFF2-40B4-BE49-F238E27FC236}">
                <a16:creationId xmlns:a16="http://schemas.microsoft.com/office/drawing/2014/main" id="{00000000-0008-0000-0600-00004E000000}"/>
              </a:ext>
            </a:extLst>
          </xdr:cNvPr>
          <xdr:cNvSpPr txBox="1"/>
        </xdr:nvSpPr>
        <xdr:spPr>
          <a:xfrm>
            <a:off x="12877800" y="1394460"/>
            <a:ext cx="10668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a:solidFill>
                  <a:schemeClr val="bg1"/>
                </a:solidFill>
                <a:latin typeface="Times New Roman" panose="02020603050405020304" pitchFamily="18" charset="0"/>
                <a:cs typeface="Times New Roman" panose="02020603050405020304" pitchFamily="18" charset="0"/>
              </a:rPr>
              <a:t>TOP CATEGORY</a:t>
            </a:r>
          </a:p>
        </xdr:txBody>
      </xdr:sp>
      <xdr:sp macro="" textlink="'DATA ANALYSIS AND PIVOTS'!AY3">
        <xdr:nvSpPr>
          <xdr:cNvPr id="79" name="TextBox 78">
            <a:extLst>
              <a:ext uri="{FF2B5EF4-FFF2-40B4-BE49-F238E27FC236}">
                <a16:creationId xmlns:a16="http://schemas.microsoft.com/office/drawing/2014/main" id="{00000000-0008-0000-0600-00004F000000}"/>
              </a:ext>
            </a:extLst>
          </xdr:cNvPr>
          <xdr:cNvSpPr txBox="1"/>
        </xdr:nvSpPr>
        <xdr:spPr>
          <a:xfrm>
            <a:off x="12801600" y="1657350"/>
            <a:ext cx="124968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E72396-BA39-413D-A31E-4CC90E31B868}" type="TxLink">
              <a:rPr lang="en-US" sz="800" b="1">
                <a:solidFill>
                  <a:schemeClr val="bg1"/>
                </a:solidFill>
                <a:latin typeface="Times New Roman" panose="02020603050405020304" pitchFamily="18" charset="0"/>
                <a:ea typeface="+mn-ea"/>
                <a:cs typeface="Times New Roman" panose="02020603050405020304" pitchFamily="18" charset="0"/>
              </a:rPr>
              <a:pPr marL="0" indent="0" algn="ctr"/>
              <a:t>Poultry</a:t>
            </a:fld>
            <a:endParaRPr lang="en-IN" sz="800" b="1">
              <a:solidFill>
                <a:schemeClr val="bg1"/>
              </a:solidFill>
              <a:latin typeface="Times New Roman" panose="02020603050405020304" pitchFamily="18" charset="0"/>
              <a:ea typeface="+mn-ea"/>
              <a:cs typeface="Times New Roman" panose="02020603050405020304" pitchFamily="18" charset="0"/>
            </a:endParaRPr>
          </a:p>
        </xdr:txBody>
      </xdr:sp>
      <xdr:sp macro="" textlink="'DATA ANALYSIS AND PIVOTS'!AY2">
        <xdr:nvSpPr>
          <xdr:cNvPr id="87" name="TextBox 86">
            <a:extLst>
              <a:ext uri="{FF2B5EF4-FFF2-40B4-BE49-F238E27FC236}">
                <a16:creationId xmlns:a16="http://schemas.microsoft.com/office/drawing/2014/main" id="{00000000-0008-0000-0600-000057000000}"/>
              </a:ext>
            </a:extLst>
          </xdr:cNvPr>
          <xdr:cNvSpPr txBox="1"/>
        </xdr:nvSpPr>
        <xdr:spPr>
          <a:xfrm>
            <a:off x="12877800" y="1920240"/>
            <a:ext cx="10668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C0672F8-C504-46FB-98A8-61326F347D74}" type="TxLink">
              <a:rPr lang="en-US" sz="1100" b="1" i="0" u="none" strike="noStrike">
                <a:solidFill>
                  <a:schemeClr val="bg1"/>
                </a:solidFill>
                <a:latin typeface="Times New Roman" panose="02020603050405020304" pitchFamily="18" charset="0"/>
                <a:ea typeface="+mn-ea"/>
                <a:cs typeface="Times New Roman" panose="02020603050405020304" pitchFamily="18" charset="0"/>
              </a:rPr>
              <a:pPr marL="0" indent="0" algn="ctr"/>
              <a:t>$52,806</a:t>
            </a:fld>
            <a:endParaRPr lang="en-IN" sz="1100" b="1" i="0" u="none" strike="noStrike">
              <a:solidFill>
                <a:schemeClr val="bg1"/>
              </a:solidFill>
              <a:latin typeface="Times New Roman" panose="02020603050405020304" pitchFamily="18" charset="0"/>
              <a:ea typeface="+mn-ea"/>
              <a:cs typeface="Times New Roman" panose="02020603050405020304" pitchFamily="18" charset="0"/>
            </a:endParaRP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KUMAR SRI SATYAJIT BHOI" id="{A2495605-B309-488C-908A-0A18332BD6D8}" userId="996da34994c5b45c"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4768.680227662036" createdVersion="8" refreshedVersion="8" minRefreshableVersion="3" recordCount="527" xr:uid="{77A02765-3265-4854-81FA-421CDBADD254}">
  <cacheSource type="worksheet">
    <worksheetSource ref="A1:R528" sheet="FINAL DATA OUTPUT"/>
  </cacheSource>
  <cacheFields count="19">
    <cacheField name="DATE" numFmtId="14">
      <sharedItems containsSemiMixedTypes="0" containsNonDate="0" containsDate="1" containsString="0" minDate="2021-01-01T00:00:00" maxDate="2023-01-01T00:00:00"/>
    </cacheField>
    <cacheField name="PRODUCT ID" numFmtId="0">
      <sharedItems/>
    </cacheField>
    <cacheField name="PRODUCT" numFmtId="0">
      <sharedItems count="44">
        <s v="Product24"/>
        <s v="Product38"/>
        <s v="Product13"/>
        <s v="Product04"/>
        <s v="Product35"/>
        <s v="Product31"/>
        <s v="Product03"/>
        <s v="Product25"/>
        <s v="Product37"/>
        <s v="Product14"/>
        <s v="Product42"/>
        <s v="Product44"/>
        <s v="Product23"/>
        <s v="Product34"/>
        <s v="Product20"/>
        <s v="Product06"/>
        <s v="Product01"/>
        <s v="Product40"/>
        <s v="Product32"/>
        <s v="Product29"/>
        <s v="Product10"/>
        <s v="Product16"/>
        <s v="Product22"/>
        <s v="Product43"/>
        <s v="Product05"/>
        <s v="Product08"/>
        <s v="Product27"/>
        <s v="Product15"/>
        <s v="Product30"/>
        <s v="Product02"/>
        <s v="Product18"/>
        <s v="Product11"/>
        <s v="Product21"/>
        <s v="Product28"/>
        <s v="Product39"/>
        <s v="Product12"/>
        <s v="Product07"/>
        <s v="Product09"/>
        <s v="Product33"/>
        <s v="Product17"/>
        <s v="Product19"/>
        <s v="Product41"/>
        <s v="Product26"/>
        <s v="Product36"/>
      </sharedItems>
    </cacheField>
    <cacheField name="CATEGORY" numFmtId="0">
      <sharedItems count="9">
        <s v="Seafood"/>
        <s v="Snacks"/>
        <s v="Meat"/>
        <s v="Organic"/>
        <s v="Bakery And Desserts"/>
        <s v="Cheese And Dairy"/>
        <s v="Candy"/>
        <s v="Poultry"/>
        <s v="Gourmet Foods"/>
      </sharedItems>
    </cacheField>
    <cacheField name="UOM" numFmtId="0">
      <sharedItems/>
    </cacheField>
    <cacheField name="BUYING PRIZE" numFmtId="0">
      <sharedItems containsSemiMixedTypes="0" containsString="0" containsNumber="1" containsInteger="1" minValue="5" maxValue="150"/>
    </cacheField>
    <cacheField name="SELLING PRICE" numFmtId="0">
      <sharedItems containsSemiMixedTypes="0" containsString="0" containsNumber="1" minValue="6.7" maxValue="210"/>
    </cacheField>
    <cacheField name="QUANTITY" numFmtId="0">
      <sharedItems containsSemiMixedTypes="0" containsString="0" containsNumber="1" containsInteger="1" minValue="1" maxValue="15"/>
    </cacheField>
    <cacheField name="SALE TYPE" numFmtId="0">
      <sharedItems count="3">
        <s v="Wholesaler"/>
        <s v="Online"/>
        <s v="Direct Sales"/>
      </sharedItems>
    </cacheField>
    <cacheField name="PAYMENT MODE" numFmtId="0">
      <sharedItems count="2">
        <s v="Online"/>
        <s v="Cash"/>
      </sharedItems>
    </cacheField>
    <cacheField name="DISCOUNT %" numFmtId="0">
      <sharedItems containsSemiMixedTypes="0" containsString="0" containsNumber="1" containsInteger="1" minValue="0" maxValue="0"/>
    </cacheField>
    <cacheField name="FINAL BUY PRICE" numFmtId="165">
      <sharedItems containsSemiMixedTypes="0" containsString="0" containsNumber="1" containsInteger="1" minValue="5" maxValue="2250"/>
    </cacheField>
    <cacheField name="FINAL SELL PRICE" numFmtId="165">
      <sharedItems containsSemiMixedTypes="0" containsString="0" containsNumber="1" minValue="6.7" maxValue="3150"/>
    </cacheField>
    <cacheField name="PROFIT" numFmtId="165">
      <sharedItems containsSemiMixedTypes="0" containsString="0" containsNumber="1" minValue="1.7000000000000002" maxValue="900"/>
    </cacheField>
    <cacheField name="PROFIT%" numFmtId="9">
      <sharedItems containsSemiMixedTypes="0" containsString="0" containsNumber="1" minValue="5.9999999999999845E-2" maxValue="0.4"/>
    </cacheField>
    <cacheField name="DAY" numFmtId="0">
      <sharedItems count="31">
        <s v="01"/>
        <s v="02"/>
        <s v="03"/>
        <s v="04"/>
        <s v="09"/>
        <s v="11"/>
        <s v="12"/>
        <s v="18"/>
        <s v="19"/>
        <s v="20"/>
        <s v="21"/>
        <s v="25"/>
        <s v="26"/>
        <s v="27"/>
        <s v="28"/>
        <s v="05"/>
        <s v="06"/>
        <s v="15"/>
        <s v="22"/>
        <s v="23"/>
        <s v="07"/>
        <s v="08"/>
        <s v="13"/>
        <s v="16"/>
        <s v="30"/>
        <s v="31"/>
        <s v="10"/>
        <s v="24"/>
        <s v="29"/>
        <s v="14"/>
        <s v="17"/>
      </sharedItems>
    </cacheField>
    <cacheField name="MONTH" numFmtId="0">
      <sharedItems count="12">
        <s v="Jan"/>
        <s v="Feb"/>
        <s v="Mar"/>
        <s v="Apr"/>
        <s v="May"/>
        <s v="Jun"/>
        <s v="Jul"/>
        <s v="Aug"/>
        <s v="Sep"/>
        <s v="Oct"/>
        <s v="Nov"/>
        <s v="Dec"/>
      </sharedItems>
    </cacheField>
    <cacheField name="YEAR" numFmtId="0">
      <sharedItems count="2">
        <s v="2021"/>
        <s v="2022"/>
      </sharedItems>
    </cacheField>
    <cacheField name="PROFIT PERCENTAGE" numFmtId="0" formula="PROFIT/'FINAL SELL PRICE'" databaseField="0"/>
  </cacheFields>
  <extLst>
    <ext xmlns:x14="http://schemas.microsoft.com/office/spreadsheetml/2009/9/main" uri="{725AE2AE-9491-48be-B2B4-4EB974FC3084}">
      <x14:pivotCacheDefinition pivotCacheId="2795339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
  <r>
    <d v="2021-01-01T00:00:00"/>
    <s v="P0024"/>
    <x v="0"/>
    <x v="0"/>
    <s v="Ft"/>
    <n v="144"/>
    <n v="156.96"/>
    <n v="9"/>
    <x v="0"/>
    <x v="0"/>
    <n v="0"/>
    <n v="1296"/>
    <n v="1412.64"/>
    <n v="116.6400000000001"/>
    <n v="9.000000000000008E-2"/>
    <x v="0"/>
    <x v="0"/>
    <x v="0"/>
  </r>
  <r>
    <d v="2021-01-02T00:00:00"/>
    <s v="P0038"/>
    <x v="1"/>
    <x v="1"/>
    <s v="Kg"/>
    <n v="72"/>
    <n v="79.92"/>
    <n v="15"/>
    <x v="1"/>
    <x v="1"/>
    <n v="0"/>
    <n v="1080"/>
    <n v="1198.8"/>
    <n v="118.79999999999995"/>
    <n v="0.10999999999999996"/>
    <x v="1"/>
    <x v="0"/>
    <x v="0"/>
  </r>
  <r>
    <d v="2021-01-02T00:00:00"/>
    <s v="P0013"/>
    <x v="2"/>
    <x v="2"/>
    <s v="Kg"/>
    <n v="112"/>
    <n v="122.08"/>
    <n v="6"/>
    <x v="2"/>
    <x v="1"/>
    <n v="0"/>
    <n v="672"/>
    <n v="732.48"/>
    <n v="60.480000000000018"/>
    <n v="9.0000000000000024E-2"/>
    <x v="1"/>
    <x v="0"/>
    <x v="0"/>
  </r>
  <r>
    <d v="2021-01-03T00:00:00"/>
    <s v="P0004"/>
    <x v="3"/>
    <x v="3"/>
    <s v="Lt"/>
    <n v="44"/>
    <n v="48.84"/>
    <n v="5"/>
    <x v="2"/>
    <x v="0"/>
    <n v="0"/>
    <n v="220"/>
    <n v="244.20000000000002"/>
    <n v="24.200000000000017"/>
    <n v="0.11000000000000008"/>
    <x v="2"/>
    <x v="0"/>
    <x v="0"/>
  </r>
  <r>
    <d v="2021-01-04T00:00:00"/>
    <s v="P0035"/>
    <x v="4"/>
    <x v="4"/>
    <s v="No."/>
    <n v="5"/>
    <n v="6.7"/>
    <n v="12"/>
    <x v="1"/>
    <x v="0"/>
    <n v="0"/>
    <n v="60"/>
    <n v="80.400000000000006"/>
    <n v="20.400000000000006"/>
    <n v="0.34000000000000008"/>
    <x v="3"/>
    <x v="0"/>
    <x v="0"/>
  </r>
  <r>
    <d v="2021-01-09T00:00:00"/>
    <s v="P0031"/>
    <x v="5"/>
    <x v="5"/>
    <s v="Kg"/>
    <n v="93"/>
    <n v="104.16"/>
    <n v="1"/>
    <x v="2"/>
    <x v="1"/>
    <n v="0"/>
    <n v="93"/>
    <n v="104.16"/>
    <n v="11.159999999999997"/>
    <n v="0.11999999999999997"/>
    <x v="4"/>
    <x v="0"/>
    <x v="0"/>
  </r>
  <r>
    <d v="2021-01-09T00:00:00"/>
    <s v="P0003"/>
    <x v="6"/>
    <x v="3"/>
    <s v="Kg"/>
    <n v="71"/>
    <n v="80.94"/>
    <n v="8"/>
    <x v="2"/>
    <x v="1"/>
    <n v="0"/>
    <n v="568"/>
    <n v="647.52"/>
    <n v="79.519999999999982"/>
    <n v="0.13999999999999996"/>
    <x v="4"/>
    <x v="0"/>
    <x v="0"/>
  </r>
  <r>
    <d v="2021-01-09T00:00:00"/>
    <s v="P0025"/>
    <x v="7"/>
    <x v="0"/>
    <s v="No."/>
    <n v="7"/>
    <n v="8.33"/>
    <n v="4"/>
    <x v="2"/>
    <x v="0"/>
    <n v="0"/>
    <n v="28"/>
    <n v="33.32"/>
    <n v="5.32"/>
    <n v="0.19"/>
    <x v="4"/>
    <x v="0"/>
    <x v="0"/>
  </r>
  <r>
    <d v="2021-01-11T00:00:00"/>
    <s v="P0037"/>
    <x v="8"/>
    <x v="1"/>
    <s v="Kg"/>
    <n v="67"/>
    <n v="85.76"/>
    <n v="3"/>
    <x v="2"/>
    <x v="1"/>
    <n v="0"/>
    <n v="201"/>
    <n v="257.28000000000003"/>
    <n v="56.28000000000003"/>
    <n v="0.28000000000000014"/>
    <x v="5"/>
    <x v="0"/>
    <x v="0"/>
  </r>
  <r>
    <d v="2021-01-11T00:00:00"/>
    <s v="P0014"/>
    <x v="9"/>
    <x v="2"/>
    <s v="Kg"/>
    <n v="112"/>
    <n v="146.72"/>
    <n v="4"/>
    <x v="0"/>
    <x v="0"/>
    <n v="0"/>
    <n v="448"/>
    <n v="586.88"/>
    <n v="138.88"/>
    <n v="0.31"/>
    <x v="5"/>
    <x v="0"/>
    <x v="0"/>
  </r>
  <r>
    <d v="2021-01-11T00:00:00"/>
    <s v="P0042"/>
    <x v="10"/>
    <x v="6"/>
    <s v="Ft"/>
    <n v="120"/>
    <n v="162"/>
    <n v="4"/>
    <x v="2"/>
    <x v="0"/>
    <n v="0"/>
    <n v="480"/>
    <n v="648"/>
    <n v="168"/>
    <n v="0.35"/>
    <x v="5"/>
    <x v="0"/>
    <x v="0"/>
  </r>
  <r>
    <d v="2021-01-12T00:00:00"/>
    <s v="P0042"/>
    <x v="10"/>
    <x v="6"/>
    <s v="Ft"/>
    <n v="120"/>
    <n v="162"/>
    <n v="10"/>
    <x v="1"/>
    <x v="1"/>
    <n v="0"/>
    <n v="1200"/>
    <n v="1620"/>
    <n v="420"/>
    <n v="0.35"/>
    <x v="6"/>
    <x v="0"/>
    <x v="0"/>
  </r>
  <r>
    <d v="2021-01-18T00:00:00"/>
    <s v="P0044"/>
    <x v="11"/>
    <x v="6"/>
    <s v="Kg"/>
    <n v="76"/>
    <n v="82.08"/>
    <n v="13"/>
    <x v="2"/>
    <x v="0"/>
    <n v="0"/>
    <n v="988"/>
    <n v="1067.04"/>
    <n v="79.039999999999964"/>
    <n v="7.999999999999996E-2"/>
    <x v="7"/>
    <x v="0"/>
    <x v="0"/>
  </r>
  <r>
    <d v="2021-01-18T00:00:00"/>
    <s v="P0023"/>
    <x v="12"/>
    <x v="0"/>
    <s v="Ft"/>
    <n v="141"/>
    <n v="149.46"/>
    <n v="3"/>
    <x v="1"/>
    <x v="1"/>
    <n v="0"/>
    <n v="423"/>
    <n v="448.38"/>
    <n v="25.379999999999995"/>
    <n v="5.9999999999999991E-2"/>
    <x v="7"/>
    <x v="0"/>
    <x v="0"/>
  </r>
  <r>
    <d v="2021-01-19T00:00:00"/>
    <s v="P0035"/>
    <x v="4"/>
    <x v="4"/>
    <s v="No."/>
    <n v="5"/>
    <n v="6.7"/>
    <n v="6"/>
    <x v="2"/>
    <x v="1"/>
    <n v="0"/>
    <n v="30"/>
    <n v="40.200000000000003"/>
    <n v="10.200000000000003"/>
    <n v="0.34000000000000008"/>
    <x v="8"/>
    <x v="0"/>
    <x v="0"/>
  </r>
  <r>
    <d v="2021-01-20T00:00:00"/>
    <s v="P0034"/>
    <x v="13"/>
    <x v="4"/>
    <s v="Lt"/>
    <n v="55"/>
    <n v="58.3"/>
    <n v="4"/>
    <x v="2"/>
    <x v="1"/>
    <n v="0"/>
    <n v="220"/>
    <n v="233.2"/>
    <n v="13.199999999999989"/>
    <n v="5.9999999999999949E-2"/>
    <x v="9"/>
    <x v="0"/>
    <x v="0"/>
  </r>
  <r>
    <d v="2021-01-20T00:00:00"/>
    <s v="P0020"/>
    <x v="14"/>
    <x v="7"/>
    <s v="Lt"/>
    <n v="61"/>
    <n v="76.25"/>
    <n v="4"/>
    <x v="2"/>
    <x v="1"/>
    <n v="0"/>
    <n v="244"/>
    <n v="305"/>
    <n v="61"/>
    <n v="0.25"/>
    <x v="9"/>
    <x v="0"/>
    <x v="0"/>
  </r>
  <r>
    <d v="2021-01-21T00:00:00"/>
    <s v="P0004"/>
    <x v="3"/>
    <x v="3"/>
    <s v="Lt"/>
    <n v="44"/>
    <n v="48.84"/>
    <n v="15"/>
    <x v="0"/>
    <x v="1"/>
    <n v="0"/>
    <n v="660"/>
    <n v="732.6"/>
    <n v="72.600000000000023"/>
    <n v="0.11000000000000003"/>
    <x v="10"/>
    <x v="0"/>
    <x v="0"/>
  </r>
  <r>
    <d v="2021-01-21T00:00:00"/>
    <s v="P0003"/>
    <x v="6"/>
    <x v="3"/>
    <s v="Kg"/>
    <n v="71"/>
    <n v="80.94"/>
    <n v="9"/>
    <x v="2"/>
    <x v="0"/>
    <n v="0"/>
    <n v="639"/>
    <n v="728.46"/>
    <n v="89.460000000000036"/>
    <n v="0.14000000000000007"/>
    <x v="10"/>
    <x v="0"/>
    <x v="0"/>
  </r>
  <r>
    <d v="2021-01-21T00:00:00"/>
    <s v="P0042"/>
    <x v="10"/>
    <x v="6"/>
    <s v="Ft"/>
    <n v="120"/>
    <n v="162"/>
    <n v="6"/>
    <x v="2"/>
    <x v="0"/>
    <n v="0"/>
    <n v="720"/>
    <n v="972"/>
    <n v="252"/>
    <n v="0.35"/>
    <x v="10"/>
    <x v="0"/>
    <x v="0"/>
  </r>
  <r>
    <d v="2021-01-25T00:00:00"/>
    <s v="P0034"/>
    <x v="13"/>
    <x v="4"/>
    <s v="Lt"/>
    <n v="55"/>
    <n v="58.3"/>
    <n v="6"/>
    <x v="2"/>
    <x v="1"/>
    <n v="0"/>
    <n v="330"/>
    <n v="349.79999999999995"/>
    <n v="19.799999999999955"/>
    <n v="5.9999999999999859E-2"/>
    <x v="11"/>
    <x v="0"/>
    <x v="0"/>
  </r>
  <r>
    <d v="2021-01-25T00:00:00"/>
    <s v="P0035"/>
    <x v="4"/>
    <x v="4"/>
    <s v="No."/>
    <n v="5"/>
    <n v="6.7"/>
    <n v="7"/>
    <x v="2"/>
    <x v="0"/>
    <n v="0"/>
    <n v="35"/>
    <n v="46.9"/>
    <n v="11.899999999999999"/>
    <n v="0.33999999999999997"/>
    <x v="11"/>
    <x v="0"/>
    <x v="0"/>
  </r>
  <r>
    <d v="2021-01-25T00:00:00"/>
    <s v="P0031"/>
    <x v="5"/>
    <x v="5"/>
    <s v="Kg"/>
    <n v="93"/>
    <n v="104.16"/>
    <n v="14"/>
    <x v="2"/>
    <x v="0"/>
    <n v="0"/>
    <n v="1302"/>
    <n v="1458.24"/>
    <n v="156.24"/>
    <n v="0.12000000000000001"/>
    <x v="11"/>
    <x v="0"/>
    <x v="0"/>
  </r>
  <r>
    <d v="2021-01-26T00:00:00"/>
    <s v="P0044"/>
    <x v="11"/>
    <x v="6"/>
    <s v="Kg"/>
    <n v="76"/>
    <n v="82.08"/>
    <n v="9"/>
    <x v="0"/>
    <x v="1"/>
    <n v="0"/>
    <n v="684"/>
    <n v="738.72"/>
    <n v="54.720000000000027"/>
    <n v="8.0000000000000043E-2"/>
    <x v="12"/>
    <x v="0"/>
    <x v="0"/>
  </r>
  <r>
    <d v="2021-01-26T00:00:00"/>
    <s v="P0006"/>
    <x v="15"/>
    <x v="8"/>
    <s v="Kg"/>
    <n v="75"/>
    <n v="85.5"/>
    <n v="7"/>
    <x v="1"/>
    <x v="1"/>
    <n v="0"/>
    <n v="525"/>
    <n v="598.5"/>
    <n v="73.5"/>
    <n v="0.14000000000000001"/>
    <x v="12"/>
    <x v="0"/>
    <x v="0"/>
  </r>
  <r>
    <d v="2021-01-26T00:00:00"/>
    <s v="P0001"/>
    <x v="16"/>
    <x v="3"/>
    <s v="Kg"/>
    <n v="98"/>
    <n v="103.88"/>
    <n v="7"/>
    <x v="1"/>
    <x v="0"/>
    <n v="0"/>
    <n v="686"/>
    <n v="727.16"/>
    <n v="41.159999999999968"/>
    <n v="5.9999999999999956E-2"/>
    <x v="12"/>
    <x v="0"/>
    <x v="0"/>
  </r>
  <r>
    <d v="2021-01-27T00:00:00"/>
    <s v="P0040"/>
    <x v="17"/>
    <x v="1"/>
    <s v="Kg"/>
    <n v="90"/>
    <n v="115.2"/>
    <n v="7"/>
    <x v="0"/>
    <x v="0"/>
    <n v="0"/>
    <n v="630"/>
    <n v="806.4"/>
    <n v="176.39999999999998"/>
    <n v="0.27999999999999997"/>
    <x v="13"/>
    <x v="0"/>
    <x v="0"/>
  </r>
  <r>
    <d v="2021-01-27T00:00:00"/>
    <s v="P0032"/>
    <x v="18"/>
    <x v="4"/>
    <s v="Kg"/>
    <n v="89"/>
    <n v="117.48"/>
    <n v="3"/>
    <x v="0"/>
    <x v="0"/>
    <n v="0"/>
    <n v="267"/>
    <n v="352.44"/>
    <n v="85.44"/>
    <n v="0.32"/>
    <x v="13"/>
    <x v="0"/>
    <x v="0"/>
  </r>
  <r>
    <d v="2021-01-28T00:00:00"/>
    <s v="P0004"/>
    <x v="3"/>
    <x v="3"/>
    <s v="Lt"/>
    <n v="44"/>
    <n v="48.84"/>
    <n v="10"/>
    <x v="1"/>
    <x v="1"/>
    <n v="0"/>
    <n v="440"/>
    <n v="488.40000000000003"/>
    <n v="48.400000000000034"/>
    <n v="0.11000000000000008"/>
    <x v="14"/>
    <x v="0"/>
    <x v="0"/>
  </r>
  <r>
    <d v="2021-01-28T00:00:00"/>
    <s v="P0029"/>
    <x v="19"/>
    <x v="5"/>
    <s v="Lt"/>
    <n v="47"/>
    <n v="53.11"/>
    <n v="2"/>
    <x v="2"/>
    <x v="1"/>
    <n v="0"/>
    <n v="94"/>
    <n v="106.22"/>
    <n v="12.219999999999999"/>
    <n v="0.12999999999999998"/>
    <x v="14"/>
    <x v="0"/>
    <x v="0"/>
  </r>
  <r>
    <d v="2021-02-02T00:00:00"/>
    <s v="P0010"/>
    <x v="20"/>
    <x v="8"/>
    <s v="Ft"/>
    <n v="148"/>
    <n v="164.28"/>
    <n v="7"/>
    <x v="1"/>
    <x v="0"/>
    <n v="0"/>
    <n v="1036"/>
    <n v="1149.96"/>
    <n v="113.96000000000004"/>
    <n v="0.11000000000000003"/>
    <x v="1"/>
    <x v="1"/>
    <x v="0"/>
  </r>
  <r>
    <d v="2021-02-03T00:00:00"/>
    <s v="P0016"/>
    <x v="21"/>
    <x v="2"/>
    <s v="No."/>
    <n v="13"/>
    <n v="16.64"/>
    <n v="13"/>
    <x v="2"/>
    <x v="0"/>
    <n v="0"/>
    <n v="169"/>
    <n v="216.32"/>
    <n v="47.319999999999993"/>
    <n v="0.27999999999999997"/>
    <x v="2"/>
    <x v="1"/>
    <x v="0"/>
  </r>
  <r>
    <d v="2021-02-03T00:00:00"/>
    <s v="P0022"/>
    <x v="22"/>
    <x v="0"/>
    <s v="Ft"/>
    <n v="121"/>
    <n v="141.57"/>
    <n v="2"/>
    <x v="0"/>
    <x v="1"/>
    <n v="0"/>
    <n v="242"/>
    <n v="283.14"/>
    <n v="41.139999999999986"/>
    <n v="0.16999999999999996"/>
    <x v="2"/>
    <x v="1"/>
    <x v="0"/>
  </r>
  <r>
    <d v="2021-02-04T00:00:00"/>
    <s v="P0037"/>
    <x v="8"/>
    <x v="1"/>
    <s v="Kg"/>
    <n v="67"/>
    <n v="85.76"/>
    <n v="4"/>
    <x v="1"/>
    <x v="0"/>
    <n v="0"/>
    <n v="268"/>
    <n v="343.04"/>
    <n v="75.04000000000002"/>
    <n v="0.28000000000000008"/>
    <x v="3"/>
    <x v="1"/>
    <x v="0"/>
  </r>
  <r>
    <d v="2021-02-05T00:00:00"/>
    <s v="P0043"/>
    <x v="23"/>
    <x v="6"/>
    <s v="Kg"/>
    <n v="67"/>
    <n v="83.08"/>
    <n v="7"/>
    <x v="1"/>
    <x v="1"/>
    <n v="0"/>
    <n v="469"/>
    <n v="581.55999999999995"/>
    <n v="112.55999999999995"/>
    <n v="0.23999999999999988"/>
    <x v="15"/>
    <x v="1"/>
    <x v="0"/>
  </r>
  <r>
    <d v="2021-02-05T00:00:00"/>
    <s v="P0005"/>
    <x v="24"/>
    <x v="3"/>
    <s v="Ft"/>
    <n v="133"/>
    <n v="155.61000000000001"/>
    <n v="1"/>
    <x v="2"/>
    <x v="1"/>
    <n v="0"/>
    <n v="133"/>
    <n v="155.61000000000001"/>
    <n v="22.610000000000014"/>
    <n v="0.1700000000000001"/>
    <x v="15"/>
    <x v="1"/>
    <x v="0"/>
  </r>
  <r>
    <d v="2021-02-05T00:00:00"/>
    <s v="P0043"/>
    <x v="23"/>
    <x v="6"/>
    <s v="Kg"/>
    <n v="67"/>
    <n v="83.08"/>
    <n v="9"/>
    <x v="2"/>
    <x v="1"/>
    <n v="0"/>
    <n v="603"/>
    <n v="747.72"/>
    <n v="144.72000000000003"/>
    <n v="0.24000000000000005"/>
    <x v="15"/>
    <x v="1"/>
    <x v="0"/>
  </r>
  <r>
    <d v="2021-02-06T00:00:00"/>
    <s v="P0035"/>
    <x v="4"/>
    <x v="4"/>
    <s v="No."/>
    <n v="5"/>
    <n v="6.7"/>
    <n v="1"/>
    <x v="2"/>
    <x v="1"/>
    <n v="0"/>
    <n v="5"/>
    <n v="6.7"/>
    <n v="1.7000000000000002"/>
    <n v="0.34"/>
    <x v="16"/>
    <x v="1"/>
    <x v="0"/>
  </r>
  <r>
    <d v="2021-02-09T00:00:00"/>
    <s v="P0034"/>
    <x v="13"/>
    <x v="4"/>
    <s v="Lt"/>
    <n v="55"/>
    <n v="58.3"/>
    <n v="14"/>
    <x v="2"/>
    <x v="0"/>
    <n v="0"/>
    <n v="770"/>
    <n v="816.19999999999993"/>
    <n v="46.199999999999932"/>
    <n v="5.9999999999999915E-2"/>
    <x v="4"/>
    <x v="1"/>
    <x v="0"/>
  </r>
  <r>
    <d v="2021-02-12T00:00:00"/>
    <s v="P0008"/>
    <x v="25"/>
    <x v="8"/>
    <s v="Kg"/>
    <n v="83"/>
    <n v="94.62"/>
    <n v="7"/>
    <x v="2"/>
    <x v="1"/>
    <n v="0"/>
    <n v="581"/>
    <n v="662.34"/>
    <n v="81.340000000000032"/>
    <n v="0.14000000000000004"/>
    <x v="6"/>
    <x v="1"/>
    <x v="0"/>
  </r>
  <r>
    <d v="2021-02-12T00:00:00"/>
    <s v="P0023"/>
    <x v="12"/>
    <x v="0"/>
    <s v="Ft"/>
    <n v="141"/>
    <n v="149.46"/>
    <n v="9"/>
    <x v="1"/>
    <x v="1"/>
    <n v="0"/>
    <n v="1269"/>
    <n v="1345.14"/>
    <n v="76.1400000000001"/>
    <n v="6.0000000000000081E-2"/>
    <x v="6"/>
    <x v="1"/>
    <x v="0"/>
  </r>
  <r>
    <d v="2021-02-15T00:00:00"/>
    <s v="P0027"/>
    <x v="26"/>
    <x v="5"/>
    <s v="Lt"/>
    <n v="48"/>
    <n v="57.120000000000005"/>
    <n v="4"/>
    <x v="2"/>
    <x v="0"/>
    <n v="0"/>
    <n v="192"/>
    <n v="228.48000000000002"/>
    <n v="36.480000000000018"/>
    <n v="0.19000000000000009"/>
    <x v="17"/>
    <x v="1"/>
    <x v="0"/>
  </r>
  <r>
    <d v="2021-02-18T00:00:00"/>
    <s v="P0015"/>
    <x v="27"/>
    <x v="2"/>
    <s v="No."/>
    <n v="12"/>
    <n v="15.719999999999999"/>
    <n v="6"/>
    <x v="1"/>
    <x v="1"/>
    <n v="0"/>
    <n v="72"/>
    <n v="94.32"/>
    <n v="22.319999999999993"/>
    <n v="0.30999999999999989"/>
    <x v="7"/>
    <x v="1"/>
    <x v="0"/>
  </r>
  <r>
    <d v="2021-02-20T00:00:00"/>
    <s v="P0030"/>
    <x v="28"/>
    <x v="5"/>
    <s v="Ft"/>
    <n v="148"/>
    <n v="201.28"/>
    <n v="11"/>
    <x v="1"/>
    <x v="1"/>
    <n v="0"/>
    <n v="1628"/>
    <n v="2214.08"/>
    <n v="586.07999999999993"/>
    <n v="0.35999999999999993"/>
    <x v="9"/>
    <x v="1"/>
    <x v="0"/>
  </r>
  <r>
    <d v="2021-02-22T00:00:00"/>
    <s v="P0013"/>
    <x v="2"/>
    <x v="2"/>
    <s v="Kg"/>
    <n v="112"/>
    <n v="122.08"/>
    <n v="5"/>
    <x v="1"/>
    <x v="1"/>
    <n v="0"/>
    <n v="560"/>
    <n v="610.4"/>
    <n v="50.399999999999977"/>
    <n v="8.9999999999999955E-2"/>
    <x v="18"/>
    <x v="1"/>
    <x v="0"/>
  </r>
  <r>
    <d v="2021-02-23T00:00:00"/>
    <s v="P0025"/>
    <x v="7"/>
    <x v="0"/>
    <s v="No."/>
    <n v="7"/>
    <n v="8.33"/>
    <n v="3"/>
    <x v="2"/>
    <x v="1"/>
    <n v="0"/>
    <n v="21"/>
    <n v="24.990000000000002"/>
    <n v="3.990000000000002"/>
    <n v="0.19000000000000009"/>
    <x v="19"/>
    <x v="1"/>
    <x v="0"/>
  </r>
  <r>
    <d v="2021-02-23T00:00:00"/>
    <s v="P0005"/>
    <x v="24"/>
    <x v="3"/>
    <s v="Ft"/>
    <n v="133"/>
    <n v="155.61000000000001"/>
    <n v="2"/>
    <x v="2"/>
    <x v="0"/>
    <n v="0"/>
    <n v="266"/>
    <n v="311.22000000000003"/>
    <n v="45.220000000000027"/>
    <n v="0.1700000000000001"/>
    <x v="19"/>
    <x v="1"/>
    <x v="0"/>
  </r>
  <r>
    <d v="2021-02-25T00:00:00"/>
    <s v="P0002"/>
    <x v="29"/>
    <x v="3"/>
    <s v="Kg"/>
    <n v="105"/>
    <n v="142.80000000000001"/>
    <n v="4"/>
    <x v="0"/>
    <x v="0"/>
    <n v="0"/>
    <n v="420"/>
    <n v="571.20000000000005"/>
    <n v="151.20000000000005"/>
    <n v="0.3600000000000001"/>
    <x v="11"/>
    <x v="1"/>
    <x v="0"/>
  </r>
  <r>
    <d v="2021-02-25T00:00:00"/>
    <s v="P0032"/>
    <x v="18"/>
    <x v="4"/>
    <s v="Kg"/>
    <n v="89"/>
    <n v="117.48"/>
    <n v="11"/>
    <x v="1"/>
    <x v="1"/>
    <n v="0"/>
    <n v="979"/>
    <n v="1292.28"/>
    <n v="313.27999999999997"/>
    <n v="0.31999999999999995"/>
    <x v="11"/>
    <x v="1"/>
    <x v="0"/>
  </r>
  <r>
    <d v="2021-02-25T00:00:00"/>
    <s v="P0030"/>
    <x v="28"/>
    <x v="5"/>
    <s v="Ft"/>
    <n v="148"/>
    <n v="201.28"/>
    <n v="2"/>
    <x v="2"/>
    <x v="0"/>
    <n v="0"/>
    <n v="296"/>
    <n v="402.56"/>
    <n v="106.56"/>
    <n v="0.36"/>
    <x v="11"/>
    <x v="1"/>
    <x v="0"/>
  </r>
  <r>
    <d v="2021-02-27T00:00:00"/>
    <s v="P0018"/>
    <x v="30"/>
    <x v="7"/>
    <s v="No."/>
    <n v="37"/>
    <n v="49.21"/>
    <n v="11"/>
    <x v="0"/>
    <x v="0"/>
    <n v="0"/>
    <n v="407"/>
    <n v="541.31000000000006"/>
    <n v="134.31000000000006"/>
    <n v="0.33000000000000013"/>
    <x v="13"/>
    <x v="1"/>
    <x v="0"/>
  </r>
  <r>
    <d v="2021-03-03T00:00:00"/>
    <s v="P0011"/>
    <x v="31"/>
    <x v="8"/>
    <s v="Lt"/>
    <n v="44"/>
    <n v="48.4"/>
    <n v="1"/>
    <x v="2"/>
    <x v="0"/>
    <n v="0"/>
    <n v="44"/>
    <n v="48.4"/>
    <n v="4.3999999999999986"/>
    <n v="9.9999999999999964E-2"/>
    <x v="2"/>
    <x v="2"/>
    <x v="0"/>
  </r>
  <r>
    <d v="2021-03-07T00:00:00"/>
    <s v="P0021"/>
    <x v="32"/>
    <x v="7"/>
    <s v="Ft"/>
    <n v="126"/>
    <n v="162.54"/>
    <n v="9"/>
    <x v="2"/>
    <x v="1"/>
    <n v="0"/>
    <n v="1134"/>
    <n v="1462.86"/>
    <n v="328.8599999999999"/>
    <n v="0.28999999999999992"/>
    <x v="20"/>
    <x v="2"/>
    <x v="0"/>
  </r>
  <r>
    <d v="2021-03-08T00:00:00"/>
    <s v="P0027"/>
    <x v="26"/>
    <x v="5"/>
    <s v="Lt"/>
    <n v="48"/>
    <n v="57.120000000000005"/>
    <n v="6"/>
    <x v="1"/>
    <x v="1"/>
    <n v="0"/>
    <n v="288"/>
    <n v="342.72"/>
    <n v="54.720000000000027"/>
    <n v="0.19000000000000009"/>
    <x v="21"/>
    <x v="2"/>
    <x v="0"/>
  </r>
  <r>
    <d v="2021-03-08T00:00:00"/>
    <s v="P0044"/>
    <x v="11"/>
    <x v="6"/>
    <s v="Kg"/>
    <n v="76"/>
    <n v="82.08"/>
    <n v="9"/>
    <x v="1"/>
    <x v="0"/>
    <n v="0"/>
    <n v="684"/>
    <n v="738.72"/>
    <n v="54.720000000000027"/>
    <n v="8.0000000000000043E-2"/>
    <x v="21"/>
    <x v="2"/>
    <x v="0"/>
  </r>
  <r>
    <d v="2021-03-09T00:00:00"/>
    <s v="P0029"/>
    <x v="19"/>
    <x v="5"/>
    <s v="Lt"/>
    <n v="47"/>
    <n v="53.11"/>
    <n v="6"/>
    <x v="0"/>
    <x v="0"/>
    <n v="0"/>
    <n v="282"/>
    <n v="318.65999999999997"/>
    <n v="36.659999999999968"/>
    <n v="0.12999999999999989"/>
    <x v="4"/>
    <x v="2"/>
    <x v="0"/>
  </r>
  <r>
    <d v="2021-03-11T00:00:00"/>
    <s v="P0025"/>
    <x v="7"/>
    <x v="0"/>
    <s v="No."/>
    <n v="7"/>
    <n v="8.33"/>
    <n v="11"/>
    <x v="2"/>
    <x v="1"/>
    <n v="0"/>
    <n v="77"/>
    <n v="91.63"/>
    <n v="14.629999999999995"/>
    <n v="0.18999999999999995"/>
    <x v="5"/>
    <x v="2"/>
    <x v="0"/>
  </r>
  <r>
    <d v="2021-03-13T00:00:00"/>
    <s v="P0028"/>
    <x v="33"/>
    <x v="5"/>
    <s v="No."/>
    <n v="37"/>
    <n v="41.81"/>
    <n v="10"/>
    <x v="0"/>
    <x v="1"/>
    <n v="0"/>
    <n v="370"/>
    <n v="418.1"/>
    <n v="48.100000000000023"/>
    <n v="0.13000000000000006"/>
    <x v="22"/>
    <x v="2"/>
    <x v="0"/>
  </r>
  <r>
    <d v="2021-03-15T00:00:00"/>
    <s v="P0039"/>
    <x v="34"/>
    <x v="1"/>
    <s v="No."/>
    <n v="37"/>
    <n v="42.55"/>
    <n v="11"/>
    <x v="1"/>
    <x v="1"/>
    <n v="0"/>
    <n v="407"/>
    <n v="468.04999999999995"/>
    <n v="61.049999999999955"/>
    <n v="0.14999999999999988"/>
    <x v="17"/>
    <x v="2"/>
    <x v="0"/>
  </r>
  <r>
    <d v="2021-03-16T00:00:00"/>
    <s v="P0012"/>
    <x v="35"/>
    <x v="2"/>
    <s v="Kg"/>
    <n v="73"/>
    <n v="94.17"/>
    <n v="14"/>
    <x v="2"/>
    <x v="1"/>
    <n v="0"/>
    <n v="1022"/>
    <n v="1318.38"/>
    <n v="296.38000000000011"/>
    <n v="0.29000000000000009"/>
    <x v="23"/>
    <x v="2"/>
    <x v="0"/>
  </r>
  <r>
    <d v="2021-03-18T00:00:00"/>
    <s v="P0042"/>
    <x v="10"/>
    <x v="6"/>
    <s v="Ft"/>
    <n v="120"/>
    <n v="162"/>
    <n v="8"/>
    <x v="0"/>
    <x v="1"/>
    <n v="0"/>
    <n v="960"/>
    <n v="1296"/>
    <n v="336"/>
    <n v="0.35"/>
    <x v="7"/>
    <x v="2"/>
    <x v="0"/>
  </r>
  <r>
    <d v="2021-03-19T00:00:00"/>
    <s v="P0028"/>
    <x v="33"/>
    <x v="5"/>
    <s v="No."/>
    <n v="37"/>
    <n v="41.81"/>
    <n v="9"/>
    <x v="1"/>
    <x v="1"/>
    <n v="0"/>
    <n v="333"/>
    <n v="376.29"/>
    <n v="43.29000000000002"/>
    <n v="0.13000000000000006"/>
    <x v="8"/>
    <x v="2"/>
    <x v="0"/>
  </r>
  <r>
    <d v="2021-03-21T00:00:00"/>
    <s v="P0020"/>
    <x v="14"/>
    <x v="7"/>
    <s v="Lt"/>
    <n v="61"/>
    <n v="76.25"/>
    <n v="13"/>
    <x v="1"/>
    <x v="0"/>
    <n v="0"/>
    <n v="793"/>
    <n v="991.25"/>
    <n v="198.25"/>
    <n v="0.25"/>
    <x v="10"/>
    <x v="2"/>
    <x v="0"/>
  </r>
  <r>
    <d v="2021-03-21T00:00:00"/>
    <s v="P0039"/>
    <x v="34"/>
    <x v="1"/>
    <s v="No."/>
    <n v="37"/>
    <n v="42.55"/>
    <n v="7"/>
    <x v="2"/>
    <x v="0"/>
    <n v="0"/>
    <n v="259"/>
    <n v="297.84999999999997"/>
    <n v="38.849999999999966"/>
    <n v="0.14999999999999986"/>
    <x v="10"/>
    <x v="2"/>
    <x v="0"/>
  </r>
  <r>
    <d v="2021-03-22T00:00:00"/>
    <s v="P0002"/>
    <x v="29"/>
    <x v="3"/>
    <s v="Kg"/>
    <n v="105"/>
    <n v="142.80000000000001"/>
    <n v="8"/>
    <x v="1"/>
    <x v="0"/>
    <n v="0"/>
    <n v="840"/>
    <n v="1142.4000000000001"/>
    <n v="302.40000000000009"/>
    <n v="0.3600000000000001"/>
    <x v="18"/>
    <x v="2"/>
    <x v="0"/>
  </r>
  <r>
    <d v="2021-03-22T00:00:00"/>
    <s v="P0012"/>
    <x v="35"/>
    <x v="2"/>
    <s v="Kg"/>
    <n v="73"/>
    <n v="94.17"/>
    <n v="4"/>
    <x v="1"/>
    <x v="0"/>
    <n v="0"/>
    <n v="292"/>
    <n v="376.68"/>
    <n v="84.68"/>
    <n v="0.29000000000000004"/>
    <x v="18"/>
    <x v="2"/>
    <x v="0"/>
  </r>
  <r>
    <d v="2021-03-25T00:00:00"/>
    <s v="P0024"/>
    <x v="0"/>
    <x v="0"/>
    <s v="Ft"/>
    <n v="144"/>
    <n v="156.96"/>
    <n v="14"/>
    <x v="1"/>
    <x v="1"/>
    <n v="0"/>
    <n v="2016"/>
    <n v="2197.44"/>
    <n v="181.44000000000005"/>
    <n v="9.0000000000000024E-2"/>
    <x v="11"/>
    <x v="2"/>
    <x v="0"/>
  </r>
  <r>
    <d v="2021-03-25T00:00:00"/>
    <s v="P0006"/>
    <x v="15"/>
    <x v="8"/>
    <s v="Kg"/>
    <n v="75"/>
    <n v="85.5"/>
    <n v="4"/>
    <x v="2"/>
    <x v="1"/>
    <n v="0"/>
    <n v="300"/>
    <n v="342"/>
    <n v="42"/>
    <n v="0.14000000000000001"/>
    <x v="11"/>
    <x v="2"/>
    <x v="0"/>
  </r>
  <r>
    <d v="2021-03-25T00:00:00"/>
    <s v="P0029"/>
    <x v="19"/>
    <x v="5"/>
    <s v="Lt"/>
    <n v="47"/>
    <n v="53.11"/>
    <n v="8"/>
    <x v="2"/>
    <x v="1"/>
    <n v="0"/>
    <n v="376"/>
    <n v="424.88"/>
    <n v="48.879999999999995"/>
    <n v="0.12999999999999998"/>
    <x v="11"/>
    <x v="2"/>
    <x v="0"/>
  </r>
  <r>
    <d v="2021-03-25T00:00:00"/>
    <s v="P0038"/>
    <x v="1"/>
    <x v="1"/>
    <s v="Kg"/>
    <n v="72"/>
    <n v="79.92"/>
    <n v="2"/>
    <x v="2"/>
    <x v="0"/>
    <n v="0"/>
    <n v="144"/>
    <n v="159.84"/>
    <n v="15.840000000000003"/>
    <n v="0.11000000000000003"/>
    <x v="11"/>
    <x v="2"/>
    <x v="0"/>
  </r>
  <r>
    <d v="2021-03-26T00:00:00"/>
    <s v="P0001"/>
    <x v="16"/>
    <x v="3"/>
    <s v="Kg"/>
    <n v="98"/>
    <n v="103.88"/>
    <n v="4"/>
    <x v="2"/>
    <x v="1"/>
    <n v="0"/>
    <n v="392"/>
    <n v="415.52"/>
    <n v="23.519999999999982"/>
    <n v="5.9999999999999956E-2"/>
    <x v="12"/>
    <x v="2"/>
    <x v="0"/>
  </r>
  <r>
    <d v="2021-03-26T00:00:00"/>
    <s v="P0042"/>
    <x v="10"/>
    <x v="6"/>
    <s v="Ft"/>
    <n v="120"/>
    <n v="162"/>
    <n v="1"/>
    <x v="2"/>
    <x v="1"/>
    <n v="0"/>
    <n v="120"/>
    <n v="162"/>
    <n v="42"/>
    <n v="0.35"/>
    <x v="12"/>
    <x v="2"/>
    <x v="0"/>
  </r>
  <r>
    <d v="2021-03-26T00:00:00"/>
    <s v="P0010"/>
    <x v="20"/>
    <x v="8"/>
    <s v="Ft"/>
    <n v="148"/>
    <n v="164.28"/>
    <n v="9"/>
    <x v="2"/>
    <x v="0"/>
    <n v="0"/>
    <n v="1332"/>
    <n v="1478.52"/>
    <n v="146.51999999999998"/>
    <n v="0.10999999999999999"/>
    <x v="12"/>
    <x v="2"/>
    <x v="0"/>
  </r>
  <r>
    <d v="2021-03-27T00:00:00"/>
    <s v="P0030"/>
    <x v="28"/>
    <x v="5"/>
    <s v="Ft"/>
    <n v="148"/>
    <n v="201.28"/>
    <n v="3"/>
    <x v="2"/>
    <x v="0"/>
    <n v="0"/>
    <n v="444"/>
    <n v="603.84"/>
    <n v="159.84000000000003"/>
    <n v="0.3600000000000001"/>
    <x v="13"/>
    <x v="2"/>
    <x v="0"/>
  </r>
  <r>
    <d v="2021-03-28T00:00:00"/>
    <s v="P0007"/>
    <x v="36"/>
    <x v="8"/>
    <s v="Lt"/>
    <n v="43"/>
    <n v="47.730000000000004"/>
    <n v="8"/>
    <x v="1"/>
    <x v="1"/>
    <n v="0"/>
    <n v="344"/>
    <n v="381.84000000000003"/>
    <n v="37.840000000000032"/>
    <n v="0.1100000000000001"/>
    <x v="14"/>
    <x v="2"/>
    <x v="0"/>
  </r>
  <r>
    <d v="2021-03-30T00:00:00"/>
    <s v="P0038"/>
    <x v="1"/>
    <x v="1"/>
    <s v="Kg"/>
    <n v="72"/>
    <n v="79.92"/>
    <n v="1"/>
    <x v="1"/>
    <x v="1"/>
    <n v="0"/>
    <n v="72"/>
    <n v="79.92"/>
    <n v="7.9200000000000017"/>
    <n v="0.11000000000000003"/>
    <x v="24"/>
    <x v="2"/>
    <x v="0"/>
  </r>
  <r>
    <d v="2021-03-31T00:00:00"/>
    <s v="P0042"/>
    <x v="10"/>
    <x v="6"/>
    <s v="Ft"/>
    <n v="120"/>
    <n v="162"/>
    <n v="3"/>
    <x v="2"/>
    <x v="1"/>
    <n v="0"/>
    <n v="360"/>
    <n v="486"/>
    <n v="126"/>
    <n v="0.35"/>
    <x v="25"/>
    <x v="2"/>
    <x v="0"/>
  </r>
  <r>
    <d v="2021-04-04T00:00:00"/>
    <s v="P0040"/>
    <x v="17"/>
    <x v="1"/>
    <s v="Kg"/>
    <n v="90"/>
    <n v="115.2"/>
    <n v="4"/>
    <x v="2"/>
    <x v="1"/>
    <n v="0"/>
    <n v="360"/>
    <n v="460.8"/>
    <n v="100.80000000000001"/>
    <n v="0.28000000000000003"/>
    <x v="3"/>
    <x v="3"/>
    <x v="0"/>
  </r>
  <r>
    <d v="2021-04-04T00:00:00"/>
    <s v="P0009"/>
    <x v="37"/>
    <x v="8"/>
    <s v="No."/>
    <n v="6"/>
    <n v="7.8599999999999994"/>
    <n v="9"/>
    <x v="1"/>
    <x v="1"/>
    <n v="0"/>
    <n v="54"/>
    <n v="70.739999999999995"/>
    <n v="16.739999999999995"/>
    <n v="0.30999999999999989"/>
    <x v="3"/>
    <x v="3"/>
    <x v="0"/>
  </r>
  <r>
    <d v="2021-04-05T00:00:00"/>
    <s v="P0031"/>
    <x v="5"/>
    <x v="5"/>
    <s v="Kg"/>
    <n v="93"/>
    <n v="104.16"/>
    <n v="15"/>
    <x v="1"/>
    <x v="0"/>
    <n v="0"/>
    <n v="1395"/>
    <n v="1562.3999999999999"/>
    <n v="167.39999999999986"/>
    <n v="0.1199999999999999"/>
    <x v="15"/>
    <x v="3"/>
    <x v="0"/>
  </r>
  <r>
    <d v="2021-04-09T00:00:00"/>
    <s v="P0005"/>
    <x v="24"/>
    <x v="3"/>
    <s v="Ft"/>
    <n v="133"/>
    <n v="155.61000000000001"/>
    <n v="3"/>
    <x v="1"/>
    <x v="0"/>
    <n v="0"/>
    <n v="399"/>
    <n v="466.83000000000004"/>
    <n v="67.830000000000041"/>
    <n v="0.1700000000000001"/>
    <x v="4"/>
    <x v="3"/>
    <x v="0"/>
  </r>
  <r>
    <d v="2021-04-10T00:00:00"/>
    <s v="P0022"/>
    <x v="22"/>
    <x v="0"/>
    <s v="Ft"/>
    <n v="121"/>
    <n v="141.57"/>
    <n v="14"/>
    <x v="2"/>
    <x v="0"/>
    <n v="0"/>
    <n v="1694"/>
    <n v="1981.98"/>
    <n v="287.98"/>
    <n v="0.17"/>
    <x v="26"/>
    <x v="3"/>
    <x v="0"/>
  </r>
  <r>
    <d v="2021-04-12T00:00:00"/>
    <s v="P0037"/>
    <x v="8"/>
    <x v="1"/>
    <s v="Kg"/>
    <n v="67"/>
    <n v="85.76"/>
    <n v="3"/>
    <x v="2"/>
    <x v="1"/>
    <n v="0"/>
    <n v="201"/>
    <n v="257.28000000000003"/>
    <n v="56.28000000000003"/>
    <n v="0.28000000000000014"/>
    <x v="6"/>
    <x v="3"/>
    <x v="0"/>
  </r>
  <r>
    <d v="2021-04-12T00:00:00"/>
    <s v="P0029"/>
    <x v="19"/>
    <x v="5"/>
    <s v="Lt"/>
    <n v="47"/>
    <n v="53.11"/>
    <n v="4"/>
    <x v="2"/>
    <x v="0"/>
    <n v="0"/>
    <n v="188"/>
    <n v="212.44"/>
    <n v="24.439999999999998"/>
    <n v="0.12999999999999998"/>
    <x v="6"/>
    <x v="3"/>
    <x v="0"/>
  </r>
  <r>
    <d v="2021-04-12T00:00:00"/>
    <s v="P0027"/>
    <x v="26"/>
    <x v="5"/>
    <s v="Lt"/>
    <n v="48"/>
    <n v="57.120000000000005"/>
    <n v="9"/>
    <x v="2"/>
    <x v="0"/>
    <n v="0"/>
    <n v="432"/>
    <n v="514.08000000000004"/>
    <n v="82.080000000000041"/>
    <n v="0.19000000000000009"/>
    <x v="6"/>
    <x v="3"/>
    <x v="0"/>
  </r>
  <r>
    <d v="2021-04-12T00:00:00"/>
    <s v="P0033"/>
    <x v="38"/>
    <x v="4"/>
    <s v="Kg"/>
    <n v="95"/>
    <n v="119.7"/>
    <n v="13"/>
    <x v="2"/>
    <x v="1"/>
    <n v="0"/>
    <n v="1235"/>
    <n v="1556.1000000000001"/>
    <n v="321.10000000000014"/>
    <n v="0.26000000000000012"/>
    <x v="6"/>
    <x v="3"/>
    <x v="0"/>
  </r>
  <r>
    <d v="2021-04-15T00:00:00"/>
    <s v="P0017"/>
    <x v="39"/>
    <x v="7"/>
    <s v="Ft"/>
    <n v="134"/>
    <n v="156.78"/>
    <n v="3"/>
    <x v="2"/>
    <x v="0"/>
    <n v="0"/>
    <n v="402"/>
    <n v="470.34000000000003"/>
    <n v="68.340000000000032"/>
    <n v="0.17000000000000007"/>
    <x v="17"/>
    <x v="3"/>
    <x v="0"/>
  </r>
  <r>
    <d v="2021-04-16T00:00:00"/>
    <s v="P0018"/>
    <x v="30"/>
    <x v="7"/>
    <s v="No."/>
    <n v="37"/>
    <n v="49.21"/>
    <n v="15"/>
    <x v="2"/>
    <x v="1"/>
    <n v="0"/>
    <n v="555"/>
    <n v="738.15"/>
    <n v="183.14999999999998"/>
    <n v="0.32999999999999996"/>
    <x v="23"/>
    <x v="3"/>
    <x v="0"/>
  </r>
  <r>
    <d v="2021-04-18T00:00:00"/>
    <s v="P0038"/>
    <x v="1"/>
    <x v="1"/>
    <s v="Kg"/>
    <n v="72"/>
    <n v="79.92"/>
    <n v="9"/>
    <x v="0"/>
    <x v="0"/>
    <n v="0"/>
    <n v="648"/>
    <n v="719.28"/>
    <n v="71.279999999999973"/>
    <n v="0.10999999999999996"/>
    <x v="7"/>
    <x v="3"/>
    <x v="0"/>
  </r>
  <r>
    <d v="2021-04-18T00:00:00"/>
    <s v="P0019"/>
    <x v="40"/>
    <x v="7"/>
    <s v="Ft"/>
    <n v="150"/>
    <n v="210"/>
    <n v="13"/>
    <x v="2"/>
    <x v="1"/>
    <n v="0"/>
    <n v="1950"/>
    <n v="2730"/>
    <n v="780"/>
    <n v="0.4"/>
    <x v="7"/>
    <x v="3"/>
    <x v="0"/>
  </r>
  <r>
    <d v="2021-04-23T00:00:00"/>
    <s v="P0042"/>
    <x v="10"/>
    <x v="6"/>
    <s v="Ft"/>
    <n v="120"/>
    <n v="162"/>
    <n v="6"/>
    <x v="2"/>
    <x v="0"/>
    <n v="0"/>
    <n v="720"/>
    <n v="972"/>
    <n v="252"/>
    <n v="0.35"/>
    <x v="19"/>
    <x v="3"/>
    <x v="0"/>
  </r>
  <r>
    <d v="2021-04-23T00:00:00"/>
    <s v="P0028"/>
    <x v="33"/>
    <x v="5"/>
    <s v="No."/>
    <n v="37"/>
    <n v="41.81"/>
    <n v="10"/>
    <x v="2"/>
    <x v="0"/>
    <n v="0"/>
    <n v="370"/>
    <n v="418.1"/>
    <n v="48.100000000000023"/>
    <n v="0.13000000000000006"/>
    <x v="19"/>
    <x v="3"/>
    <x v="0"/>
  </r>
  <r>
    <d v="2021-04-24T00:00:00"/>
    <s v="P0030"/>
    <x v="28"/>
    <x v="5"/>
    <s v="Ft"/>
    <n v="148"/>
    <n v="201.28"/>
    <n v="2"/>
    <x v="1"/>
    <x v="0"/>
    <n v="0"/>
    <n v="296"/>
    <n v="402.56"/>
    <n v="106.56"/>
    <n v="0.36"/>
    <x v="27"/>
    <x v="3"/>
    <x v="0"/>
  </r>
  <r>
    <d v="2021-04-26T00:00:00"/>
    <s v="P0037"/>
    <x v="8"/>
    <x v="1"/>
    <s v="Kg"/>
    <n v="67"/>
    <n v="85.76"/>
    <n v="3"/>
    <x v="2"/>
    <x v="0"/>
    <n v="0"/>
    <n v="201"/>
    <n v="257.28000000000003"/>
    <n v="56.28000000000003"/>
    <n v="0.28000000000000014"/>
    <x v="12"/>
    <x v="3"/>
    <x v="0"/>
  </r>
  <r>
    <d v="2021-04-29T00:00:00"/>
    <s v="P0030"/>
    <x v="28"/>
    <x v="5"/>
    <s v="Ft"/>
    <n v="148"/>
    <n v="201.28"/>
    <n v="7"/>
    <x v="2"/>
    <x v="0"/>
    <n v="0"/>
    <n v="1036"/>
    <n v="1408.96"/>
    <n v="372.96000000000004"/>
    <n v="0.36000000000000004"/>
    <x v="28"/>
    <x v="3"/>
    <x v="0"/>
  </r>
  <r>
    <d v="2021-04-30T00:00:00"/>
    <s v="P0029"/>
    <x v="19"/>
    <x v="5"/>
    <s v="Lt"/>
    <n v="47"/>
    <n v="53.11"/>
    <n v="1"/>
    <x v="2"/>
    <x v="0"/>
    <n v="0"/>
    <n v="47"/>
    <n v="53.11"/>
    <n v="6.1099999999999994"/>
    <n v="0.12999999999999998"/>
    <x v="24"/>
    <x v="3"/>
    <x v="0"/>
  </r>
  <r>
    <d v="2021-05-01T00:00:00"/>
    <s v="P0018"/>
    <x v="30"/>
    <x v="7"/>
    <s v="No."/>
    <n v="37"/>
    <n v="49.21"/>
    <n v="3"/>
    <x v="1"/>
    <x v="1"/>
    <n v="0"/>
    <n v="111"/>
    <n v="147.63"/>
    <n v="36.629999999999995"/>
    <n v="0.32999999999999996"/>
    <x v="0"/>
    <x v="4"/>
    <x v="0"/>
  </r>
  <r>
    <d v="2021-05-01T00:00:00"/>
    <s v="P0042"/>
    <x v="10"/>
    <x v="6"/>
    <s v="Ft"/>
    <n v="120"/>
    <n v="162"/>
    <n v="1"/>
    <x v="1"/>
    <x v="1"/>
    <n v="0"/>
    <n v="120"/>
    <n v="162"/>
    <n v="42"/>
    <n v="0.35"/>
    <x v="0"/>
    <x v="4"/>
    <x v="0"/>
  </r>
  <r>
    <d v="2021-05-03T00:00:00"/>
    <s v="P0034"/>
    <x v="13"/>
    <x v="4"/>
    <s v="Lt"/>
    <n v="55"/>
    <n v="58.3"/>
    <n v="3"/>
    <x v="1"/>
    <x v="0"/>
    <n v="0"/>
    <n v="165"/>
    <n v="174.89999999999998"/>
    <n v="9.8999999999999773"/>
    <n v="5.9999999999999859E-2"/>
    <x v="2"/>
    <x v="4"/>
    <x v="0"/>
  </r>
  <r>
    <d v="2021-05-04T00:00:00"/>
    <s v="P0015"/>
    <x v="27"/>
    <x v="2"/>
    <s v="No."/>
    <n v="12"/>
    <n v="15.719999999999999"/>
    <n v="13"/>
    <x v="1"/>
    <x v="0"/>
    <n v="0"/>
    <n v="156"/>
    <n v="204.35999999999999"/>
    <n v="48.359999999999985"/>
    <n v="0.30999999999999989"/>
    <x v="3"/>
    <x v="4"/>
    <x v="0"/>
  </r>
  <r>
    <d v="2021-05-04T00:00:00"/>
    <s v="P0014"/>
    <x v="9"/>
    <x v="2"/>
    <s v="Kg"/>
    <n v="112"/>
    <n v="146.72"/>
    <n v="4"/>
    <x v="2"/>
    <x v="1"/>
    <n v="0"/>
    <n v="448"/>
    <n v="586.88"/>
    <n v="138.88"/>
    <n v="0.31"/>
    <x v="3"/>
    <x v="4"/>
    <x v="0"/>
  </r>
  <r>
    <d v="2021-05-05T00:00:00"/>
    <s v="P0009"/>
    <x v="37"/>
    <x v="8"/>
    <s v="No."/>
    <n v="6"/>
    <n v="7.8599999999999994"/>
    <n v="13"/>
    <x v="2"/>
    <x v="1"/>
    <n v="0"/>
    <n v="78"/>
    <n v="102.17999999999999"/>
    <n v="24.179999999999993"/>
    <n v="0.30999999999999989"/>
    <x v="15"/>
    <x v="4"/>
    <x v="0"/>
  </r>
  <r>
    <d v="2021-05-06T00:00:00"/>
    <s v="P0008"/>
    <x v="25"/>
    <x v="8"/>
    <s v="Kg"/>
    <n v="83"/>
    <n v="94.62"/>
    <n v="15"/>
    <x v="2"/>
    <x v="0"/>
    <n v="0"/>
    <n v="1245"/>
    <n v="1419.3000000000002"/>
    <n v="174.30000000000018"/>
    <n v="0.14000000000000015"/>
    <x v="16"/>
    <x v="4"/>
    <x v="0"/>
  </r>
  <r>
    <d v="2021-05-06T00:00:00"/>
    <s v="P0009"/>
    <x v="37"/>
    <x v="8"/>
    <s v="No."/>
    <n v="6"/>
    <n v="7.8599999999999994"/>
    <n v="6"/>
    <x v="1"/>
    <x v="0"/>
    <n v="0"/>
    <n v="36"/>
    <n v="47.16"/>
    <n v="11.159999999999997"/>
    <n v="0.30999999999999989"/>
    <x v="16"/>
    <x v="4"/>
    <x v="0"/>
  </r>
  <r>
    <d v="2021-05-07T00:00:00"/>
    <s v="P0018"/>
    <x v="30"/>
    <x v="7"/>
    <s v="No."/>
    <n v="37"/>
    <n v="49.21"/>
    <n v="1"/>
    <x v="2"/>
    <x v="1"/>
    <n v="0"/>
    <n v="37"/>
    <n v="49.21"/>
    <n v="12.21"/>
    <n v="0.33"/>
    <x v="20"/>
    <x v="4"/>
    <x v="0"/>
  </r>
  <r>
    <d v="2021-05-09T00:00:00"/>
    <s v="P0016"/>
    <x v="21"/>
    <x v="2"/>
    <s v="No."/>
    <n v="13"/>
    <n v="16.64"/>
    <n v="6"/>
    <x v="1"/>
    <x v="0"/>
    <n v="0"/>
    <n v="78"/>
    <n v="99.84"/>
    <n v="21.840000000000003"/>
    <n v="0.28000000000000003"/>
    <x v="4"/>
    <x v="4"/>
    <x v="0"/>
  </r>
  <r>
    <d v="2021-05-09T00:00:00"/>
    <s v="P0028"/>
    <x v="33"/>
    <x v="5"/>
    <s v="No."/>
    <n v="37"/>
    <n v="41.81"/>
    <n v="8"/>
    <x v="2"/>
    <x v="1"/>
    <n v="0"/>
    <n v="296"/>
    <n v="334.48"/>
    <n v="38.480000000000018"/>
    <n v="0.13000000000000006"/>
    <x v="4"/>
    <x v="4"/>
    <x v="0"/>
  </r>
  <r>
    <d v="2021-05-12T00:00:00"/>
    <s v="P0016"/>
    <x v="21"/>
    <x v="2"/>
    <s v="No."/>
    <n v="13"/>
    <n v="16.64"/>
    <n v="3"/>
    <x v="2"/>
    <x v="0"/>
    <n v="0"/>
    <n v="39"/>
    <n v="49.92"/>
    <n v="10.920000000000002"/>
    <n v="0.28000000000000003"/>
    <x v="6"/>
    <x v="4"/>
    <x v="0"/>
  </r>
  <r>
    <d v="2021-05-12T00:00:00"/>
    <s v="P0035"/>
    <x v="4"/>
    <x v="4"/>
    <s v="No."/>
    <n v="5"/>
    <n v="6.7"/>
    <n v="15"/>
    <x v="2"/>
    <x v="0"/>
    <n v="0"/>
    <n v="75"/>
    <n v="100.5"/>
    <n v="25.5"/>
    <n v="0.34"/>
    <x v="6"/>
    <x v="4"/>
    <x v="0"/>
  </r>
  <r>
    <d v="2021-05-13T00:00:00"/>
    <s v="P0029"/>
    <x v="19"/>
    <x v="5"/>
    <s v="Lt"/>
    <n v="47"/>
    <n v="53.11"/>
    <n v="4"/>
    <x v="2"/>
    <x v="0"/>
    <n v="0"/>
    <n v="188"/>
    <n v="212.44"/>
    <n v="24.439999999999998"/>
    <n v="0.12999999999999998"/>
    <x v="22"/>
    <x v="4"/>
    <x v="0"/>
  </r>
  <r>
    <d v="2021-05-20T00:00:00"/>
    <s v="P0042"/>
    <x v="10"/>
    <x v="6"/>
    <s v="Ft"/>
    <n v="120"/>
    <n v="162"/>
    <n v="2"/>
    <x v="1"/>
    <x v="1"/>
    <n v="0"/>
    <n v="240"/>
    <n v="324"/>
    <n v="84"/>
    <n v="0.35"/>
    <x v="9"/>
    <x v="4"/>
    <x v="0"/>
  </r>
  <r>
    <d v="2021-05-23T00:00:00"/>
    <s v="P0040"/>
    <x v="17"/>
    <x v="1"/>
    <s v="Kg"/>
    <n v="90"/>
    <n v="115.2"/>
    <n v="11"/>
    <x v="2"/>
    <x v="0"/>
    <n v="0"/>
    <n v="990"/>
    <n v="1267.2"/>
    <n v="277.20000000000005"/>
    <n v="0.28000000000000003"/>
    <x v="19"/>
    <x v="4"/>
    <x v="0"/>
  </r>
  <r>
    <d v="2021-05-30T00:00:00"/>
    <s v="P0023"/>
    <x v="12"/>
    <x v="0"/>
    <s v="Ft"/>
    <n v="141"/>
    <n v="149.46"/>
    <n v="13"/>
    <x v="1"/>
    <x v="0"/>
    <n v="0"/>
    <n v="1833"/>
    <n v="1942.98"/>
    <n v="109.98000000000002"/>
    <n v="6.0000000000000012E-2"/>
    <x v="24"/>
    <x v="4"/>
    <x v="0"/>
  </r>
  <r>
    <d v="2021-05-30T00:00:00"/>
    <s v="P0013"/>
    <x v="2"/>
    <x v="2"/>
    <s v="Kg"/>
    <n v="112"/>
    <n v="122.08"/>
    <n v="6"/>
    <x v="1"/>
    <x v="1"/>
    <n v="0"/>
    <n v="672"/>
    <n v="732.48"/>
    <n v="60.480000000000018"/>
    <n v="9.0000000000000024E-2"/>
    <x v="24"/>
    <x v="4"/>
    <x v="0"/>
  </r>
  <r>
    <d v="2021-06-03T00:00:00"/>
    <s v="P0021"/>
    <x v="32"/>
    <x v="7"/>
    <s v="Ft"/>
    <n v="126"/>
    <n v="162.54"/>
    <n v="10"/>
    <x v="2"/>
    <x v="1"/>
    <n v="0"/>
    <n v="1260"/>
    <n v="1625.3999999999999"/>
    <n v="365.39999999999986"/>
    <n v="0.28999999999999987"/>
    <x v="2"/>
    <x v="5"/>
    <x v="0"/>
  </r>
  <r>
    <d v="2021-06-04T00:00:00"/>
    <s v="P0020"/>
    <x v="14"/>
    <x v="7"/>
    <s v="Lt"/>
    <n v="61"/>
    <n v="76.25"/>
    <n v="8"/>
    <x v="0"/>
    <x v="0"/>
    <n v="0"/>
    <n v="488"/>
    <n v="610"/>
    <n v="122"/>
    <n v="0.25"/>
    <x v="3"/>
    <x v="5"/>
    <x v="0"/>
  </r>
  <r>
    <d v="2021-06-04T00:00:00"/>
    <s v="P0020"/>
    <x v="14"/>
    <x v="7"/>
    <s v="Lt"/>
    <n v="61"/>
    <n v="76.25"/>
    <n v="12"/>
    <x v="1"/>
    <x v="1"/>
    <n v="0"/>
    <n v="732"/>
    <n v="915"/>
    <n v="183"/>
    <n v="0.25"/>
    <x v="3"/>
    <x v="5"/>
    <x v="0"/>
  </r>
  <r>
    <d v="2021-06-05T00:00:00"/>
    <s v="P0022"/>
    <x v="22"/>
    <x v="0"/>
    <s v="Ft"/>
    <n v="121"/>
    <n v="141.57"/>
    <n v="15"/>
    <x v="0"/>
    <x v="0"/>
    <n v="0"/>
    <n v="1815"/>
    <n v="2123.5499999999997"/>
    <n v="308.54999999999973"/>
    <n v="0.16999999999999985"/>
    <x v="15"/>
    <x v="5"/>
    <x v="0"/>
  </r>
  <r>
    <d v="2021-06-05T00:00:00"/>
    <s v="P0035"/>
    <x v="4"/>
    <x v="4"/>
    <s v="No."/>
    <n v="5"/>
    <n v="6.7"/>
    <n v="10"/>
    <x v="2"/>
    <x v="0"/>
    <n v="0"/>
    <n v="50"/>
    <n v="67"/>
    <n v="17"/>
    <n v="0.34"/>
    <x v="15"/>
    <x v="5"/>
    <x v="0"/>
  </r>
  <r>
    <d v="2021-06-06T00:00:00"/>
    <s v="P0033"/>
    <x v="38"/>
    <x v="4"/>
    <s v="Kg"/>
    <n v="95"/>
    <n v="119.7"/>
    <n v="6"/>
    <x v="2"/>
    <x v="0"/>
    <n v="0"/>
    <n v="570"/>
    <n v="718.2"/>
    <n v="148.20000000000005"/>
    <n v="0.26000000000000006"/>
    <x v="16"/>
    <x v="5"/>
    <x v="0"/>
  </r>
  <r>
    <d v="2021-06-08T00:00:00"/>
    <s v="P0028"/>
    <x v="33"/>
    <x v="5"/>
    <s v="No."/>
    <n v="37"/>
    <n v="41.81"/>
    <n v="11"/>
    <x v="2"/>
    <x v="0"/>
    <n v="0"/>
    <n v="407"/>
    <n v="459.91"/>
    <n v="52.910000000000025"/>
    <n v="0.13000000000000006"/>
    <x v="21"/>
    <x v="5"/>
    <x v="0"/>
  </r>
  <r>
    <d v="2021-06-08T00:00:00"/>
    <s v="P0004"/>
    <x v="3"/>
    <x v="3"/>
    <s v="Lt"/>
    <n v="44"/>
    <n v="48.84"/>
    <n v="11"/>
    <x v="0"/>
    <x v="1"/>
    <n v="0"/>
    <n v="484"/>
    <n v="537.24"/>
    <n v="53.240000000000009"/>
    <n v="0.11000000000000001"/>
    <x v="21"/>
    <x v="5"/>
    <x v="0"/>
  </r>
  <r>
    <d v="2021-06-09T00:00:00"/>
    <s v="P0001"/>
    <x v="16"/>
    <x v="3"/>
    <s v="Kg"/>
    <n v="98"/>
    <n v="103.88"/>
    <n v="7"/>
    <x v="2"/>
    <x v="0"/>
    <n v="0"/>
    <n v="686"/>
    <n v="727.16"/>
    <n v="41.159999999999968"/>
    <n v="5.9999999999999956E-2"/>
    <x v="4"/>
    <x v="5"/>
    <x v="0"/>
  </r>
  <r>
    <d v="2021-06-11T00:00:00"/>
    <s v="P0032"/>
    <x v="18"/>
    <x v="4"/>
    <s v="Kg"/>
    <n v="89"/>
    <n v="117.48"/>
    <n v="12"/>
    <x v="0"/>
    <x v="1"/>
    <n v="0"/>
    <n v="1068"/>
    <n v="1409.76"/>
    <n v="341.76"/>
    <n v="0.32"/>
    <x v="5"/>
    <x v="5"/>
    <x v="0"/>
  </r>
  <r>
    <d v="2021-06-12T00:00:00"/>
    <s v="P0041"/>
    <x v="41"/>
    <x v="1"/>
    <s v="Ft"/>
    <n v="138"/>
    <n v="173.88"/>
    <n v="6"/>
    <x v="2"/>
    <x v="0"/>
    <n v="0"/>
    <n v="828"/>
    <n v="1043.28"/>
    <n v="215.27999999999997"/>
    <n v="0.25999999999999995"/>
    <x v="6"/>
    <x v="5"/>
    <x v="0"/>
  </r>
  <r>
    <d v="2021-06-14T00:00:00"/>
    <s v="P0025"/>
    <x v="7"/>
    <x v="0"/>
    <s v="No."/>
    <n v="7"/>
    <n v="8.33"/>
    <n v="10"/>
    <x v="1"/>
    <x v="1"/>
    <n v="0"/>
    <n v="70"/>
    <n v="83.3"/>
    <n v="13.299999999999997"/>
    <n v="0.18999999999999995"/>
    <x v="29"/>
    <x v="5"/>
    <x v="0"/>
  </r>
  <r>
    <d v="2021-06-16T00:00:00"/>
    <s v="P0019"/>
    <x v="40"/>
    <x v="7"/>
    <s v="Ft"/>
    <n v="150"/>
    <n v="210"/>
    <n v="5"/>
    <x v="0"/>
    <x v="1"/>
    <n v="0"/>
    <n v="750"/>
    <n v="1050"/>
    <n v="300"/>
    <n v="0.4"/>
    <x v="23"/>
    <x v="5"/>
    <x v="0"/>
  </r>
  <r>
    <d v="2021-06-16T00:00:00"/>
    <s v="P0015"/>
    <x v="27"/>
    <x v="2"/>
    <s v="No."/>
    <n v="12"/>
    <n v="15.719999999999999"/>
    <n v="12"/>
    <x v="1"/>
    <x v="1"/>
    <n v="0"/>
    <n v="144"/>
    <n v="188.64"/>
    <n v="44.639999999999986"/>
    <n v="0.30999999999999989"/>
    <x v="23"/>
    <x v="5"/>
    <x v="0"/>
  </r>
  <r>
    <d v="2021-06-16T00:00:00"/>
    <s v="P0039"/>
    <x v="34"/>
    <x v="1"/>
    <s v="No."/>
    <n v="37"/>
    <n v="42.55"/>
    <n v="11"/>
    <x v="2"/>
    <x v="1"/>
    <n v="0"/>
    <n v="407"/>
    <n v="468.04999999999995"/>
    <n v="61.049999999999955"/>
    <n v="0.14999999999999988"/>
    <x v="23"/>
    <x v="5"/>
    <x v="0"/>
  </r>
  <r>
    <d v="2021-06-18T00:00:00"/>
    <s v="P0025"/>
    <x v="7"/>
    <x v="0"/>
    <s v="No."/>
    <n v="7"/>
    <n v="8.33"/>
    <n v="13"/>
    <x v="2"/>
    <x v="1"/>
    <n v="0"/>
    <n v="91"/>
    <n v="108.29"/>
    <n v="17.290000000000006"/>
    <n v="0.19000000000000006"/>
    <x v="7"/>
    <x v="5"/>
    <x v="0"/>
  </r>
  <r>
    <d v="2021-06-19T00:00:00"/>
    <s v="P0041"/>
    <x v="41"/>
    <x v="1"/>
    <s v="Ft"/>
    <n v="138"/>
    <n v="173.88"/>
    <n v="5"/>
    <x v="2"/>
    <x v="0"/>
    <n v="0"/>
    <n v="690"/>
    <n v="869.4"/>
    <n v="179.39999999999998"/>
    <n v="0.25999999999999995"/>
    <x v="8"/>
    <x v="5"/>
    <x v="0"/>
  </r>
  <r>
    <d v="2021-06-20T00:00:00"/>
    <s v="P0016"/>
    <x v="21"/>
    <x v="2"/>
    <s v="No."/>
    <n v="13"/>
    <n v="16.64"/>
    <n v="1"/>
    <x v="0"/>
    <x v="1"/>
    <n v="0"/>
    <n v="13"/>
    <n v="16.64"/>
    <n v="3.6400000000000006"/>
    <n v="0.28000000000000003"/>
    <x v="9"/>
    <x v="5"/>
    <x v="0"/>
  </r>
  <r>
    <d v="2021-06-23T00:00:00"/>
    <s v="P0016"/>
    <x v="21"/>
    <x v="2"/>
    <s v="No."/>
    <n v="13"/>
    <n v="16.64"/>
    <n v="4"/>
    <x v="2"/>
    <x v="0"/>
    <n v="0"/>
    <n v="52"/>
    <n v="66.56"/>
    <n v="14.560000000000002"/>
    <n v="0.28000000000000003"/>
    <x v="19"/>
    <x v="5"/>
    <x v="0"/>
  </r>
  <r>
    <d v="2021-06-24T00:00:00"/>
    <s v="P0011"/>
    <x v="31"/>
    <x v="8"/>
    <s v="Lt"/>
    <n v="44"/>
    <n v="48.4"/>
    <n v="13"/>
    <x v="2"/>
    <x v="0"/>
    <n v="0"/>
    <n v="572"/>
    <n v="629.19999999999993"/>
    <n v="57.199999999999932"/>
    <n v="9.9999999999999881E-2"/>
    <x v="27"/>
    <x v="5"/>
    <x v="0"/>
  </r>
  <r>
    <d v="2021-06-26T00:00:00"/>
    <s v="P0009"/>
    <x v="37"/>
    <x v="8"/>
    <s v="No."/>
    <n v="6"/>
    <n v="7.8599999999999994"/>
    <n v="7"/>
    <x v="1"/>
    <x v="0"/>
    <n v="0"/>
    <n v="42"/>
    <n v="55.019999999999996"/>
    <n v="13.019999999999996"/>
    <n v="0.30999999999999989"/>
    <x v="12"/>
    <x v="5"/>
    <x v="0"/>
  </r>
  <r>
    <d v="2021-06-27T00:00:00"/>
    <s v="P0005"/>
    <x v="24"/>
    <x v="3"/>
    <s v="Ft"/>
    <n v="133"/>
    <n v="155.61000000000001"/>
    <n v="11"/>
    <x v="2"/>
    <x v="1"/>
    <n v="0"/>
    <n v="1463"/>
    <n v="1711.71"/>
    <n v="248.71000000000004"/>
    <n v="0.17"/>
    <x v="13"/>
    <x v="5"/>
    <x v="0"/>
  </r>
  <r>
    <d v="2021-06-28T00:00:00"/>
    <s v="P0021"/>
    <x v="32"/>
    <x v="7"/>
    <s v="Ft"/>
    <n v="126"/>
    <n v="162.54"/>
    <n v="2"/>
    <x v="1"/>
    <x v="1"/>
    <n v="0"/>
    <n v="252"/>
    <n v="325.08"/>
    <n v="73.079999999999984"/>
    <n v="0.28999999999999992"/>
    <x v="14"/>
    <x v="5"/>
    <x v="0"/>
  </r>
  <r>
    <d v="2021-06-28T00:00:00"/>
    <s v="P0035"/>
    <x v="4"/>
    <x v="4"/>
    <s v="No."/>
    <n v="5"/>
    <n v="6.7"/>
    <n v="7"/>
    <x v="1"/>
    <x v="0"/>
    <n v="0"/>
    <n v="35"/>
    <n v="46.9"/>
    <n v="11.899999999999999"/>
    <n v="0.33999999999999997"/>
    <x v="14"/>
    <x v="5"/>
    <x v="0"/>
  </r>
  <r>
    <d v="2021-06-29T00:00:00"/>
    <s v="P0014"/>
    <x v="9"/>
    <x v="2"/>
    <s v="Kg"/>
    <n v="112"/>
    <n v="146.72"/>
    <n v="4"/>
    <x v="2"/>
    <x v="0"/>
    <n v="0"/>
    <n v="448"/>
    <n v="586.88"/>
    <n v="138.88"/>
    <n v="0.31"/>
    <x v="28"/>
    <x v="5"/>
    <x v="0"/>
  </r>
  <r>
    <d v="2021-07-01T00:00:00"/>
    <s v="P0005"/>
    <x v="24"/>
    <x v="3"/>
    <s v="Ft"/>
    <n v="133"/>
    <n v="155.61000000000001"/>
    <n v="11"/>
    <x v="2"/>
    <x v="1"/>
    <n v="0"/>
    <n v="1463"/>
    <n v="1711.71"/>
    <n v="248.71000000000004"/>
    <n v="0.17"/>
    <x v="0"/>
    <x v="6"/>
    <x v="0"/>
  </r>
  <r>
    <d v="2021-07-02T00:00:00"/>
    <s v="P0010"/>
    <x v="20"/>
    <x v="8"/>
    <s v="Ft"/>
    <n v="148"/>
    <n v="164.28"/>
    <n v="11"/>
    <x v="2"/>
    <x v="1"/>
    <n v="0"/>
    <n v="1628"/>
    <n v="1807.08"/>
    <n v="179.07999999999993"/>
    <n v="0.10999999999999996"/>
    <x v="1"/>
    <x v="6"/>
    <x v="0"/>
  </r>
  <r>
    <d v="2021-07-03T00:00:00"/>
    <s v="P0033"/>
    <x v="38"/>
    <x v="4"/>
    <s v="Kg"/>
    <n v="95"/>
    <n v="119.7"/>
    <n v="9"/>
    <x v="1"/>
    <x v="1"/>
    <n v="0"/>
    <n v="855"/>
    <n v="1077.3"/>
    <n v="222.29999999999995"/>
    <n v="0.25999999999999995"/>
    <x v="2"/>
    <x v="6"/>
    <x v="0"/>
  </r>
  <r>
    <d v="2021-07-03T00:00:00"/>
    <s v="P0003"/>
    <x v="6"/>
    <x v="3"/>
    <s v="Kg"/>
    <n v="71"/>
    <n v="80.94"/>
    <n v="8"/>
    <x v="1"/>
    <x v="1"/>
    <n v="0"/>
    <n v="568"/>
    <n v="647.52"/>
    <n v="79.519999999999982"/>
    <n v="0.13999999999999996"/>
    <x v="2"/>
    <x v="6"/>
    <x v="0"/>
  </r>
  <r>
    <d v="2021-07-05T00:00:00"/>
    <s v="P0002"/>
    <x v="29"/>
    <x v="3"/>
    <s v="Kg"/>
    <n v="105"/>
    <n v="142.80000000000001"/>
    <n v="8"/>
    <x v="2"/>
    <x v="0"/>
    <n v="0"/>
    <n v="840"/>
    <n v="1142.4000000000001"/>
    <n v="302.40000000000009"/>
    <n v="0.3600000000000001"/>
    <x v="15"/>
    <x v="6"/>
    <x v="0"/>
  </r>
  <r>
    <d v="2021-07-06T00:00:00"/>
    <s v="P0041"/>
    <x v="41"/>
    <x v="1"/>
    <s v="Ft"/>
    <n v="138"/>
    <n v="173.88"/>
    <n v="15"/>
    <x v="2"/>
    <x v="1"/>
    <n v="0"/>
    <n v="2070"/>
    <n v="2608.1999999999998"/>
    <n v="538.19999999999982"/>
    <n v="0.2599999999999999"/>
    <x v="16"/>
    <x v="6"/>
    <x v="0"/>
  </r>
  <r>
    <d v="2021-07-08T00:00:00"/>
    <s v="P0004"/>
    <x v="3"/>
    <x v="3"/>
    <s v="Lt"/>
    <n v="44"/>
    <n v="48.84"/>
    <n v="10"/>
    <x v="2"/>
    <x v="0"/>
    <n v="0"/>
    <n v="440"/>
    <n v="488.40000000000003"/>
    <n v="48.400000000000034"/>
    <n v="0.11000000000000008"/>
    <x v="21"/>
    <x v="6"/>
    <x v="0"/>
  </r>
  <r>
    <d v="2021-07-10T00:00:00"/>
    <s v="P0034"/>
    <x v="13"/>
    <x v="4"/>
    <s v="Lt"/>
    <n v="55"/>
    <n v="58.3"/>
    <n v="6"/>
    <x v="0"/>
    <x v="1"/>
    <n v="0"/>
    <n v="330"/>
    <n v="349.79999999999995"/>
    <n v="19.799999999999955"/>
    <n v="5.9999999999999859E-2"/>
    <x v="26"/>
    <x v="6"/>
    <x v="0"/>
  </r>
  <r>
    <d v="2021-07-11T00:00:00"/>
    <s v="P0009"/>
    <x v="37"/>
    <x v="8"/>
    <s v="No."/>
    <n v="6"/>
    <n v="7.8599999999999994"/>
    <n v="4"/>
    <x v="0"/>
    <x v="0"/>
    <n v="0"/>
    <n v="24"/>
    <n v="31.439999999999998"/>
    <n v="7.4399999999999977"/>
    <n v="0.30999999999999989"/>
    <x v="5"/>
    <x v="6"/>
    <x v="0"/>
  </r>
  <r>
    <d v="2021-07-13T00:00:00"/>
    <s v="P0019"/>
    <x v="40"/>
    <x v="7"/>
    <s v="Ft"/>
    <n v="150"/>
    <n v="210"/>
    <n v="1"/>
    <x v="2"/>
    <x v="1"/>
    <n v="0"/>
    <n v="150"/>
    <n v="210"/>
    <n v="60"/>
    <n v="0.4"/>
    <x v="22"/>
    <x v="6"/>
    <x v="0"/>
  </r>
  <r>
    <d v="2021-07-16T00:00:00"/>
    <s v="P0023"/>
    <x v="12"/>
    <x v="0"/>
    <s v="Ft"/>
    <n v="141"/>
    <n v="149.46"/>
    <n v="8"/>
    <x v="0"/>
    <x v="1"/>
    <n v="0"/>
    <n v="1128"/>
    <n v="1195.68"/>
    <n v="67.680000000000064"/>
    <n v="6.0000000000000053E-2"/>
    <x v="23"/>
    <x v="6"/>
    <x v="0"/>
  </r>
  <r>
    <d v="2021-07-18T00:00:00"/>
    <s v="P0027"/>
    <x v="26"/>
    <x v="5"/>
    <s v="Lt"/>
    <n v="48"/>
    <n v="57.120000000000005"/>
    <n v="14"/>
    <x v="1"/>
    <x v="0"/>
    <n v="0"/>
    <n v="672"/>
    <n v="799.68000000000006"/>
    <n v="127.68000000000006"/>
    <n v="0.19000000000000009"/>
    <x v="7"/>
    <x v="6"/>
    <x v="0"/>
  </r>
  <r>
    <d v="2021-07-20T00:00:00"/>
    <s v="P0038"/>
    <x v="1"/>
    <x v="1"/>
    <s v="Kg"/>
    <n v="72"/>
    <n v="79.92"/>
    <n v="11"/>
    <x v="1"/>
    <x v="0"/>
    <n v="0"/>
    <n v="792"/>
    <n v="879.12"/>
    <n v="87.12"/>
    <n v="0.11"/>
    <x v="9"/>
    <x v="6"/>
    <x v="0"/>
  </r>
  <r>
    <d v="2021-07-20T00:00:00"/>
    <s v="P0043"/>
    <x v="23"/>
    <x v="6"/>
    <s v="Kg"/>
    <n v="67"/>
    <n v="83.08"/>
    <n v="5"/>
    <x v="2"/>
    <x v="0"/>
    <n v="0"/>
    <n v="335"/>
    <n v="415.4"/>
    <n v="80.399999999999977"/>
    <n v="0.23999999999999994"/>
    <x v="9"/>
    <x v="6"/>
    <x v="0"/>
  </r>
  <r>
    <d v="2021-07-21T00:00:00"/>
    <s v="P0029"/>
    <x v="19"/>
    <x v="5"/>
    <s v="Lt"/>
    <n v="47"/>
    <n v="53.11"/>
    <n v="15"/>
    <x v="2"/>
    <x v="0"/>
    <n v="0"/>
    <n v="705"/>
    <n v="796.65"/>
    <n v="91.649999999999977"/>
    <n v="0.12999999999999998"/>
    <x v="10"/>
    <x v="6"/>
    <x v="0"/>
  </r>
  <r>
    <d v="2021-07-22T00:00:00"/>
    <s v="P0026"/>
    <x v="42"/>
    <x v="0"/>
    <s v="No."/>
    <n v="18"/>
    <n v="24.66"/>
    <n v="3"/>
    <x v="0"/>
    <x v="1"/>
    <n v="0"/>
    <n v="54"/>
    <n v="73.98"/>
    <n v="19.980000000000004"/>
    <n v="0.37000000000000005"/>
    <x v="18"/>
    <x v="6"/>
    <x v="0"/>
  </r>
  <r>
    <d v="2021-07-22T00:00:00"/>
    <s v="P0024"/>
    <x v="0"/>
    <x v="0"/>
    <s v="Ft"/>
    <n v="144"/>
    <n v="156.96"/>
    <n v="14"/>
    <x v="1"/>
    <x v="1"/>
    <n v="0"/>
    <n v="2016"/>
    <n v="2197.44"/>
    <n v="181.44000000000005"/>
    <n v="9.0000000000000024E-2"/>
    <x v="18"/>
    <x v="6"/>
    <x v="0"/>
  </r>
  <r>
    <d v="2021-07-23T00:00:00"/>
    <s v="P0036"/>
    <x v="43"/>
    <x v="4"/>
    <s v="Kg"/>
    <n v="90"/>
    <n v="96.3"/>
    <n v="7"/>
    <x v="0"/>
    <x v="0"/>
    <n v="0"/>
    <n v="630"/>
    <n v="674.1"/>
    <n v="44.100000000000023"/>
    <n v="7.0000000000000034E-2"/>
    <x v="19"/>
    <x v="6"/>
    <x v="0"/>
  </r>
  <r>
    <d v="2021-07-23T00:00:00"/>
    <s v="P0037"/>
    <x v="8"/>
    <x v="1"/>
    <s v="Kg"/>
    <n v="67"/>
    <n v="85.76"/>
    <n v="8"/>
    <x v="2"/>
    <x v="0"/>
    <n v="0"/>
    <n v="536"/>
    <n v="686.08"/>
    <n v="150.08000000000004"/>
    <n v="0.28000000000000008"/>
    <x v="19"/>
    <x v="6"/>
    <x v="0"/>
  </r>
  <r>
    <d v="2021-07-24T00:00:00"/>
    <s v="P0009"/>
    <x v="37"/>
    <x v="8"/>
    <s v="No."/>
    <n v="6"/>
    <n v="7.8599999999999994"/>
    <n v="4"/>
    <x v="1"/>
    <x v="1"/>
    <n v="0"/>
    <n v="24"/>
    <n v="31.439999999999998"/>
    <n v="7.4399999999999977"/>
    <n v="0.30999999999999989"/>
    <x v="27"/>
    <x v="6"/>
    <x v="0"/>
  </r>
  <r>
    <d v="2021-07-29T00:00:00"/>
    <s v="P0044"/>
    <x v="11"/>
    <x v="6"/>
    <s v="Kg"/>
    <n v="76"/>
    <n v="82.08"/>
    <n v="15"/>
    <x v="1"/>
    <x v="1"/>
    <n v="0"/>
    <n v="1140"/>
    <n v="1231.2"/>
    <n v="91.200000000000045"/>
    <n v="8.0000000000000043E-2"/>
    <x v="28"/>
    <x v="6"/>
    <x v="0"/>
  </r>
  <r>
    <d v="2021-08-01T00:00:00"/>
    <s v="P0001"/>
    <x v="16"/>
    <x v="3"/>
    <s v="Kg"/>
    <n v="98"/>
    <n v="103.88"/>
    <n v="11"/>
    <x v="2"/>
    <x v="1"/>
    <n v="0"/>
    <n v="1078"/>
    <n v="1142.6799999999998"/>
    <n v="64.679999999999836"/>
    <n v="5.9999999999999845E-2"/>
    <x v="0"/>
    <x v="7"/>
    <x v="0"/>
  </r>
  <r>
    <d v="2021-08-02T00:00:00"/>
    <s v="P0023"/>
    <x v="12"/>
    <x v="0"/>
    <s v="Ft"/>
    <n v="141"/>
    <n v="149.46"/>
    <n v="3"/>
    <x v="2"/>
    <x v="0"/>
    <n v="0"/>
    <n v="423"/>
    <n v="448.38"/>
    <n v="25.379999999999995"/>
    <n v="5.9999999999999991E-2"/>
    <x v="1"/>
    <x v="7"/>
    <x v="0"/>
  </r>
  <r>
    <d v="2021-08-03T00:00:00"/>
    <s v="P0022"/>
    <x v="22"/>
    <x v="0"/>
    <s v="Ft"/>
    <n v="121"/>
    <n v="141.57"/>
    <n v="13"/>
    <x v="1"/>
    <x v="0"/>
    <n v="0"/>
    <n v="1573"/>
    <n v="1840.4099999999999"/>
    <n v="267.40999999999985"/>
    <n v="0.1699999999999999"/>
    <x v="2"/>
    <x v="7"/>
    <x v="0"/>
  </r>
  <r>
    <d v="2021-08-03T00:00:00"/>
    <s v="P0034"/>
    <x v="13"/>
    <x v="4"/>
    <s v="Lt"/>
    <n v="55"/>
    <n v="58.3"/>
    <n v="12"/>
    <x v="1"/>
    <x v="0"/>
    <n v="0"/>
    <n v="660"/>
    <n v="699.59999999999991"/>
    <n v="39.599999999999909"/>
    <n v="5.9999999999999859E-2"/>
    <x v="2"/>
    <x v="7"/>
    <x v="0"/>
  </r>
  <r>
    <d v="2021-08-05T00:00:00"/>
    <s v="P0028"/>
    <x v="33"/>
    <x v="5"/>
    <s v="No."/>
    <n v="37"/>
    <n v="41.81"/>
    <n v="14"/>
    <x v="2"/>
    <x v="1"/>
    <n v="0"/>
    <n v="518"/>
    <n v="585.34"/>
    <n v="67.340000000000032"/>
    <n v="0.13000000000000006"/>
    <x v="15"/>
    <x v="7"/>
    <x v="0"/>
  </r>
  <r>
    <d v="2021-08-06T00:00:00"/>
    <s v="P0037"/>
    <x v="8"/>
    <x v="1"/>
    <s v="Kg"/>
    <n v="67"/>
    <n v="85.76"/>
    <n v="1"/>
    <x v="0"/>
    <x v="1"/>
    <n v="0"/>
    <n v="67"/>
    <n v="85.76"/>
    <n v="18.760000000000005"/>
    <n v="0.28000000000000008"/>
    <x v="16"/>
    <x v="7"/>
    <x v="0"/>
  </r>
  <r>
    <d v="2021-08-10T00:00:00"/>
    <s v="P0005"/>
    <x v="24"/>
    <x v="3"/>
    <s v="Ft"/>
    <n v="133"/>
    <n v="155.61000000000001"/>
    <n v="4"/>
    <x v="0"/>
    <x v="1"/>
    <n v="0"/>
    <n v="532"/>
    <n v="622.44000000000005"/>
    <n v="90.440000000000055"/>
    <n v="0.1700000000000001"/>
    <x v="26"/>
    <x v="7"/>
    <x v="0"/>
  </r>
  <r>
    <d v="2021-08-10T00:00:00"/>
    <s v="P0044"/>
    <x v="11"/>
    <x v="6"/>
    <s v="Kg"/>
    <n v="76"/>
    <n v="82.08"/>
    <n v="10"/>
    <x v="1"/>
    <x v="1"/>
    <n v="0"/>
    <n v="760"/>
    <n v="820.8"/>
    <n v="60.799999999999955"/>
    <n v="7.9999999999999946E-2"/>
    <x v="26"/>
    <x v="7"/>
    <x v="0"/>
  </r>
  <r>
    <d v="2021-08-10T00:00:00"/>
    <s v="P0006"/>
    <x v="15"/>
    <x v="8"/>
    <s v="Kg"/>
    <n v="75"/>
    <n v="85.5"/>
    <n v="6"/>
    <x v="2"/>
    <x v="1"/>
    <n v="0"/>
    <n v="450"/>
    <n v="513"/>
    <n v="63"/>
    <n v="0.14000000000000001"/>
    <x v="26"/>
    <x v="7"/>
    <x v="0"/>
  </r>
  <r>
    <d v="2021-08-11T00:00:00"/>
    <s v="P0023"/>
    <x v="12"/>
    <x v="0"/>
    <s v="Ft"/>
    <n v="141"/>
    <n v="149.46"/>
    <n v="4"/>
    <x v="2"/>
    <x v="0"/>
    <n v="0"/>
    <n v="564"/>
    <n v="597.84"/>
    <n v="33.840000000000032"/>
    <n v="6.0000000000000053E-2"/>
    <x v="5"/>
    <x v="7"/>
    <x v="0"/>
  </r>
  <r>
    <d v="2021-08-13T00:00:00"/>
    <s v="P0011"/>
    <x v="31"/>
    <x v="8"/>
    <s v="Lt"/>
    <n v="44"/>
    <n v="48.4"/>
    <n v="13"/>
    <x v="2"/>
    <x v="0"/>
    <n v="0"/>
    <n v="572"/>
    <n v="629.19999999999993"/>
    <n v="57.199999999999932"/>
    <n v="9.9999999999999881E-2"/>
    <x v="22"/>
    <x v="7"/>
    <x v="0"/>
  </r>
  <r>
    <d v="2021-08-13T00:00:00"/>
    <s v="P0027"/>
    <x v="26"/>
    <x v="5"/>
    <s v="Lt"/>
    <n v="48"/>
    <n v="57.120000000000005"/>
    <n v="9"/>
    <x v="2"/>
    <x v="0"/>
    <n v="0"/>
    <n v="432"/>
    <n v="514.08000000000004"/>
    <n v="82.080000000000041"/>
    <n v="0.19000000000000009"/>
    <x v="22"/>
    <x v="7"/>
    <x v="0"/>
  </r>
  <r>
    <d v="2021-08-16T00:00:00"/>
    <s v="P0003"/>
    <x v="6"/>
    <x v="3"/>
    <s v="Kg"/>
    <n v="71"/>
    <n v="80.94"/>
    <n v="3"/>
    <x v="1"/>
    <x v="0"/>
    <n v="0"/>
    <n v="213"/>
    <n v="242.82"/>
    <n v="29.819999999999993"/>
    <n v="0.13999999999999996"/>
    <x v="23"/>
    <x v="7"/>
    <x v="0"/>
  </r>
  <r>
    <d v="2021-08-18T00:00:00"/>
    <s v="P0025"/>
    <x v="7"/>
    <x v="0"/>
    <s v="No."/>
    <n v="7"/>
    <n v="8.33"/>
    <n v="6"/>
    <x v="2"/>
    <x v="0"/>
    <n v="0"/>
    <n v="42"/>
    <n v="49.980000000000004"/>
    <n v="7.980000000000004"/>
    <n v="0.19000000000000009"/>
    <x v="7"/>
    <x v="7"/>
    <x v="0"/>
  </r>
  <r>
    <d v="2021-08-20T00:00:00"/>
    <s v="P0020"/>
    <x v="14"/>
    <x v="7"/>
    <s v="Lt"/>
    <n v="61"/>
    <n v="76.25"/>
    <n v="15"/>
    <x v="2"/>
    <x v="1"/>
    <n v="0"/>
    <n v="915"/>
    <n v="1143.75"/>
    <n v="228.75"/>
    <n v="0.25"/>
    <x v="9"/>
    <x v="7"/>
    <x v="0"/>
  </r>
  <r>
    <d v="2021-08-20T00:00:00"/>
    <s v="P0031"/>
    <x v="5"/>
    <x v="5"/>
    <s v="Kg"/>
    <n v="93"/>
    <n v="104.16"/>
    <n v="9"/>
    <x v="2"/>
    <x v="0"/>
    <n v="0"/>
    <n v="837"/>
    <n v="937.43999999999994"/>
    <n v="100.43999999999994"/>
    <n v="0.11999999999999993"/>
    <x v="9"/>
    <x v="7"/>
    <x v="0"/>
  </r>
  <r>
    <d v="2021-08-20T00:00:00"/>
    <s v="P0028"/>
    <x v="33"/>
    <x v="5"/>
    <s v="No."/>
    <n v="37"/>
    <n v="41.81"/>
    <n v="13"/>
    <x v="2"/>
    <x v="0"/>
    <n v="0"/>
    <n v="481"/>
    <n v="543.53"/>
    <n v="62.529999999999973"/>
    <n v="0.12999999999999995"/>
    <x v="9"/>
    <x v="7"/>
    <x v="0"/>
  </r>
  <r>
    <d v="2021-08-26T00:00:00"/>
    <s v="P0039"/>
    <x v="34"/>
    <x v="1"/>
    <s v="No."/>
    <n v="37"/>
    <n v="42.55"/>
    <n v="4"/>
    <x v="2"/>
    <x v="0"/>
    <n v="0"/>
    <n v="148"/>
    <n v="170.2"/>
    <n v="22.199999999999989"/>
    <n v="0.14999999999999991"/>
    <x v="12"/>
    <x v="7"/>
    <x v="0"/>
  </r>
  <r>
    <d v="2021-08-29T00:00:00"/>
    <s v="P0034"/>
    <x v="13"/>
    <x v="4"/>
    <s v="Lt"/>
    <n v="55"/>
    <n v="58.3"/>
    <n v="12"/>
    <x v="0"/>
    <x v="0"/>
    <n v="0"/>
    <n v="660"/>
    <n v="699.59999999999991"/>
    <n v="39.599999999999909"/>
    <n v="5.9999999999999859E-2"/>
    <x v="28"/>
    <x v="7"/>
    <x v="0"/>
  </r>
  <r>
    <d v="2021-08-30T00:00:00"/>
    <s v="P0013"/>
    <x v="2"/>
    <x v="2"/>
    <s v="Kg"/>
    <n v="112"/>
    <n v="122.08"/>
    <n v="13"/>
    <x v="2"/>
    <x v="0"/>
    <n v="0"/>
    <n v="1456"/>
    <n v="1587.04"/>
    <n v="131.03999999999996"/>
    <n v="8.9999999999999969E-2"/>
    <x v="24"/>
    <x v="7"/>
    <x v="0"/>
  </r>
  <r>
    <d v="2021-08-31T00:00:00"/>
    <s v="P0001"/>
    <x v="16"/>
    <x v="3"/>
    <s v="Kg"/>
    <n v="98"/>
    <n v="103.88"/>
    <n v="2"/>
    <x v="2"/>
    <x v="0"/>
    <n v="0"/>
    <n v="196"/>
    <n v="207.76"/>
    <n v="11.759999999999991"/>
    <n v="5.9999999999999956E-2"/>
    <x v="25"/>
    <x v="7"/>
    <x v="0"/>
  </r>
  <r>
    <d v="2021-08-31T00:00:00"/>
    <s v="P0035"/>
    <x v="4"/>
    <x v="4"/>
    <s v="No."/>
    <n v="5"/>
    <n v="6.7"/>
    <n v="11"/>
    <x v="2"/>
    <x v="0"/>
    <n v="0"/>
    <n v="55"/>
    <n v="73.7"/>
    <n v="18.700000000000003"/>
    <n v="0.34"/>
    <x v="25"/>
    <x v="7"/>
    <x v="0"/>
  </r>
  <r>
    <d v="2021-09-01T00:00:00"/>
    <s v="P0024"/>
    <x v="0"/>
    <x v="0"/>
    <s v="Ft"/>
    <n v="144"/>
    <n v="156.96"/>
    <n v="1"/>
    <x v="0"/>
    <x v="1"/>
    <n v="0"/>
    <n v="144"/>
    <n v="156.96"/>
    <n v="12.960000000000008"/>
    <n v="9.0000000000000052E-2"/>
    <x v="0"/>
    <x v="8"/>
    <x v="0"/>
  </r>
  <r>
    <d v="2021-09-01T00:00:00"/>
    <s v="P0003"/>
    <x v="6"/>
    <x v="3"/>
    <s v="Kg"/>
    <n v="71"/>
    <n v="80.94"/>
    <n v="14"/>
    <x v="1"/>
    <x v="0"/>
    <n v="0"/>
    <n v="994"/>
    <n v="1133.1599999999999"/>
    <n v="139.15999999999985"/>
    <n v="0.13999999999999985"/>
    <x v="0"/>
    <x v="8"/>
    <x v="0"/>
  </r>
  <r>
    <d v="2021-09-03T00:00:00"/>
    <s v="P0041"/>
    <x v="41"/>
    <x v="1"/>
    <s v="Ft"/>
    <n v="138"/>
    <n v="173.88"/>
    <n v="8"/>
    <x v="2"/>
    <x v="0"/>
    <n v="0"/>
    <n v="1104"/>
    <n v="1391.04"/>
    <n v="287.03999999999996"/>
    <n v="0.25999999999999995"/>
    <x v="2"/>
    <x v="8"/>
    <x v="0"/>
  </r>
  <r>
    <d v="2021-09-04T00:00:00"/>
    <s v="P0028"/>
    <x v="33"/>
    <x v="5"/>
    <s v="No."/>
    <n v="37"/>
    <n v="41.81"/>
    <n v="7"/>
    <x v="2"/>
    <x v="0"/>
    <n v="0"/>
    <n v="259"/>
    <n v="292.67"/>
    <n v="33.670000000000016"/>
    <n v="0.13000000000000006"/>
    <x v="3"/>
    <x v="8"/>
    <x v="0"/>
  </r>
  <r>
    <d v="2021-09-04T00:00:00"/>
    <s v="P0023"/>
    <x v="12"/>
    <x v="0"/>
    <s v="Ft"/>
    <n v="141"/>
    <n v="149.46"/>
    <n v="15"/>
    <x v="2"/>
    <x v="0"/>
    <n v="0"/>
    <n v="2115"/>
    <n v="2241.9"/>
    <n v="126.90000000000009"/>
    <n v="6.0000000000000046E-2"/>
    <x v="3"/>
    <x v="8"/>
    <x v="0"/>
  </r>
  <r>
    <d v="2021-09-05T00:00:00"/>
    <s v="P0032"/>
    <x v="18"/>
    <x v="4"/>
    <s v="Kg"/>
    <n v="89"/>
    <n v="117.48"/>
    <n v="1"/>
    <x v="2"/>
    <x v="1"/>
    <n v="0"/>
    <n v="89"/>
    <n v="117.48"/>
    <n v="28.480000000000004"/>
    <n v="0.32000000000000006"/>
    <x v="15"/>
    <x v="8"/>
    <x v="0"/>
  </r>
  <r>
    <d v="2021-09-07T00:00:00"/>
    <s v="P0019"/>
    <x v="40"/>
    <x v="7"/>
    <s v="Ft"/>
    <n v="150"/>
    <n v="210"/>
    <n v="5"/>
    <x v="2"/>
    <x v="0"/>
    <n v="0"/>
    <n v="750"/>
    <n v="1050"/>
    <n v="300"/>
    <n v="0.4"/>
    <x v="20"/>
    <x v="8"/>
    <x v="0"/>
  </r>
  <r>
    <d v="2021-09-09T00:00:00"/>
    <s v="P0044"/>
    <x v="11"/>
    <x v="6"/>
    <s v="Kg"/>
    <n v="76"/>
    <n v="82.08"/>
    <n v="4"/>
    <x v="2"/>
    <x v="0"/>
    <n v="0"/>
    <n v="304"/>
    <n v="328.32"/>
    <n v="24.319999999999993"/>
    <n v="7.9999999999999974E-2"/>
    <x v="4"/>
    <x v="8"/>
    <x v="0"/>
  </r>
  <r>
    <d v="2021-09-10T00:00:00"/>
    <s v="P0030"/>
    <x v="28"/>
    <x v="5"/>
    <s v="Ft"/>
    <n v="148"/>
    <n v="201.28"/>
    <n v="6"/>
    <x v="2"/>
    <x v="0"/>
    <n v="0"/>
    <n v="888"/>
    <n v="1207.68"/>
    <n v="319.68000000000006"/>
    <n v="0.3600000000000001"/>
    <x v="26"/>
    <x v="8"/>
    <x v="0"/>
  </r>
  <r>
    <d v="2021-09-10T00:00:00"/>
    <s v="P0001"/>
    <x v="16"/>
    <x v="3"/>
    <s v="Kg"/>
    <n v="98"/>
    <n v="103.88"/>
    <n v="9"/>
    <x v="0"/>
    <x v="0"/>
    <n v="0"/>
    <n v="882"/>
    <n v="934.92"/>
    <n v="52.919999999999959"/>
    <n v="5.9999999999999956E-2"/>
    <x v="26"/>
    <x v="8"/>
    <x v="0"/>
  </r>
  <r>
    <d v="2021-09-10T00:00:00"/>
    <s v="P0026"/>
    <x v="42"/>
    <x v="0"/>
    <s v="No."/>
    <n v="18"/>
    <n v="24.66"/>
    <n v="2"/>
    <x v="2"/>
    <x v="0"/>
    <n v="0"/>
    <n v="36"/>
    <n v="49.32"/>
    <n v="13.32"/>
    <n v="0.37"/>
    <x v="26"/>
    <x v="8"/>
    <x v="0"/>
  </r>
  <r>
    <d v="2021-09-11T00:00:00"/>
    <s v="P0001"/>
    <x v="16"/>
    <x v="3"/>
    <s v="Kg"/>
    <n v="98"/>
    <n v="103.88"/>
    <n v="6"/>
    <x v="0"/>
    <x v="0"/>
    <n v="0"/>
    <n v="588"/>
    <n v="623.28"/>
    <n v="35.279999999999973"/>
    <n v="5.9999999999999956E-2"/>
    <x v="5"/>
    <x v="8"/>
    <x v="0"/>
  </r>
  <r>
    <d v="2021-09-13T00:00:00"/>
    <s v="P0041"/>
    <x v="41"/>
    <x v="1"/>
    <s v="Ft"/>
    <n v="138"/>
    <n v="173.88"/>
    <n v="7"/>
    <x v="2"/>
    <x v="1"/>
    <n v="0"/>
    <n v="966"/>
    <n v="1217.1599999999999"/>
    <n v="251.15999999999985"/>
    <n v="0.25999999999999984"/>
    <x v="22"/>
    <x v="8"/>
    <x v="0"/>
  </r>
  <r>
    <d v="2021-09-15T00:00:00"/>
    <s v="P0042"/>
    <x v="10"/>
    <x v="6"/>
    <s v="Ft"/>
    <n v="120"/>
    <n v="162"/>
    <n v="6"/>
    <x v="2"/>
    <x v="0"/>
    <n v="0"/>
    <n v="720"/>
    <n v="972"/>
    <n v="252"/>
    <n v="0.35"/>
    <x v="17"/>
    <x v="8"/>
    <x v="0"/>
  </r>
  <r>
    <d v="2021-09-15T00:00:00"/>
    <s v="P0042"/>
    <x v="10"/>
    <x v="6"/>
    <s v="Ft"/>
    <n v="120"/>
    <n v="162"/>
    <n v="14"/>
    <x v="2"/>
    <x v="0"/>
    <n v="0"/>
    <n v="1680"/>
    <n v="2268"/>
    <n v="588"/>
    <n v="0.35"/>
    <x v="17"/>
    <x v="8"/>
    <x v="0"/>
  </r>
  <r>
    <d v="2021-09-21T00:00:00"/>
    <s v="P0020"/>
    <x v="14"/>
    <x v="7"/>
    <s v="Lt"/>
    <n v="61"/>
    <n v="76.25"/>
    <n v="7"/>
    <x v="0"/>
    <x v="1"/>
    <n v="0"/>
    <n v="427"/>
    <n v="533.75"/>
    <n v="106.75"/>
    <n v="0.25"/>
    <x v="10"/>
    <x v="8"/>
    <x v="0"/>
  </r>
  <r>
    <d v="2021-09-22T00:00:00"/>
    <s v="P0040"/>
    <x v="17"/>
    <x v="1"/>
    <s v="Kg"/>
    <n v="90"/>
    <n v="115.2"/>
    <n v="2"/>
    <x v="1"/>
    <x v="1"/>
    <n v="0"/>
    <n v="180"/>
    <n v="230.4"/>
    <n v="50.400000000000006"/>
    <n v="0.28000000000000003"/>
    <x v="18"/>
    <x v="8"/>
    <x v="0"/>
  </r>
  <r>
    <d v="2021-09-22T00:00:00"/>
    <s v="P0002"/>
    <x v="29"/>
    <x v="3"/>
    <s v="Kg"/>
    <n v="105"/>
    <n v="142.80000000000001"/>
    <n v="4"/>
    <x v="2"/>
    <x v="1"/>
    <n v="0"/>
    <n v="420"/>
    <n v="571.20000000000005"/>
    <n v="151.20000000000005"/>
    <n v="0.3600000000000001"/>
    <x v="18"/>
    <x v="8"/>
    <x v="0"/>
  </r>
  <r>
    <d v="2021-09-23T00:00:00"/>
    <s v="P0018"/>
    <x v="30"/>
    <x v="7"/>
    <s v="No."/>
    <n v="37"/>
    <n v="49.21"/>
    <n v="12"/>
    <x v="2"/>
    <x v="1"/>
    <n v="0"/>
    <n v="444"/>
    <n v="590.52"/>
    <n v="146.51999999999998"/>
    <n v="0.32999999999999996"/>
    <x v="19"/>
    <x v="8"/>
    <x v="0"/>
  </r>
  <r>
    <d v="2021-09-23T00:00:00"/>
    <s v="P0021"/>
    <x v="32"/>
    <x v="7"/>
    <s v="Ft"/>
    <n v="126"/>
    <n v="162.54"/>
    <n v="7"/>
    <x v="1"/>
    <x v="0"/>
    <n v="0"/>
    <n v="882"/>
    <n v="1137.78"/>
    <n v="255.77999999999997"/>
    <n v="0.28999999999999998"/>
    <x v="19"/>
    <x v="8"/>
    <x v="0"/>
  </r>
  <r>
    <d v="2021-09-27T00:00:00"/>
    <s v="P0034"/>
    <x v="13"/>
    <x v="4"/>
    <s v="Lt"/>
    <n v="55"/>
    <n v="58.3"/>
    <n v="1"/>
    <x v="2"/>
    <x v="1"/>
    <n v="0"/>
    <n v="55"/>
    <n v="58.3"/>
    <n v="3.2999999999999972"/>
    <n v="5.9999999999999949E-2"/>
    <x v="13"/>
    <x v="8"/>
    <x v="0"/>
  </r>
  <r>
    <d v="2021-09-30T00:00:00"/>
    <s v="P0014"/>
    <x v="9"/>
    <x v="2"/>
    <s v="Kg"/>
    <n v="112"/>
    <n v="146.72"/>
    <n v="9"/>
    <x v="1"/>
    <x v="0"/>
    <n v="0"/>
    <n v="1008"/>
    <n v="1320.48"/>
    <n v="312.48"/>
    <n v="0.31"/>
    <x v="24"/>
    <x v="8"/>
    <x v="0"/>
  </r>
  <r>
    <d v="2021-09-30T00:00:00"/>
    <s v="P0006"/>
    <x v="15"/>
    <x v="8"/>
    <s v="Kg"/>
    <n v="75"/>
    <n v="85.5"/>
    <n v="5"/>
    <x v="1"/>
    <x v="0"/>
    <n v="0"/>
    <n v="375"/>
    <n v="427.5"/>
    <n v="52.5"/>
    <n v="0.14000000000000001"/>
    <x v="24"/>
    <x v="8"/>
    <x v="0"/>
  </r>
  <r>
    <d v="2021-10-01T00:00:00"/>
    <s v="P0030"/>
    <x v="28"/>
    <x v="5"/>
    <s v="Ft"/>
    <n v="148"/>
    <n v="201.28"/>
    <n v="14"/>
    <x v="1"/>
    <x v="1"/>
    <n v="0"/>
    <n v="2072"/>
    <n v="2817.92"/>
    <n v="745.92000000000007"/>
    <n v="0.36000000000000004"/>
    <x v="0"/>
    <x v="9"/>
    <x v="0"/>
  </r>
  <r>
    <d v="2021-10-02T00:00:00"/>
    <s v="P0014"/>
    <x v="9"/>
    <x v="2"/>
    <s v="Kg"/>
    <n v="112"/>
    <n v="146.72"/>
    <n v="15"/>
    <x v="2"/>
    <x v="0"/>
    <n v="0"/>
    <n v="1680"/>
    <n v="2200.8000000000002"/>
    <n v="520.80000000000018"/>
    <n v="0.31000000000000011"/>
    <x v="1"/>
    <x v="9"/>
    <x v="0"/>
  </r>
  <r>
    <d v="2021-10-03T00:00:00"/>
    <s v="P0019"/>
    <x v="40"/>
    <x v="7"/>
    <s v="Ft"/>
    <n v="150"/>
    <n v="210"/>
    <n v="9"/>
    <x v="2"/>
    <x v="0"/>
    <n v="0"/>
    <n v="1350"/>
    <n v="1890"/>
    <n v="540"/>
    <n v="0.4"/>
    <x v="2"/>
    <x v="9"/>
    <x v="0"/>
  </r>
  <r>
    <d v="2021-10-06T00:00:00"/>
    <s v="P0035"/>
    <x v="4"/>
    <x v="4"/>
    <s v="No."/>
    <n v="5"/>
    <n v="6.7"/>
    <n v="1"/>
    <x v="2"/>
    <x v="0"/>
    <n v="0"/>
    <n v="5"/>
    <n v="6.7"/>
    <n v="1.7000000000000002"/>
    <n v="0.34"/>
    <x v="16"/>
    <x v="9"/>
    <x v="0"/>
  </r>
  <r>
    <d v="2021-10-06T00:00:00"/>
    <s v="P0036"/>
    <x v="43"/>
    <x v="4"/>
    <s v="Kg"/>
    <n v="90"/>
    <n v="96.3"/>
    <n v="12"/>
    <x v="1"/>
    <x v="0"/>
    <n v="0"/>
    <n v="1080"/>
    <n v="1155.5999999999999"/>
    <n v="75.599999999999909"/>
    <n v="6.999999999999991E-2"/>
    <x v="16"/>
    <x v="9"/>
    <x v="0"/>
  </r>
  <r>
    <d v="2021-10-07T00:00:00"/>
    <s v="P0026"/>
    <x v="42"/>
    <x v="0"/>
    <s v="No."/>
    <n v="18"/>
    <n v="24.66"/>
    <n v="6"/>
    <x v="2"/>
    <x v="1"/>
    <n v="0"/>
    <n v="108"/>
    <n v="147.96"/>
    <n v="39.960000000000008"/>
    <n v="0.37000000000000005"/>
    <x v="20"/>
    <x v="9"/>
    <x v="0"/>
  </r>
  <r>
    <d v="2021-10-09T00:00:00"/>
    <s v="P0038"/>
    <x v="1"/>
    <x v="1"/>
    <s v="Kg"/>
    <n v="72"/>
    <n v="79.92"/>
    <n v="5"/>
    <x v="2"/>
    <x v="1"/>
    <n v="0"/>
    <n v="360"/>
    <n v="399.6"/>
    <n v="39.600000000000023"/>
    <n v="0.11000000000000007"/>
    <x v="4"/>
    <x v="9"/>
    <x v="0"/>
  </r>
  <r>
    <d v="2021-10-09T00:00:00"/>
    <s v="P0032"/>
    <x v="18"/>
    <x v="4"/>
    <s v="Kg"/>
    <n v="89"/>
    <n v="117.48"/>
    <n v="11"/>
    <x v="1"/>
    <x v="1"/>
    <n v="0"/>
    <n v="979"/>
    <n v="1292.28"/>
    <n v="313.27999999999997"/>
    <n v="0.31999999999999995"/>
    <x v="4"/>
    <x v="9"/>
    <x v="0"/>
  </r>
  <r>
    <d v="2021-10-10T00:00:00"/>
    <s v="P0035"/>
    <x v="4"/>
    <x v="4"/>
    <s v="No."/>
    <n v="5"/>
    <n v="6.7"/>
    <n v="14"/>
    <x v="2"/>
    <x v="1"/>
    <n v="0"/>
    <n v="70"/>
    <n v="93.8"/>
    <n v="23.799999999999997"/>
    <n v="0.33999999999999997"/>
    <x v="26"/>
    <x v="9"/>
    <x v="0"/>
  </r>
  <r>
    <d v="2021-10-11T00:00:00"/>
    <s v="P0011"/>
    <x v="31"/>
    <x v="8"/>
    <s v="Lt"/>
    <n v="44"/>
    <n v="48.4"/>
    <n v="15"/>
    <x v="2"/>
    <x v="1"/>
    <n v="0"/>
    <n v="660"/>
    <n v="726"/>
    <n v="66"/>
    <n v="0.1"/>
    <x v="5"/>
    <x v="9"/>
    <x v="0"/>
  </r>
  <r>
    <d v="2021-10-12T00:00:00"/>
    <s v="P0027"/>
    <x v="26"/>
    <x v="5"/>
    <s v="Lt"/>
    <n v="48"/>
    <n v="57.120000000000005"/>
    <n v="8"/>
    <x v="1"/>
    <x v="0"/>
    <n v="0"/>
    <n v="384"/>
    <n v="456.96000000000004"/>
    <n v="72.960000000000036"/>
    <n v="0.19000000000000009"/>
    <x v="6"/>
    <x v="9"/>
    <x v="0"/>
  </r>
  <r>
    <d v="2021-10-17T00:00:00"/>
    <s v="P0001"/>
    <x v="16"/>
    <x v="3"/>
    <s v="Kg"/>
    <n v="98"/>
    <n v="103.88"/>
    <n v="13"/>
    <x v="2"/>
    <x v="0"/>
    <n v="0"/>
    <n v="1274"/>
    <n v="1350.44"/>
    <n v="76.440000000000055"/>
    <n v="6.0000000000000039E-2"/>
    <x v="30"/>
    <x v="9"/>
    <x v="0"/>
  </r>
  <r>
    <d v="2021-10-18T00:00:00"/>
    <s v="P0025"/>
    <x v="7"/>
    <x v="0"/>
    <s v="No."/>
    <n v="7"/>
    <n v="8.33"/>
    <n v="6"/>
    <x v="1"/>
    <x v="1"/>
    <n v="0"/>
    <n v="42"/>
    <n v="49.980000000000004"/>
    <n v="7.980000000000004"/>
    <n v="0.19000000000000009"/>
    <x v="7"/>
    <x v="9"/>
    <x v="0"/>
  </r>
  <r>
    <d v="2021-10-18T00:00:00"/>
    <s v="P0021"/>
    <x v="32"/>
    <x v="7"/>
    <s v="Ft"/>
    <n v="126"/>
    <n v="162.54"/>
    <n v="13"/>
    <x v="1"/>
    <x v="1"/>
    <n v="0"/>
    <n v="1638"/>
    <n v="2113.02"/>
    <n v="475.02"/>
    <n v="0.28999999999999998"/>
    <x v="7"/>
    <x v="9"/>
    <x v="0"/>
  </r>
  <r>
    <d v="2021-10-22T00:00:00"/>
    <s v="P0011"/>
    <x v="31"/>
    <x v="8"/>
    <s v="Lt"/>
    <n v="44"/>
    <n v="48.4"/>
    <n v="7"/>
    <x v="2"/>
    <x v="1"/>
    <n v="0"/>
    <n v="308"/>
    <n v="338.8"/>
    <n v="30.800000000000011"/>
    <n v="0.10000000000000003"/>
    <x v="18"/>
    <x v="9"/>
    <x v="0"/>
  </r>
  <r>
    <d v="2021-10-22T00:00:00"/>
    <s v="P0024"/>
    <x v="0"/>
    <x v="0"/>
    <s v="Ft"/>
    <n v="144"/>
    <n v="156.96"/>
    <n v="13"/>
    <x v="1"/>
    <x v="1"/>
    <n v="0"/>
    <n v="1872"/>
    <n v="2040.48"/>
    <n v="168.48000000000002"/>
    <n v="9.0000000000000011E-2"/>
    <x v="18"/>
    <x v="9"/>
    <x v="0"/>
  </r>
  <r>
    <d v="2021-10-22T00:00:00"/>
    <s v="P0009"/>
    <x v="37"/>
    <x v="8"/>
    <s v="No."/>
    <n v="6"/>
    <n v="7.8599999999999994"/>
    <n v="1"/>
    <x v="2"/>
    <x v="1"/>
    <n v="0"/>
    <n v="6"/>
    <n v="7.8599999999999994"/>
    <n v="1.8599999999999994"/>
    <n v="0.30999999999999989"/>
    <x v="18"/>
    <x v="9"/>
    <x v="0"/>
  </r>
  <r>
    <d v="2021-10-24T00:00:00"/>
    <s v="P0011"/>
    <x v="31"/>
    <x v="8"/>
    <s v="Lt"/>
    <n v="44"/>
    <n v="48.4"/>
    <n v="3"/>
    <x v="0"/>
    <x v="1"/>
    <n v="0"/>
    <n v="132"/>
    <n v="145.19999999999999"/>
    <n v="13.199999999999989"/>
    <n v="9.9999999999999908E-2"/>
    <x v="27"/>
    <x v="9"/>
    <x v="0"/>
  </r>
  <r>
    <d v="2021-10-25T00:00:00"/>
    <s v="P0044"/>
    <x v="11"/>
    <x v="6"/>
    <s v="Kg"/>
    <n v="76"/>
    <n v="82.08"/>
    <n v="9"/>
    <x v="1"/>
    <x v="1"/>
    <n v="0"/>
    <n v="684"/>
    <n v="738.72"/>
    <n v="54.720000000000027"/>
    <n v="8.0000000000000043E-2"/>
    <x v="11"/>
    <x v="9"/>
    <x v="0"/>
  </r>
  <r>
    <d v="2021-10-26T00:00:00"/>
    <s v="P0004"/>
    <x v="3"/>
    <x v="3"/>
    <s v="Lt"/>
    <n v="44"/>
    <n v="48.84"/>
    <n v="6"/>
    <x v="0"/>
    <x v="1"/>
    <n v="0"/>
    <n v="264"/>
    <n v="293.04000000000002"/>
    <n v="29.04000000000002"/>
    <n v="0.11000000000000008"/>
    <x v="12"/>
    <x v="9"/>
    <x v="0"/>
  </r>
  <r>
    <d v="2021-10-28T00:00:00"/>
    <s v="P0008"/>
    <x v="25"/>
    <x v="8"/>
    <s v="Kg"/>
    <n v="83"/>
    <n v="94.62"/>
    <n v="1"/>
    <x v="2"/>
    <x v="1"/>
    <n v="0"/>
    <n v="83"/>
    <n v="94.62"/>
    <n v="11.620000000000005"/>
    <n v="0.14000000000000004"/>
    <x v="14"/>
    <x v="9"/>
    <x v="0"/>
  </r>
  <r>
    <d v="2021-10-29T00:00:00"/>
    <s v="P0038"/>
    <x v="1"/>
    <x v="1"/>
    <s v="Kg"/>
    <n v="72"/>
    <n v="79.92"/>
    <n v="14"/>
    <x v="1"/>
    <x v="0"/>
    <n v="0"/>
    <n v="1008"/>
    <n v="1118.8800000000001"/>
    <n v="110.88000000000011"/>
    <n v="0.11000000000000011"/>
    <x v="28"/>
    <x v="9"/>
    <x v="0"/>
  </r>
  <r>
    <d v="2021-10-31T00:00:00"/>
    <s v="P0021"/>
    <x v="32"/>
    <x v="7"/>
    <s v="Ft"/>
    <n v="126"/>
    <n v="162.54"/>
    <n v="6"/>
    <x v="1"/>
    <x v="1"/>
    <n v="0"/>
    <n v="756"/>
    <n v="975.24"/>
    <n v="219.24"/>
    <n v="0.29000000000000004"/>
    <x v="25"/>
    <x v="9"/>
    <x v="0"/>
  </r>
  <r>
    <d v="2021-11-03T00:00:00"/>
    <s v="P0013"/>
    <x v="2"/>
    <x v="2"/>
    <s v="Kg"/>
    <n v="112"/>
    <n v="122.08"/>
    <n v="12"/>
    <x v="2"/>
    <x v="1"/>
    <n v="0"/>
    <n v="1344"/>
    <n v="1464.96"/>
    <n v="120.96000000000004"/>
    <n v="9.0000000000000024E-2"/>
    <x v="2"/>
    <x v="10"/>
    <x v="0"/>
  </r>
  <r>
    <d v="2021-11-06T00:00:00"/>
    <s v="P0036"/>
    <x v="43"/>
    <x v="4"/>
    <s v="Kg"/>
    <n v="90"/>
    <n v="96.3"/>
    <n v="10"/>
    <x v="2"/>
    <x v="0"/>
    <n v="0"/>
    <n v="900"/>
    <n v="963"/>
    <n v="63"/>
    <n v="7.0000000000000007E-2"/>
    <x v="16"/>
    <x v="10"/>
    <x v="0"/>
  </r>
  <r>
    <d v="2021-11-08T00:00:00"/>
    <s v="P0007"/>
    <x v="36"/>
    <x v="8"/>
    <s v="Lt"/>
    <n v="43"/>
    <n v="47.730000000000004"/>
    <n v="15"/>
    <x v="2"/>
    <x v="0"/>
    <n v="0"/>
    <n v="645"/>
    <n v="715.95"/>
    <n v="70.950000000000045"/>
    <n v="0.11000000000000007"/>
    <x v="21"/>
    <x v="10"/>
    <x v="0"/>
  </r>
  <r>
    <d v="2021-11-10T00:00:00"/>
    <s v="P0042"/>
    <x v="10"/>
    <x v="6"/>
    <s v="Ft"/>
    <n v="120"/>
    <n v="162"/>
    <n v="6"/>
    <x v="1"/>
    <x v="1"/>
    <n v="0"/>
    <n v="720"/>
    <n v="972"/>
    <n v="252"/>
    <n v="0.35"/>
    <x v="26"/>
    <x v="10"/>
    <x v="0"/>
  </r>
  <r>
    <d v="2021-11-11T00:00:00"/>
    <s v="P0040"/>
    <x v="17"/>
    <x v="1"/>
    <s v="Kg"/>
    <n v="90"/>
    <n v="115.2"/>
    <n v="12"/>
    <x v="0"/>
    <x v="0"/>
    <n v="0"/>
    <n v="1080"/>
    <n v="1382.4"/>
    <n v="302.40000000000009"/>
    <n v="0.28000000000000008"/>
    <x v="5"/>
    <x v="10"/>
    <x v="0"/>
  </r>
  <r>
    <d v="2021-11-12T00:00:00"/>
    <s v="P0010"/>
    <x v="20"/>
    <x v="8"/>
    <s v="Ft"/>
    <n v="148"/>
    <n v="164.28"/>
    <n v="3"/>
    <x v="1"/>
    <x v="1"/>
    <n v="0"/>
    <n v="444"/>
    <n v="492.84000000000003"/>
    <n v="48.840000000000032"/>
    <n v="0.11000000000000007"/>
    <x v="6"/>
    <x v="10"/>
    <x v="0"/>
  </r>
  <r>
    <d v="2021-11-20T00:00:00"/>
    <s v="P0034"/>
    <x v="13"/>
    <x v="4"/>
    <s v="Lt"/>
    <n v="55"/>
    <n v="58.3"/>
    <n v="14"/>
    <x v="1"/>
    <x v="0"/>
    <n v="0"/>
    <n v="770"/>
    <n v="816.19999999999993"/>
    <n v="46.199999999999932"/>
    <n v="5.9999999999999915E-2"/>
    <x v="9"/>
    <x v="10"/>
    <x v="0"/>
  </r>
  <r>
    <d v="2021-11-20T00:00:00"/>
    <s v="P0008"/>
    <x v="25"/>
    <x v="8"/>
    <s v="Kg"/>
    <n v="83"/>
    <n v="94.62"/>
    <n v="11"/>
    <x v="1"/>
    <x v="1"/>
    <n v="0"/>
    <n v="913"/>
    <n v="1040.8200000000002"/>
    <n v="127.82000000000016"/>
    <n v="0.14000000000000018"/>
    <x v="9"/>
    <x v="10"/>
    <x v="0"/>
  </r>
  <r>
    <d v="2021-11-21T00:00:00"/>
    <s v="P0014"/>
    <x v="9"/>
    <x v="2"/>
    <s v="Kg"/>
    <n v="112"/>
    <n v="146.72"/>
    <n v="1"/>
    <x v="0"/>
    <x v="0"/>
    <n v="0"/>
    <n v="112"/>
    <n v="146.72"/>
    <n v="34.72"/>
    <n v="0.31"/>
    <x v="10"/>
    <x v="10"/>
    <x v="0"/>
  </r>
  <r>
    <d v="2021-11-21T00:00:00"/>
    <s v="P0006"/>
    <x v="15"/>
    <x v="8"/>
    <s v="Kg"/>
    <n v="75"/>
    <n v="85.5"/>
    <n v="1"/>
    <x v="1"/>
    <x v="1"/>
    <n v="0"/>
    <n v="75"/>
    <n v="85.5"/>
    <n v="10.5"/>
    <n v="0.14000000000000001"/>
    <x v="10"/>
    <x v="10"/>
    <x v="0"/>
  </r>
  <r>
    <d v="2021-11-27T00:00:00"/>
    <s v="P0012"/>
    <x v="35"/>
    <x v="2"/>
    <s v="Kg"/>
    <n v="73"/>
    <n v="94.17"/>
    <n v="8"/>
    <x v="1"/>
    <x v="0"/>
    <n v="0"/>
    <n v="584"/>
    <n v="753.36"/>
    <n v="169.36"/>
    <n v="0.29000000000000004"/>
    <x v="13"/>
    <x v="10"/>
    <x v="0"/>
  </r>
  <r>
    <d v="2021-11-28T00:00:00"/>
    <s v="P0040"/>
    <x v="17"/>
    <x v="1"/>
    <s v="Kg"/>
    <n v="90"/>
    <n v="115.2"/>
    <n v="2"/>
    <x v="2"/>
    <x v="1"/>
    <n v="0"/>
    <n v="180"/>
    <n v="230.4"/>
    <n v="50.400000000000006"/>
    <n v="0.28000000000000003"/>
    <x v="14"/>
    <x v="10"/>
    <x v="0"/>
  </r>
  <r>
    <d v="2021-11-30T00:00:00"/>
    <s v="P0039"/>
    <x v="34"/>
    <x v="1"/>
    <s v="No."/>
    <n v="37"/>
    <n v="42.55"/>
    <n v="15"/>
    <x v="2"/>
    <x v="0"/>
    <n v="0"/>
    <n v="555"/>
    <n v="638.25"/>
    <n v="83.25"/>
    <n v="0.15"/>
    <x v="24"/>
    <x v="10"/>
    <x v="0"/>
  </r>
  <r>
    <d v="2021-12-02T00:00:00"/>
    <s v="P0016"/>
    <x v="21"/>
    <x v="2"/>
    <s v="No."/>
    <n v="13"/>
    <n v="16.64"/>
    <n v="10"/>
    <x v="2"/>
    <x v="1"/>
    <n v="0"/>
    <n v="130"/>
    <n v="166.4"/>
    <n v="36.400000000000006"/>
    <n v="0.28000000000000003"/>
    <x v="1"/>
    <x v="11"/>
    <x v="0"/>
  </r>
  <r>
    <d v="2021-12-03T00:00:00"/>
    <s v="P0034"/>
    <x v="13"/>
    <x v="4"/>
    <s v="Lt"/>
    <n v="55"/>
    <n v="58.3"/>
    <n v="2"/>
    <x v="1"/>
    <x v="1"/>
    <n v="0"/>
    <n v="110"/>
    <n v="116.6"/>
    <n v="6.5999999999999943"/>
    <n v="5.9999999999999949E-2"/>
    <x v="2"/>
    <x v="11"/>
    <x v="0"/>
  </r>
  <r>
    <d v="2021-12-03T00:00:00"/>
    <s v="P0019"/>
    <x v="40"/>
    <x v="7"/>
    <s v="Ft"/>
    <n v="150"/>
    <n v="210"/>
    <n v="8"/>
    <x v="1"/>
    <x v="0"/>
    <n v="0"/>
    <n v="1200"/>
    <n v="1680"/>
    <n v="480"/>
    <n v="0.4"/>
    <x v="2"/>
    <x v="11"/>
    <x v="0"/>
  </r>
  <r>
    <d v="2021-12-05T00:00:00"/>
    <s v="P0004"/>
    <x v="3"/>
    <x v="3"/>
    <s v="Lt"/>
    <n v="44"/>
    <n v="48.84"/>
    <n v="15"/>
    <x v="2"/>
    <x v="1"/>
    <n v="0"/>
    <n v="660"/>
    <n v="732.6"/>
    <n v="72.600000000000023"/>
    <n v="0.11000000000000003"/>
    <x v="15"/>
    <x v="11"/>
    <x v="0"/>
  </r>
  <r>
    <d v="2021-12-05T00:00:00"/>
    <s v="P0010"/>
    <x v="20"/>
    <x v="8"/>
    <s v="Ft"/>
    <n v="148"/>
    <n v="164.28"/>
    <n v="1"/>
    <x v="2"/>
    <x v="0"/>
    <n v="0"/>
    <n v="148"/>
    <n v="164.28"/>
    <n v="16.28"/>
    <n v="0.11000000000000001"/>
    <x v="15"/>
    <x v="11"/>
    <x v="0"/>
  </r>
  <r>
    <d v="2021-12-07T00:00:00"/>
    <s v="P0013"/>
    <x v="2"/>
    <x v="2"/>
    <s v="Kg"/>
    <n v="112"/>
    <n v="122.08"/>
    <n v="8"/>
    <x v="2"/>
    <x v="0"/>
    <n v="0"/>
    <n v="896"/>
    <n v="976.64"/>
    <n v="80.639999999999986"/>
    <n v="8.9999999999999983E-2"/>
    <x v="20"/>
    <x v="11"/>
    <x v="0"/>
  </r>
  <r>
    <d v="2021-12-08T00:00:00"/>
    <s v="P0044"/>
    <x v="11"/>
    <x v="6"/>
    <s v="Kg"/>
    <n v="76"/>
    <n v="82.08"/>
    <n v="14"/>
    <x v="2"/>
    <x v="0"/>
    <n v="0"/>
    <n v="1064"/>
    <n v="1149.1199999999999"/>
    <n v="85.119999999999891"/>
    <n v="7.9999999999999891E-2"/>
    <x v="21"/>
    <x v="11"/>
    <x v="0"/>
  </r>
  <r>
    <d v="2021-12-14T00:00:00"/>
    <s v="P0042"/>
    <x v="10"/>
    <x v="6"/>
    <s v="Ft"/>
    <n v="120"/>
    <n v="162"/>
    <n v="4"/>
    <x v="2"/>
    <x v="0"/>
    <n v="0"/>
    <n v="480"/>
    <n v="648"/>
    <n v="168"/>
    <n v="0.35"/>
    <x v="29"/>
    <x v="11"/>
    <x v="0"/>
  </r>
  <r>
    <d v="2021-12-18T00:00:00"/>
    <s v="P0003"/>
    <x v="6"/>
    <x v="3"/>
    <s v="Kg"/>
    <n v="71"/>
    <n v="80.94"/>
    <n v="2"/>
    <x v="2"/>
    <x v="1"/>
    <n v="0"/>
    <n v="142"/>
    <n v="161.88"/>
    <n v="19.879999999999995"/>
    <n v="0.13999999999999996"/>
    <x v="7"/>
    <x v="11"/>
    <x v="0"/>
  </r>
  <r>
    <d v="2021-12-18T00:00:00"/>
    <s v="P0022"/>
    <x v="22"/>
    <x v="0"/>
    <s v="Ft"/>
    <n v="121"/>
    <n v="141.57"/>
    <n v="8"/>
    <x v="1"/>
    <x v="1"/>
    <n v="0"/>
    <n v="968"/>
    <n v="1132.56"/>
    <n v="164.55999999999995"/>
    <n v="0.16999999999999996"/>
    <x v="7"/>
    <x v="11"/>
    <x v="0"/>
  </r>
  <r>
    <d v="2021-12-19T00:00:00"/>
    <s v="P0023"/>
    <x v="12"/>
    <x v="0"/>
    <s v="Ft"/>
    <n v="141"/>
    <n v="149.46"/>
    <n v="12"/>
    <x v="2"/>
    <x v="0"/>
    <n v="0"/>
    <n v="1692"/>
    <n v="1793.52"/>
    <n v="101.51999999999998"/>
    <n v="5.9999999999999991E-2"/>
    <x v="8"/>
    <x v="11"/>
    <x v="0"/>
  </r>
  <r>
    <d v="2021-12-19T00:00:00"/>
    <s v="P0029"/>
    <x v="19"/>
    <x v="5"/>
    <s v="Lt"/>
    <n v="47"/>
    <n v="53.11"/>
    <n v="3"/>
    <x v="0"/>
    <x v="0"/>
    <n v="0"/>
    <n v="141"/>
    <n v="159.32999999999998"/>
    <n v="18.329999999999984"/>
    <n v="0.12999999999999989"/>
    <x v="8"/>
    <x v="11"/>
    <x v="0"/>
  </r>
  <r>
    <d v="2021-12-19T00:00:00"/>
    <s v="P0011"/>
    <x v="31"/>
    <x v="8"/>
    <s v="Lt"/>
    <n v="44"/>
    <n v="48.4"/>
    <n v="10"/>
    <x v="1"/>
    <x v="0"/>
    <n v="0"/>
    <n v="440"/>
    <n v="484"/>
    <n v="44"/>
    <n v="0.1"/>
    <x v="8"/>
    <x v="11"/>
    <x v="0"/>
  </r>
  <r>
    <d v="2021-12-20T00:00:00"/>
    <s v="P0012"/>
    <x v="35"/>
    <x v="2"/>
    <s v="Kg"/>
    <n v="73"/>
    <n v="94.17"/>
    <n v="14"/>
    <x v="2"/>
    <x v="0"/>
    <n v="0"/>
    <n v="1022"/>
    <n v="1318.38"/>
    <n v="296.38000000000011"/>
    <n v="0.29000000000000009"/>
    <x v="9"/>
    <x v="11"/>
    <x v="0"/>
  </r>
  <r>
    <d v="2021-12-21T00:00:00"/>
    <s v="P0026"/>
    <x v="42"/>
    <x v="0"/>
    <s v="No."/>
    <n v="18"/>
    <n v="24.66"/>
    <n v="10"/>
    <x v="1"/>
    <x v="1"/>
    <n v="0"/>
    <n v="180"/>
    <n v="246.6"/>
    <n v="66.599999999999994"/>
    <n v="0.37"/>
    <x v="10"/>
    <x v="11"/>
    <x v="0"/>
  </r>
  <r>
    <d v="2021-12-24T00:00:00"/>
    <s v="P0042"/>
    <x v="10"/>
    <x v="6"/>
    <s v="Ft"/>
    <n v="120"/>
    <n v="162"/>
    <n v="8"/>
    <x v="0"/>
    <x v="1"/>
    <n v="0"/>
    <n v="960"/>
    <n v="1296"/>
    <n v="336"/>
    <n v="0.35"/>
    <x v="27"/>
    <x v="11"/>
    <x v="0"/>
  </r>
  <r>
    <d v="2021-12-24T00:00:00"/>
    <s v="P0036"/>
    <x v="43"/>
    <x v="4"/>
    <s v="Kg"/>
    <n v="90"/>
    <n v="96.3"/>
    <n v="8"/>
    <x v="0"/>
    <x v="0"/>
    <n v="0"/>
    <n v="720"/>
    <n v="770.4"/>
    <n v="50.399999999999977"/>
    <n v="6.9999999999999965E-2"/>
    <x v="27"/>
    <x v="11"/>
    <x v="0"/>
  </r>
  <r>
    <d v="2021-12-26T00:00:00"/>
    <s v="P0041"/>
    <x v="41"/>
    <x v="1"/>
    <s v="Ft"/>
    <n v="138"/>
    <n v="173.88"/>
    <n v="14"/>
    <x v="1"/>
    <x v="1"/>
    <n v="0"/>
    <n v="1932"/>
    <n v="2434.3199999999997"/>
    <n v="502.31999999999971"/>
    <n v="0.25999999999999984"/>
    <x v="12"/>
    <x v="11"/>
    <x v="0"/>
  </r>
  <r>
    <d v="2021-12-27T00:00:00"/>
    <s v="P0029"/>
    <x v="19"/>
    <x v="5"/>
    <s v="Lt"/>
    <n v="47"/>
    <n v="53.11"/>
    <n v="14"/>
    <x v="2"/>
    <x v="1"/>
    <n v="0"/>
    <n v="658"/>
    <n v="743.54"/>
    <n v="85.539999999999964"/>
    <n v="0.12999999999999995"/>
    <x v="13"/>
    <x v="11"/>
    <x v="0"/>
  </r>
  <r>
    <d v="2021-12-28T00:00:00"/>
    <s v="P0029"/>
    <x v="19"/>
    <x v="5"/>
    <s v="Lt"/>
    <n v="47"/>
    <n v="53.11"/>
    <n v="6"/>
    <x v="2"/>
    <x v="1"/>
    <n v="0"/>
    <n v="282"/>
    <n v="318.65999999999997"/>
    <n v="36.659999999999968"/>
    <n v="0.12999999999999989"/>
    <x v="14"/>
    <x v="11"/>
    <x v="0"/>
  </r>
  <r>
    <d v="2021-12-30T00:00:00"/>
    <s v="P0010"/>
    <x v="20"/>
    <x v="8"/>
    <s v="Ft"/>
    <n v="148"/>
    <n v="164.28"/>
    <n v="13"/>
    <x v="1"/>
    <x v="0"/>
    <n v="0"/>
    <n v="1924"/>
    <n v="2135.64"/>
    <n v="211.63999999999987"/>
    <n v="0.10999999999999993"/>
    <x v="24"/>
    <x v="11"/>
    <x v="0"/>
  </r>
  <r>
    <d v="2022-01-01T00:00:00"/>
    <s v="P0022"/>
    <x v="22"/>
    <x v="0"/>
    <s v="Ft"/>
    <n v="121"/>
    <n v="141.57"/>
    <n v="1"/>
    <x v="0"/>
    <x v="1"/>
    <n v="0"/>
    <n v="121"/>
    <n v="141.57"/>
    <n v="20.569999999999993"/>
    <n v="0.16999999999999996"/>
    <x v="0"/>
    <x v="0"/>
    <x v="1"/>
  </r>
  <r>
    <d v="2022-01-02T00:00:00"/>
    <s v="P0010"/>
    <x v="20"/>
    <x v="8"/>
    <s v="Ft"/>
    <n v="148"/>
    <n v="164.28"/>
    <n v="7"/>
    <x v="2"/>
    <x v="1"/>
    <n v="0"/>
    <n v="1036"/>
    <n v="1149.96"/>
    <n v="113.96000000000004"/>
    <n v="0.11000000000000003"/>
    <x v="1"/>
    <x v="0"/>
    <x v="1"/>
  </r>
  <r>
    <d v="2022-01-02T00:00:00"/>
    <s v="P0015"/>
    <x v="27"/>
    <x v="2"/>
    <s v="No."/>
    <n v="12"/>
    <n v="15.719999999999999"/>
    <n v="2"/>
    <x v="1"/>
    <x v="1"/>
    <n v="0"/>
    <n v="24"/>
    <n v="31.439999999999998"/>
    <n v="7.4399999999999977"/>
    <n v="0.30999999999999989"/>
    <x v="1"/>
    <x v="0"/>
    <x v="1"/>
  </r>
  <r>
    <d v="2022-01-02T00:00:00"/>
    <s v="P0033"/>
    <x v="38"/>
    <x v="4"/>
    <s v="Kg"/>
    <n v="95"/>
    <n v="119.7"/>
    <n v="1"/>
    <x v="2"/>
    <x v="1"/>
    <n v="0"/>
    <n v="95"/>
    <n v="119.7"/>
    <n v="24.700000000000003"/>
    <n v="0.26"/>
    <x v="1"/>
    <x v="0"/>
    <x v="1"/>
  </r>
  <r>
    <d v="2022-01-03T00:00:00"/>
    <s v="P0043"/>
    <x v="23"/>
    <x v="6"/>
    <s v="Kg"/>
    <n v="67"/>
    <n v="83.08"/>
    <n v="9"/>
    <x v="2"/>
    <x v="1"/>
    <n v="0"/>
    <n v="603"/>
    <n v="747.72"/>
    <n v="144.72000000000003"/>
    <n v="0.24000000000000005"/>
    <x v="2"/>
    <x v="0"/>
    <x v="1"/>
  </r>
  <r>
    <d v="2022-01-04T00:00:00"/>
    <s v="P0012"/>
    <x v="35"/>
    <x v="2"/>
    <s v="Kg"/>
    <n v="73"/>
    <n v="94.17"/>
    <n v="8"/>
    <x v="2"/>
    <x v="0"/>
    <n v="0"/>
    <n v="584"/>
    <n v="753.36"/>
    <n v="169.36"/>
    <n v="0.29000000000000004"/>
    <x v="3"/>
    <x v="0"/>
    <x v="1"/>
  </r>
  <r>
    <d v="2022-01-04T00:00:00"/>
    <s v="P0029"/>
    <x v="19"/>
    <x v="5"/>
    <s v="Lt"/>
    <n v="47"/>
    <n v="53.11"/>
    <n v="1"/>
    <x v="1"/>
    <x v="0"/>
    <n v="0"/>
    <n v="47"/>
    <n v="53.11"/>
    <n v="6.1099999999999994"/>
    <n v="0.12999999999999998"/>
    <x v="3"/>
    <x v="0"/>
    <x v="1"/>
  </r>
  <r>
    <d v="2022-01-09T00:00:00"/>
    <s v="P0032"/>
    <x v="18"/>
    <x v="4"/>
    <s v="Kg"/>
    <n v="89"/>
    <n v="117.48"/>
    <n v="12"/>
    <x v="2"/>
    <x v="0"/>
    <n v="0"/>
    <n v="1068"/>
    <n v="1409.76"/>
    <n v="341.76"/>
    <n v="0.32"/>
    <x v="4"/>
    <x v="0"/>
    <x v="1"/>
  </r>
  <r>
    <d v="2022-01-10T00:00:00"/>
    <s v="P0034"/>
    <x v="13"/>
    <x v="4"/>
    <s v="Lt"/>
    <n v="55"/>
    <n v="58.3"/>
    <n v="14"/>
    <x v="1"/>
    <x v="0"/>
    <n v="0"/>
    <n v="770"/>
    <n v="816.19999999999993"/>
    <n v="46.199999999999932"/>
    <n v="5.9999999999999915E-2"/>
    <x v="26"/>
    <x v="0"/>
    <x v="1"/>
  </r>
  <r>
    <d v="2022-01-11T00:00:00"/>
    <s v="P0032"/>
    <x v="18"/>
    <x v="4"/>
    <s v="Kg"/>
    <n v="89"/>
    <n v="117.48"/>
    <n v="2"/>
    <x v="2"/>
    <x v="0"/>
    <n v="0"/>
    <n v="178"/>
    <n v="234.96"/>
    <n v="56.960000000000008"/>
    <n v="0.32000000000000006"/>
    <x v="5"/>
    <x v="0"/>
    <x v="1"/>
  </r>
  <r>
    <d v="2022-01-13T00:00:00"/>
    <s v="P0019"/>
    <x v="40"/>
    <x v="7"/>
    <s v="Ft"/>
    <n v="150"/>
    <n v="210"/>
    <n v="6"/>
    <x v="1"/>
    <x v="0"/>
    <n v="0"/>
    <n v="900"/>
    <n v="1260"/>
    <n v="360"/>
    <n v="0.4"/>
    <x v="22"/>
    <x v="0"/>
    <x v="1"/>
  </r>
  <r>
    <d v="2022-01-14T00:00:00"/>
    <s v="P0011"/>
    <x v="31"/>
    <x v="8"/>
    <s v="Lt"/>
    <n v="44"/>
    <n v="48.4"/>
    <n v="14"/>
    <x v="2"/>
    <x v="0"/>
    <n v="0"/>
    <n v="616"/>
    <n v="677.6"/>
    <n v="61.600000000000023"/>
    <n v="0.10000000000000003"/>
    <x v="29"/>
    <x v="0"/>
    <x v="1"/>
  </r>
  <r>
    <d v="2022-01-15T00:00:00"/>
    <s v="P0022"/>
    <x v="22"/>
    <x v="0"/>
    <s v="Ft"/>
    <n v="121"/>
    <n v="141.57"/>
    <n v="10"/>
    <x v="2"/>
    <x v="1"/>
    <n v="0"/>
    <n v="1210"/>
    <n v="1415.6999999999998"/>
    <n v="205.69999999999982"/>
    <n v="0.16999999999999985"/>
    <x v="17"/>
    <x v="0"/>
    <x v="1"/>
  </r>
  <r>
    <d v="2022-01-16T00:00:00"/>
    <s v="P0014"/>
    <x v="9"/>
    <x v="2"/>
    <s v="Kg"/>
    <n v="112"/>
    <n v="146.72"/>
    <n v="11"/>
    <x v="1"/>
    <x v="1"/>
    <n v="0"/>
    <n v="1232"/>
    <n v="1613.92"/>
    <n v="381.92000000000007"/>
    <n v="0.31000000000000005"/>
    <x v="23"/>
    <x v="0"/>
    <x v="1"/>
  </r>
  <r>
    <d v="2022-01-17T00:00:00"/>
    <s v="P0040"/>
    <x v="17"/>
    <x v="1"/>
    <s v="Kg"/>
    <n v="90"/>
    <n v="115.2"/>
    <n v="4"/>
    <x v="1"/>
    <x v="0"/>
    <n v="0"/>
    <n v="360"/>
    <n v="460.8"/>
    <n v="100.80000000000001"/>
    <n v="0.28000000000000003"/>
    <x v="30"/>
    <x v="0"/>
    <x v="1"/>
  </r>
  <r>
    <d v="2022-01-18T00:00:00"/>
    <s v="P0008"/>
    <x v="25"/>
    <x v="8"/>
    <s v="Kg"/>
    <n v="83"/>
    <n v="94.62"/>
    <n v="9"/>
    <x v="0"/>
    <x v="1"/>
    <n v="0"/>
    <n v="747"/>
    <n v="851.58"/>
    <n v="104.58000000000004"/>
    <n v="0.14000000000000004"/>
    <x v="7"/>
    <x v="0"/>
    <x v="1"/>
  </r>
  <r>
    <d v="2022-01-20T00:00:00"/>
    <s v="P0021"/>
    <x v="32"/>
    <x v="7"/>
    <s v="Ft"/>
    <n v="126"/>
    <n v="162.54"/>
    <n v="2"/>
    <x v="2"/>
    <x v="1"/>
    <n v="0"/>
    <n v="252"/>
    <n v="325.08"/>
    <n v="73.079999999999984"/>
    <n v="0.28999999999999992"/>
    <x v="9"/>
    <x v="0"/>
    <x v="1"/>
  </r>
  <r>
    <d v="2022-01-20T00:00:00"/>
    <s v="P0014"/>
    <x v="9"/>
    <x v="2"/>
    <s v="Kg"/>
    <n v="112"/>
    <n v="146.72"/>
    <n v="7"/>
    <x v="1"/>
    <x v="0"/>
    <n v="0"/>
    <n v="784"/>
    <n v="1027.04"/>
    <n v="243.03999999999996"/>
    <n v="0.30999999999999994"/>
    <x v="9"/>
    <x v="0"/>
    <x v="1"/>
  </r>
  <r>
    <d v="2022-01-22T00:00:00"/>
    <s v="P0001"/>
    <x v="16"/>
    <x v="3"/>
    <s v="Kg"/>
    <n v="98"/>
    <n v="103.88"/>
    <n v="6"/>
    <x v="1"/>
    <x v="1"/>
    <n v="0"/>
    <n v="588"/>
    <n v="623.28"/>
    <n v="35.279999999999973"/>
    <n v="5.9999999999999956E-2"/>
    <x v="18"/>
    <x v="0"/>
    <x v="1"/>
  </r>
  <r>
    <d v="2022-01-23T00:00:00"/>
    <s v="P0002"/>
    <x v="29"/>
    <x v="3"/>
    <s v="Kg"/>
    <n v="105"/>
    <n v="142.80000000000001"/>
    <n v="5"/>
    <x v="0"/>
    <x v="1"/>
    <n v="0"/>
    <n v="525"/>
    <n v="714"/>
    <n v="189"/>
    <n v="0.36"/>
    <x v="19"/>
    <x v="0"/>
    <x v="1"/>
  </r>
  <r>
    <d v="2022-01-23T00:00:00"/>
    <s v="P0042"/>
    <x v="10"/>
    <x v="6"/>
    <s v="Ft"/>
    <n v="120"/>
    <n v="162"/>
    <n v="8"/>
    <x v="2"/>
    <x v="0"/>
    <n v="0"/>
    <n v="960"/>
    <n v="1296"/>
    <n v="336"/>
    <n v="0.35"/>
    <x v="19"/>
    <x v="0"/>
    <x v="1"/>
  </r>
  <r>
    <d v="2022-01-24T00:00:00"/>
    <s v="P0030"/>
    <x v="28"/>
    <x v="5"/>
    <s v="Ft"/>
    <n v="148"/>
    <n v="201.28"/>
    <n v="15"/>
    <x v="1"/>
    <x v="0"/>
    <n v="0"/>
    <n v="2220"/>
    <n v="3019.2"/>
    <n v="799.19999999999982"/>
    <n v="0.35999999999999993"/>
    <x v="27"/>
    <x v="0"/>
    <x v="1"/>
  </r>
  <r>
    <d v="2022-01-25T00:00:00"/>
    <s v="P0017"/>
    <x v="39"/>
    <x v="7"/>
    <s v="Ft"/>
    <n v="134"/>
    <n v="156.78"/>
    <n v="14"/>
    <x v="2"/>
    <x v="1"/>
    <n v="0"/>
    <n v="1876"/>
    <n v="2194.92"/>
    <n v="318.92000000000007"/>
    <n v="0.17000000000000004"/>
    <x v="11"/>
    <x v="0"/>
    <x v="1"/>
  </r>
  <r>
    <d v="2022-01-28T00:00:00"/>
    <s v="P0016"/>
    <x v="21"/>
    <x v="2"/>
    <s v="No."/>
    <n v="13"/>
    <n v="16.64"/>
    <n v="11"/>
    <x v="2"/>
    <x v="0"/>
    <n v="0"/>
    <n v="143"/>
    <n v="183.04000000000002"/>
    <n v="40.04000000000002"/>
    <n v="0.28000000000000014"/>
    <x v="14"/>
    <x v="0"/>
    <x v="1"/>
  </r>
  <r>
    <d v="2022-01-31T00:00:00"/>
    <s v="P0023"/>
    <x v="12"/>
    <x v="0"/>
    <s v="Ft"/>
    <n v="141"/>
    <n v="149.46"/>
    <n v="6"/>
    <x v="1"/>
    <x v="1"/>
    <n v="0"/>
    <n v="846"/>
    <n v="896.76"/>
    <n v="50.759999999999991"/>
    <n v="5.9999999999999991E-2"/>
    <x v="25"/>
    <x v="0"/>
    <x v="1"/>
  </r>
  <r>
    <d v="2022-01-31T00:00:00"/>
    <s v="P0041"/>
    <x v="41"/>
    <x v="1"/>
    <s v="Ft"/>
    <n v="138"/>
    <n v="173.88"/>
    <n v="9"/>
    <x v="2"/>
    <x v="1"/>
    <n v="0"/>
    <n v="1242"/>
    <n v="1564.92"/>
    <n v="322.92000000000007"/>
    <n v="0.26000000000000006"/>
    <x v="25"/>
    <x v="0"/>
    <x v="1"/>
  </r>
  <r>
    <d v="2022-02-01T00:00:00"/>
    <s v="P0005"/>
    <x v="24"/>
    <x v="3"/>
    <s v="Ft"/>
    <n v="133"/>
    <n v="155.61000000000001"/>
    <n v="9"/>
    <x v="2"/>
    <x v="1"/>
    <n v="0"/>
    <n v="1197"/>
    <n v="1400.4900000000002"/>
    <n v="203.49000000000024"/>
    <n v="0.17000000000000021"/>
    <x v="0"/>
    <x v="1"/>
    <x v="1"/>
  </r>
  <r>
    <d v="2022-02-03T00:00:00"/>
    <s v="P0014"/>
    <x v="9"/>
    <x v="2"/>
    <s v="Kg"/>
    <n v="112"/>
    <n v="146.72"/>
    <n v="8"/>
    <x v="2"/>
    <x v="0"/>
    <n v="0"/>
    <n v="896"/>
    <n v="1173.76"/>
    <n v="277.76"/>
    <n v="0.31"/>
    <x v="2"/>
    <x v="1"/>
    <x v="1"/>
  </r>
  <r>
    <d v="2022-02-05T00:00:00"/>
    <s v="P0018"/>
    <x v="30"/>
    <x v="7"/>
    <s v="No."/>
    <n v="37"/>
    <n v="49.21"/>
    <n v="6"/>
    <x v="2"/>
    <x v="1"/>
    <n v="0"/>
    <n v="222"/>
    <n v="295.26"/>
    <n v="73.259999999999991"/>
    <n v="0.32999999999999996"/>
    <x v="15"/>
    <x v="1"/>
    <x v="1"/>
  </r>
  <r>
    <d v="2022-02-06T00:00:00"/>
    <s v="P0002"/>
    <x v="29"/>
    <x v="3"/>
    <s v="Kg"/>
    <n v="105"/>
    <n v="142.80000000000001"/>
    <n v="6"/>
    <x v="2"/>
    <x v="1"/>
    <n v="0"/>
    <n v="630"/>
    <n v="856.80000000000007"/>
    <n v="226.80000000000007"/>
    <n v="0.3600000000000001"/>
    <x v="16"/>
    <x v="1"/>
    <x v="1"/>
  </r>
  <r>
    <d v="2022-02-08T00:00:00"/>
    <s v="P0005"/>
    <x v="24"/>
    <x v="3"/>
    <s v="Ft"/>
    <n v="133"/>
    <n v="155.61000000000001"/>
    <n v="11"/>
    <x v="1"/>
    <x v="1"/>
    <n v="0"/>
    <n v="1463"/>
    <n v="1711.71"/>
    <n v="248.71000000000004"/>
    <n v="0.17"/>
    <x v="21"/>
    <x v="1"/>
    <x v="1"/>
  </r>
  <r>
    <d v="2022-02-08T00:00:00"/>
    <s v="P0004"/>
    <x v="3"/>
    <x v="3"/>
    <s v="Lt"/>
    <n v="44"/>
    <n v="48.84"/>
    <n v="3"/>
    <x v="1"/>
    <x v="1"/>
    <n v="0"/>
    <n v="132"/>
    <n v="146.52000000000001"/>
    <n v="14.52000000000001"/>
    <n v="0.11000000000000008"/>
    <x v="21"/>
    <x v="1"/>
    <x v="1"/>
  </r>
  <r>
    <d v="2022-02-09T00:00:00"/>
    <s v="P0032"/>
    <x v="18"/>
    <x v="4"/>
    <s v="Kg"/>
    <n v="89"/>
    <n v="117.48"/>
    <n v="14"/>
    <x v="1"/>
    <x v="0"/>
    <n v="0"/>
    <n v="1246"/>
    <n v="1644.72"/>
    <n v="398.72"/>
    <n v="0.32"/>
    <x v="4"/>
    <x v="1"/>
    <x v="1"/>
  </r>
  <r>
    <d v="2022-02-12T00:00:00"/>
    <s v="P0010"/>
    <x v="20"/>
    <x v="8"/>
    <s v="Ft"/>
    <n v="148"/>
    <n v="164.28"/>
    <n v="13"/>
    <x v="2"/>
    <x v="1"/>
    <n v="0"/>
    <n v="1924"/>
    <n v="2135.64"/>
    <n v="211.63999999999987"/>
    <n v="0.10999999999999993"/>
    <x v="6"/>
    <x v="1"/>
    <x v="1"/>
  </r>
  <r>
    <d v="2022-02-14T00:00:00"/>
    <s v="P0026"/>
    <x v="42"/>
    <x v="0"/>
    <s v="No."/>
    <n v="18"/>
    <n v="24.66"/>
    <n v="8"/>
    <x v="1"/>
    <x v="1"/>
    <n v="0"/>
    <n v="144"/>
    <n v="197.28"/>
    <n v="53.28"/>
    <n v="0.37"/>
    <x v="29"/>
    <x v="1"/>
    <x v="1"/>
  </r>
  <r>
    <d v="2022-02-14T00:00:00"/>
    <s v="P0028"/>
    <x v="33"/>
    <x v="5"/>
    <s v="No."/>
    <n v="37"/>
    <n v="41.81"/>
    <n v="3"/>
    <x v="2"/>
    <x v="1"/>
    <n v="0"/>
    <n v="111"/>
    <n v="125.43"/>
    <n v="14.430000000000007"/>
    <n v="0.13000000000000006"/>
    <x v="29"/>
    <x v="1"/>
    <x v="1"/>
  </r>
  <r>
    <d v="2022-02-16T00:00:00"/>
    <s v="P0032"/>
    <x v="18"/>
    <x v="4"/>
    <s v="Kg"/>
    <n v="89"/>
    <n v="117.48"/>
    <n v="1"/>
    <x v="1"/>
    <x v="1"/>
    <n v="0"/>
    <n v="89"/>
    <n v="117.48"/>
    <n v="28.480000000000004"/>
    <n v="0.32000000000000006"/>
    <x v="23"/>
    <x v="1"/>
    <x v="1"/>
  </r>
  <r>
    <d v="2022-02-19T00:00:00"/>
    <s v="P0002"/>
    <x v="29"/>
    <x v="3"/>
    <s v="Kg"/>
    <n v="105"/>
    <n v="142.80000000000001"/>
    <n v="13"/>
    <x v="1"/>
    <x v="1"/>
    <n v="0"/>
    <n v="1365"/>
    <n v="1856.4"/>
    <n v="491.40000000000009"/>
    <n v="0.36000000000000004"/>
    <x v="8"/>
    <x v="1"/>
    <x v="1"/>
  </r>
  <r>
    <d v="2022-02-20T00:00:00"/>
    <s v="P0012"/>
    <x v="35"/>
    <x v="2"/>
    <s v="Kg"/>
    <n v="73"/>
    <n v="94.17"/>
    <n v="6"/>
    <x v="2"/>
    <x v="1"/>
    <n v="0"/>
    <n v="438"/>
    <n v="565.02"/>
    <n v="127.01999999999998"/>
    <n v="0.28999999999999998"/>
    <x v="9"/>
    <x v="1"/>
    <x v="1"/>
  </r>
  <r>
    <d v="2022-02-23T00:00:00"/>
    <s v="P0013"/>
    <x v="2"/>
    <x v="2"/>
    <s v="Kg"/>
    <n v="112"/>
    <n v="122.08"/>
    <n v="6"/>
    <x v="1"/>
    <x v="0"/>
    <n v="0"/>
    <n v="672"/>
    <n v="732.48"/>
    <n v="60.480000000000018"/>
    <n v="9.0000000000000024E-2"/>
    <x v="19"/>
    <x v="1"/>
    <x v="1"/>
  </r>
  <r>
    <d v="2022-02-23T00:00:00"/>
    <s v="P0016"/>
    <x v="21"/>
    <x v="2"/>
    <s v="No."/>
    <n v="13"/>
    <n v="16.64"/>
    <n v="15"/>
    <x v="1"/>
    <x v="1"/>
    <n v="0"/>
    <n v="195"/>
    <n v="249.60000000000002"/>
    <n v="54.600000000000023"/>
    <n v="0.28000000000000014"/>
    <x v="19"/>
    <x v="1"/>
    <x v="1"/>
  </r>
  <r>
    <d v="2022-02-23T00:00:00"/>
    <s v="P0036"/>
    <x v="43"/>
    <x v="4"/>
    <s v="Kg"/>
    <n v="90"/>
    <n v="96.3"/>
    <n v="8"/>
    <x v="2"/>
    <x v="0"/>
    <n v="0"/>
    <n v="720"/>
    <n v="770.4"/>
    <n v="50.399999999999977"/>
    <n v="6.9999999999999965E-2"/>
    <x v="19"/>
    <x v="1"/>
    <x v="1"/>
  </r>
  <r>
    <d v="2022-02-27T00:00:00"/>
    <s v="P0012"/>
    <x v="35"/>
    <x v="2"/>
    <s v="Kg"/>
    <n v="73"/>
    <n v="94.17"/>
    <n v="7"/>
    <x v="2"/>
    <x v="1"/>
    <n v="0"/>
    <n v="511"/>
    <n v="659.19"/>
    <n v="148.19000000000005"/>
    <n v="0.29000000000000009"/>
    <x v="13"/>
    <x v="1"/>
    <x v="1"/>
  </r>
  <r>
    <d v="2022-02-27T00:00:00"/>
    <s v="P0005"/>
    <x v="24"/>
    <x v="3"/>
    <s v="Ft"/>
    <n v="133"/>
    <n v="155.61000000000001"/>
    <n v="15"/>
    <x v="2"/>
    <x v="0"/>
    <n v="0"/>
    <n v="1995"/>
    <n v="2334.15"/>
    <n v="339.15000000000009"/>
    <n v="0.17000000000000004"/>
    <x v="13"/>
    <x v="1"/>
    <x v="1"/>
  </r>
  <r>
    <d v="2022-02-28T00:00:00"/>
    <s v="P0037"/>
    <x v="8"/>
    <x v="1"/>
    <s v="Kg"/>
    <n v="67"/>
    <n v="85.76"/>
    <n v="15"/>
    <x v="2"/>
    <x v="1"/>
    <n v="0"/>
    <n v="1005"/>
    <n v="1286.4000000000001"/>
    <n v="281.40000000000009"/>
    <n v="0.28000000000000008"/>
    <x v="14"/>
    <x v="1"/>
    <x v="1"/>
  </r>
  <r>
    <d v="2022-03-04T00:00:00"/>
    <s v="P0026"/>
    <x v="42"/>
    <x v="0"/>
    <s v="No."/>
    <n v="18"/>
    <n v="24.66"/>
    <n v="13"/>
    <x v="0"/>
    <x v="0"/>
    <n v="0"/>
    <n v="234"/>
    <n v="320.58"/>
    <n v="86.579999999999984"/>
    <n v="0.36999999999999994"/>
    <x v="3"/>
    <x v="2"/>
    <x v="1"/>
  </r>
  <r>
    <d v="2022-03-06T00:00:00"/>
    <s v="P0004"/>
    <x v="3"/>
    <x v="3"/>
    <s v="Lt"/>
    <n v="44"/>
    <n v="48.84"/>
    <n v="2"/>
    <x v="2"/>
    <x v="1"/>
    <n v="0"/>
    <n v="88"/>
    <n v="97.68"/>
    <n v="9.6800000000000068"/>
    <n v="0.11000000000000008"/>
    <x v="16"/>
    <x v="2"/>
    <x v="1"/>
  </r>
  <r>
    <d v="2022-03-07T00:00:00"/>
    <s v="P0003"/>
    <x v="6"/>
    <x v="3"/>
    <s v="Kg"/>
    <n v="71"/>
    <n v="80.94"/>
    <n v="1"/>
    <x v="2"/>
    <x v="1"/>
    <n v="0"/>
    <n v="71"/>
    <n v="80.94"/>
    <n v="9.9399999999999977"/>
    <n v="0.13999999999999996"/>
    <x v="20"/>
    <x v="2"/>
    <x v="1"/>
  </r>
  <r>
    <d v="2022-03-08T00:00:00"/>
    <s v="P0044"/>
    <x v="11"/>
    <x v="6"/>
    <s v="Kg"/>
    <n v="76"/>
    <n v="82.08"/>
    <n v="6"/>
    <x v="2"/>
    <x v="0"/>
    <n v="0"/>
    <n v="456"/>
    <n v="492.48"/>
    <n v="36.480000000000018"/>
    <n v="8.0000000000000043E-2"/>
    <x v="21"/>
    <x v="2"/>
    <x v="1"/>
  </r>
  <r>
    <d v="2022-03-09T00:00:00"/>
    <s v="P0030"/>
    <x v="28"/>
    <x v="5"/>
    <s v="Ft"/>
    <n v="148"/>
    <n v="201.28"/>
    <n v="3"/>
    <x v="2"/>
    <x v="0"/>
    <n v="0"/>
    <n v="444"/>
    <n v="603.84"/>
    <n v="159.84000000000003"/>
    <n v="0.3600000000000001"/>
    <x v="4"/>
    <x v="2"/>
    <x v="1"/>
  </r>
  <r>
    <d v="2022-03-09T00:00:00"/>
    <s v="P0004"/>
    <x v="3"/>
    <x v="3"/>
    <s v="Lt"/>
    <n v="44"/>
    <n v="48.84"/>
    <n v="11"/>
    <x v="1"/>
    <x v="1"/>
    <n v="0"/>
    <n v="484"/>
    <n v="537.24"/>
    <n v="53.240000000000009"/>
    <n v="0.11000000000000001"/>
    <x v="4"/>
    <x v="2"/>
    <x v="1"/>
  </r>
  <r>
    <d v="2022-03-10T00:00:00"/>
    <s v="P0033"/>
    <x v="38"/>
    <x v="4"/>
    <s v="Kg"/>
    <n v="95"/>
    <n v="119.7"/>
    <n v="12"/>
    <x v="0"/>
    <x v="0"/>
    <n v="0"/>
    <n v="1140"/>
    <n v="1436.4"/>
    <n v="296.40000000000009"/>
    <n v="0.26000000000000006"/>
    <x v="26"/>
    <x v="2"/>
    <x v="1"/>
  </r>
  <r>
    <d v="2022-03-14T00:00:00"/>
    <s v="P0016"/>
    <x v="21"/>
    <x v="2"/>
    <s v="No."/>
    <n v="13"/>
    <n v="16.64"/>
    <n v="2"/>
    <x v="2"/>
    <x v="1"/>
    <n v="0"/>
    <n v="26"/>
    <n v="33.28"/>
    <n v="7.2800000000000011"/>
    <n v="0.28000000000000003"/>
    <x v="29"/>
    <x v="2"/>
    <x v="1"/>
  </r>
  <r>
    <d v="2022-03-14T00:00:00"/>
    <s v="P0026"/>
    <x v="42"/>
    <x v="0"/>
    <s v="No."/>
    <n v="18"/>
    <n v="24.66"/>
    <n v="13"/>
    <x v="2"/>
    <x v="0"/>
    <n v="0"/>
    <n v="234"/>
    <n v="320.58"/>
    <n v="86.579999999999984"/>
    <n v="0.36999999999999994"/>
    <x v="29"/>
    <x v="2"/>
    <x v="1"/>
  </r>
  <r>
    <d v="2022-03-18T00:00:00"/>
    <s v="P0019"/>
    <x v="40"/>
    <x v="7"/>
    <s v="Ft"/>
    <n v="150"/>
    <n v="210"/>
    <n v="2"/>
    <x v="1"/>
    <x v="1"/>
    <n v="0"/>
    <n v="300"/>
    <n v="420"/>
    <n v="120"/>
    <n v="0.4"/>
    <x v="7"/>
    <x v="2"/>
    <x v="1"/>
  </r>
  <r>
    <d v="2022-03-18T00:00:00"/>
    <s v="P0027"/>
    <x v="26"/>
    <x v="5"/>
    <s v="Lt"/>
    <n v="48"/>
    <n v="57.120000000000005"/>
    <n v="10"/>
    <x v="2"/>
    <x v="1"/>
    <n v="0"/>
    <n v="480"/>
    <n v="571.20000000000005"/>
    <n v="91.200000000000045"/>
    <n v="0.19000000000000009"/>
    <x v="7"/>
    <x v="2"/>
    <x v="1"/>
  </r>
  <r>
    <d v="2022-03-19T00:00:00"/>
    <s v="P0041"/>
    <x v="41"/>
    <x v="1"/>
    <s v="Ft"/>
    <n v="138"/>
    <n v="173.88"/>
    <n v="6"/>
    <x v="0"/>
    <x v="1"/>
    <n v="0"/>
    <n v="828"/>
    <n v="1043.28"/>
    <n v="215.27999999999997"/>
    <n v="0.25999999999999995"/>
    <x v="8"/>
    <x v="2"/>
    <x v="1"/>
  </r>
  <r>
    <d v="2022-03-23T00:00:00"/>
    <s v="P0032"/>
    <x v="18"/>
    <x v="4"/>
    <s v="Kg"/>
    <n v="89"/>
    <n v="117.48"/>
    <n v="9"/>
    <x v="2"/>
    <x v="1"/>
    <n v="0"/>
    <n v="801"/>
    <n v="1057.32"/>
    <n v="256.31999999999994"/>
    <n v="0.3199999999999999"/>
    <x v="19"/>
    <x v="2"/>
    <x v="1"/>
  </r>
  <r>
    <d v="2022-03-25T00:00:00"/>
    <s v="P0001"/>
    <x v="16"/>
    <x v="3"/>
    <s v="Kg"/>
    <n v="98"/>
    <n v="103.88"/>
    <n v="2"/>
    <x v="0"/>
    <x v="0"/>
    <n v="0"/>
    <n v="196"/>
    <n v="207.76"/>
    <n v="11.759999999999991"/>
    <n v="5.9999999999999956E-2"/>
    <x v="11"/>
    <x v="2"/>
    <x v="1"/>
  </r>
  <r>
    <d v="2022-03-25T00:00:00"/>
    <s v="P0030"/>
    <x v="28"/>
    <x v="5"/>
    <s v="Ft"/>
    <n v="148"/>
    <n v="201.28"/>
    <n v="11"/>
    <x v="2"/>
    <x v="0"/>
    <n v="0"/>
    <n v="1628"/>
    <n v="2214.08"/>
    <n v="586.07999999999993"/>
    <n v="0.35999999999999993"/>
    <x v="11"/>
    <x v="2"/>
    <x v="1"/>
  </r>
  <r>
    <d v="2022-03-29T00:00:00"/>
    <s v="P0032"/>
    <x v="18"/>
    <x v="4"/>
    <s v="Kg"/>
    <n v="89"/>
    <n v="117.48"/>
    <n v="12"/>
    <x v="1"/>
    <x v="0"/>
    <n v="0"/>
    <n v="1068"/>
    <n v="1409.76"/>
    <n v="341.76"/>
    <n v="0.32"/>
    <x v="28"/>
    <x v="2"/>
    <x v="1"/>
  </r>
  <r>
    <d v="2022-03-30T00:00:00"/>
    <s v="P0001"/>
    <x v="16"/>
    <x v="3"/>
    <s v="Kg"/>
    <n v="98"/>
    <n v="103.88"/>
    <n v="13"/>
    <x v="1"/>
    <x v="1"/>
    <n v="0"/>
    <n v="1274"/>
    <n v="1350.44"/>
    <n v="76.440000000000055"/>
    <n v="6.0000000000000039E-2"/>
    <x v="24"/>
    <x v="2"/>
    <x v="1"/>
  </r>
  <r>
    <d v="2022-04-01T00:00:00"/>
    <s v="P0002"/>
    <x v="29"/>
    <x v="3"/>
    <s v="Kg"/>
    <n v="105"/>
    <n v="142.80000000000001"/>
    <n v="2"/>
    <x v="1"/>
    <x v="1"/>
    <n v="0"/>
    <n v="210"/>
    <n v="285.60000000000002"/>
    <n v="75.600000000000023"/>
    <n v="0.3600000000000001"/>
    <x v="0"/>
    <x v="3"/>
    <x v="1"/>
  </r>
  <r>
    <d v="2022-04-02T00:00:00"/>
    <s v="P0002"/>
    <x v="29"/>
    <x v="3"/>
    <s v="Kg"/>
    <n v="105"/>
    <n v="142.80000000000001"/>
    <n v="3"/>
    <x v="2"/>
    <x v="1"/>
    <n v="0"/>
    <n v="315"/>
    <n v="428.40000000000003"/>
    <n v="113.40000000000003"/>
    <n v="0.3600000000000001"/>
    <x v="1"/>
    <x v="3"/>
    <x v="1"/>
  </r>
  <r>
    <d v="2022-04-06T00:00:00"/>
    <s v="P0040"/>
    <x v="17"/>
    <x v="1"/>
    <s v="Kg"/>
    <n v="90"/>
    <n v="115.2"/>
    <n v="2"/>
    <x v="0"/>
    <x v="1"/>
    <n v="0"/>
    <n v="180"/>
    <n v="230.4"/>
    <n v="50.400000000000006"/>
    <n v="0.28000000000000003"/>
    <x v="16"/>
    <x v="3"/>
    <x v="1"/>
  </r>
  <r>
    <d v="2022-04-07T00:00:00"/>
    <s v="P0026"/>
    <x v="42"/>
    <x v="0"/>
    <s v="No."/>
    <n v="18"/>
    <n v="24.66"/>
    <n v="7"/>
    <x v="2"/>
    <x v="0"/>
    <n v="0"/>
    <n v="126"/>
    <n v="172.62"/>
    <n v="46.620000000000005"/>
    <n v="0.37000000000000005"/>
    <x v="20"/>
    <x v="3"/>
    <x v="1"/>
  </r>
  <r>
    <d v="2022-04-09T00:00:00"/>
    <s v="P0039"/>
    <x v="34"/>
    <x v="1"/>
    <s v="No."/>
    <n v="37"/>
    <n v="42.55"/>
    <n v="12"/>
    <x v="0"/>
    <x v="1"/>
    <n v="0"/>
    <n v="444"/>
    <n v="510.59999999999997"/>
    <n v="66.599999999999966"/>
    <n v="0.14999999999999991"/>
    <x v="4"/>
    <x v="3"/>
    <x v="1"/>
  </r>
  <r>
    <d v="2022-04-09T00:00:00"/>
    <s v="P0002"/>
    <x v="29"/>
    <x v="3"/>
    <s v="Kg"/>
    <n v="105"/>
    <n v="142.80000000000001"/>
    <n v="9"/>
    <x v="1"/>
    <x v="0"/>
    <n v="0"/>
    <n v="945"/>
    <n v="1285.2"/>
    <n v="340.20000000000005"/>
    <n v="0.36000000000000004"/>
    <x v="4"/>
    <x v="3"/>
    <x v="1"/>
  </r>
  <r>
    <d v="2022-04-13T00:00:00"/>
    <s v="P0016"/>
    <x v="21"/>
    <x v="2"/>
    <s v="No."/>
    <n v="13"/>
    <n v="16.64"/>
    <n v="14"/>
    <x v="0"/>
    <x v="0"/>
    <n v="0"/>
    <n v="182"/>
    <n v="232.96"/>
    <n v="50.960000000000008"/>
    <n v="0.28000000000000003"/>
    <x v="22"/>
    <x v="3"/>
    <x v="1"/>
  </r>
  <r>
    <d v="2022-04-18T00:00:00"/>
    <s v="P0041"/>
    <x v="41"/>
    <x v="1"/>
    <s v="Ft"/>
    <n v="138"/>
    <n v="173.88"/>
    <n v="9"/>
    <x v="2"/>
    <x v="1"/>
    <n v="0"/>
    <n v="1242"/>
    <n v="1564.92"/>
    <n v="322.92000000000007"/>
    <n v="0.26000000000000006"/>
    <x v="7"/>
    <x v="3"/>
    <x v="1"/>
  </r>
  <r>
    <d v="2022-04-20T00:00:00"/>
    <s v="P0018"/>
    <x v="30"/>
    <x v="7"/>
    <s v="No."/>
    <n v="37"/>
    <n v="49.21"/>
    <n v="2"/>
    <x v="0"/>
    <x v="0"/>
    <n v="0"/>
    <n v="74"/>
    <n v="98.42"/>
    <n v="24.42"/>
    <n v="0.33"/>
    <x v="9"/>
    <x v="3"/>
    <x v="1"/>
  </r>
  <r>
    <d v="2022-04-20T00:00:00"/>
    <s v="P0012"/>
    <x v="35"/>
    <x v="2"/>
    <s v="Kg"/>
    <n v="73"/>
    <n v="94.17"/>
    <n v="4"/>
    <x v="2"/>
    <x v="0"/>
    <n v="0"/>
    <n v="292"/>
    <n v="376.68"/>
    <n v="84.68"/>
    <n v="0.29000000000000004"/>
    <x v="9"/>
    <x v="3"/>
    <x v="1"/>
  </r>
  <r>
    <d v="2022-04-21T00:00:00"/>
    <s v="P0030"/>
    <x v="28"/>
    <x v="5"/>
    <s v="Ft"/>
    <n v="148"/>
    <n v="201.28"/>
    <n v="2"/>
    <x v="2"/>
    <x v="1"/>
    <n v="0"/>
    <n v="296"/>
    <n v="402.56"/>
    <n v="106.56"/>
    <n v="0.36"/>
    <x v="10"/>
    <x v="3"/>
    <x v="1"/>
  </r>
  <r>
    <d v="2022-04-21T00:00:00"/>
    <s v="P0026"/>
    <x v="42"/>
    <x v="0"/>
    <s v="No."/>
    <n v="18"/>
    <n v="24.66"/>
    <n v="14"/>
    <x v="1"/>
    <x v="0"/>
    <n v="0"/>
    <n v="252"/>
    <n v="345.24"/>
    <n v="93.240000000000009"/>
    <n v="0.37000000000000005"/>
    <x v="10"/>
    <x v="3"/>
    <x v="1"/>
  </r>
  <r>
    <d v="2022-04-23T00:00:00"/>
    <s v="P0044"/>
    <x v="11"/>
    <x v="6"/>
    <s v="Kg"/>
    <n v="76"/>
    <n v="82.08"/>
    <n v="15"/>
    <x v="1"/>
    <x v="0"/>
    <n v="0"/>
    <n v="1140"/>
    <n v="1231.2"/>
    <n v="91.200000000000045"/>
    <n v="8.0000000000000043E-2"/>
    <x v="19"/>
    <x v="3"/>
    <x v="1"/>
  </r>
  <r>
    <d v="2022-04-24T00:00:00"/>
    <s v="P0034"/>
    <x v="13"/>
    <x v="4"/>
    <s v="Lt"/>
    <n v="55"/>
    <n v="58.3"/>
    <n v="4"/>
    <x v="2"/>
    <x v="0"/>
    <n v="0"/>
    <n v="220"/>
    <n v="233.2"/>
    <n v="13.199999999999989"/>
    <n v="5.9999999999999949E-2"/>
    <x v="27"/>
    <x v="3"/>
    <x v="1"/>
  </r>
  <r>
    <d v="2022-04-25T00:00:00"/>
    <s v="P0004"/>
    <x v="3"/>
    <x v="3"/>
    <s v="Lt"/>
    <n v="44"/>
    <n v="48.84"/>
    <n v="9"/>
    <x v="2"/>
    <x v="1"/>
    <n v="0"/>
    <n v="396"/>
    <n v="439.56000000000006"/>
    <n v="43.560000000000059"/>
    <n v="0.11000000000000015"/>
    <x v="11"/>
    <x v="3"/>
    <x v="1"/>
  </r>
  <r>
    <d v="2022-04-25T00:00:00"/>
    <s v="P0003"/>
    <x v="6"/>
    <x v="3"/>
    <s v="Kg"/>
    <n v="71"/>
    <n v="80.94"/>
    <n v="8"/>
    <x v="1"/>
    <x v="0"/>
    <n v="0"/>
    <n v="568"/>
    <n v="647.52"/>
    <n v="79.519999999999982"/>
    <n v="0.13999999999999996"/>
    <x v="11"/>
    <x v="3"/>
    <x v="1"/>
  </r>
  <r>
    <d v="2022-04-26T00:00:00"/>
    <s v="P0027"/>
    <x v="26"/>
    <x v="5"/>
    <s v="Lt"/>
    <n v="48"/>
    <n v="57.120000000000005"/>
    <n v="2"/>
    <x v="2"/>
    <x v="1"/>
    <n v="0"/>
    <n v="96"/>
    <n v="114.24000000000001"/>
    <n v="18.240000000000009"/>
    <n v="0.19000000000000009"/>
    <x v="12"/>
    <x v="3"/>
    <x v="1"/>
  </r>
  <r>
    <d v="2022-04-28T00:00:00"/>
    <s v="P0014"/>
    <x v="9"/>
    <x v="2"/>
    <s v="Kg"/>
    <n v="112"/>
    <n v="146.72"/>
    <n v="14"/>
    <x v="2"/>
    <x v="1"/>
    <n v="0"/>
    <n v="1568"/>
    <n v="2054.08"/>
    <n v="486.07999999999993"/>
    <n v="0.30999999999999994"/>
    <x v="14"/>
    <x v="3"/>
    <x v="1"/>
  </r>
  <r>
    <d v="2022-04-30T00:00:00"/>
    <s v="P0016"/>
    <x v="21"/>
    <x v="2"/>
    <s v="No."/>
    <n v="13"/>
    <n v="16.64"/>
    <n v="13"/>
    <x v="1"/>
    <x v="0"/>
    <n v="0"/>
    <n v="169"/>
    <n v="216.32"/>
    <n v="47.319999999999993"/>
    <n v="0.27999999999999997"/>
    <x v="24"/>
    <x v="3"/>
    <x v="1"/>
  </r>
  <r>
    <d v="2022-04-30T00:00:00"/>
    <s v="P0027"/>
    <x v="26"/>
    <x v="5"/>
    <s v="Lt"/>
    <n v="48"/>
    <n v="57.120000000000005"/>
    <n v="8"/>
    <x v="2"/>
    <x v="0"/>
    <n v="0"/>
    <n v="384"/>
    <n v="456.96000000000004"/>
    <n v="72.960000000000036"/>
    <n v="0.19000000000000009"/>
    <x v="24"/>
    <x v="3"/>
    <x v="1"/>
  </r>
  <r>
    <d v="2022-05-01T00:00:00"/>
    <s v="P0034"/>
    <x v="13"/>
    <x v="4"/>
    <s v="Lt"/>
    <n v="55"/>
    <n v="58.3"/>
    <n v="9"/>
    <x v="0"/>
    <x v="0"/>
    <n v="0"/>
    <n v="495"/>
    <n v="524.69999999999993"/>
    <n v="29.699999999999932"/>
    <n v="5.9999999999999859E-2"/>
    <x v="0"/>
    <x v="4"/>
    <x v="1"/>
  </r>
  <r>
    <d v="2022-05-01T00:00:00"/>
    <s v="P0033"/>
    <x v="38"/>
    <x v="4"/>
    <s v="Kg"/>
    <n v="95"/>
    <n v="119.7"/>
    <n v="6"/>
    <x v="1"/>
    <x v="0"/>
    <n v="0"/>
    <n v="570"/>
    <n v="718.2"/>
    <n v="148.20000000000005"/>
    <n v="0.26000000000000006"/>
    <x v="0"/>
    <x v="4"/>
    <x v="1"/>
  </r>
  <r>
    <d v="2022-05-02T00:00:00"/>
    <s v="P0013"/>
    <x v="2"/>
    <x v="2"/>
    <s v="Kg"/>
    <n v="112"/>
    <n v="122.08"/>
    <n v="4"/>
    <x v="1"/>
    <x v="1"/>
    <n v="0"/>
    <n v="448"/>
    <n v="488.32"/>
    <n v="40.319999999999993"/>
    <n v="8.9999999999999983E-2"/>
    <x v="1"/>
    <x v="4"/>
    <x v="1"/>
  </r>
  <r>
    <d v="2022-05-04T00:00:00"/>
    <s v="P0020"/>
    <x v="14"/>
    <x v="7"/>
    <s v="Lt"/>
    <n v="61"/>
    <n v="76.25"/>
    <n v="10"/>
    <x v="2"/>
    <x v="0"/>
    <n v="0"/>
    <n v="610"/>
    <n v="762.5"/>
    <n v="152.5"/>
    <n v="0.25"/>
    <x v="3"/>
    <x v="4"/>
    <x v="1"/>
  </r>
  <r>
    <d v="2022-05-06T00:00:00"/>
    <s v="P0034"/>
    <x v="13"/>
    <x v="4"/>
    <s v="Lt"/>
    <n v="55"/>
    <n v="58.3"/>
    <n v="7"/>
    <x v="2"/>
    <x v="0"/>
    <n v="0"/>
    <n v="385"/>
    <n v="408.09999999999997"/>
    <n v="23.099999999999966"/>
    <n v="5.9999999999999915E-2"/>
    <x v="16"/>
    <x v="4"/>
    <x v="1"/>
  </r>
  <r>
    <d v="2022-05-07T00:00:00"/>
    <s v="P0015"/>
    <x v="27"/>
    <x v="2"/>
    <s v="No."/>
    <n v="12"/>
    <n v="15.719999999999999"/>
    <n v="4"/>
    <x v="1"/>
    <x v="1"/>
    <n v="0"/>
    <n v="48"/>
    <n v="62.879999999999995"/>
    <n v="14.879999999999995"/>
    <n v="0.30999999999999989"/>
    <x v="20"/>
    <x v="4"/>
    <x v="1"/>
  </r>
  <r>
    <d v="2022-05-07T00:00:00"/>
    <s v="P0027"/>
    <x v="26"/>
    <x v="5"/>
    <s v="Lt"/>
    <n v="48"/>
    <n v="57.120000000000005"/>
    <n v="1"/>
    <x v="1"/>
    <x v="0"/>
    <n v="0"/>
    <n v="48"/>
    <n v="57.120000000000005"/>
    <n v="9.1200000000000045"/>
    <n v="0.19000000000000009"/>
    <x v="20"/>
    <x v="4"/>
    <x v="1"/>
  </r>
  <r>
    <d v="2022-05-08T00:00:00"/>
    <s v="P0022"/>
    <x v="22"/>
    <x v="0"/>
    <s v="Ft"/>
    <n v="121"/>
    <n v="141.57"/>
    <n v="7"/>
    <x v="1"/>
    <x v="0"/>
    <n v="0"/>
    <n v="847"/>
    <n v="990.99"/>
    <n v="143.99"/>
    <n v="0.17"/>
    <x v="21"/>
    <x v="4"/>
    <x v="1"/>
  </r>
  <r>
    <d v="2022-05-09T00:00:00"/>
    <s v="P0017"/>
    <x v="39"/>
    <x v="7"/>
    <s v="Ft"/>
    <n v="134"/>
    <n v="156.78"/>
    <n v="12"/>
    <x v="0"/>
    <x v="1"/>
    <n v="0"/>
    <n v="1608"/>
    <n v="1881.3600000000001"/>
    <n v="273.36000000000013"/>
    <n v="0.17000000000000007"/>
    <x v="4"/>
    <x v="4"/>
    <x v="1"/>
  </r>
  <r>
    <d v="2022-05-10T00:00:00"/>
    <s v="P0009"/>
    <x v="37"/>
    <x v="8"/>
    <s v="No."/>
    <n v="6"/>
    <n v="7.8599999999999994"/>
    <n v="6"/>
    <x v="2"/>
    <x v="0"/>
    <n v="0"/>
    <n v="36"/>
    <n v="47.16"/>
    <n v="11.159999999999997"/>
    <n v="0.30999999999999989"/>
    <x v="26"/>
    <x v="4"/>
    <x v="1"/>
  </r>
  <r>
    <d v="2022-05-12T00:00:00"/>
    <s v="P0011"/>
    <x v="31"/>
    <x v="8"/>
    <s v="Lt"/>
    <n v="44"/>
    <n v="48.4"/>
    <n v="7"/>
    <x v="1"/>
    <x v="1"/>
    <n v="0"/>
    <n v="308"/>
    <n v="338.8"/>
    <n v="30.800000000000011"/>
    <n v="0.10000000000000003"/>
    <x v="6"/>
    <x v="4"/>
    <x v="1"/>
  </r>
  <r>
    <d v="2022-05-13T00:00:00"/>
    <s v="P0012"/>
    <x v="35"/>
    <x v="2"/>
    <s v="Kg"/>
    <n v="73"/>
    <n v="94.17"/>
    <n v="5"/>
    <x v="2"/>
    <x v="0"/>
    <n v="0"/>
    <n v="365"/>
    <n v="470.85"/>
    <n v="105.85000000000002"/>
    <n v="0.29000000000000004"/>
    <x v="22"/>
    <x v="4"/>
    <x v="1"/>
  </r>
  <r>
    <d v="2022-05-14T00:00:00"/>
    <s v="P0008"/>
    <x v="25"/>
    <x v="8"/>
    <s v="Kg"/>
    <n v="83"/>
    <n v="94.62"/>
    <n v="14"/>
    <x v="2"/>
    <x v="1"/>
    <n v="0"/>
    <n v="1162"/>
    <n v="1324.68"/>
    <n v="162.68000000000006"/>
    <n v="0.14000000000000004"/>
    <x v="29"/>
    <x v="4"/>
    <x v="1"/>
  </r>
  <r>
    <d v="2022-05-15T00:00:00"/>
    <s v="P0020"/>
    <x v="14"/>
    <x v="7"/>
    <s v="Lt"/>
    <n v="61"/>
    <n v="76.25"/>
    <n v="5"/>
    <x v="1"/>
    <x v="0"/>
    <n v="0"/>
    <n v="305"/>
    <n v="381.25"/>
    <n v="76.25"/>
    <n v="0.25"/>
    <x v="17"/>
    <x v="4"/>
    <x v="1"/>
  </r>
  <r>
    <d v="2022-05-16T00:00:00"/>
    <s v="P0010"/>
    <x v="20"/>
    <x v="8"/>
    <s v="Ft"/>
    <n v="148"/>
    <n v="164.28"/>
    <n v="13"/>
    <x v="2"/>
    <x v="1"/>
    <n v="0"/>
    <n v="1924"/>
    <n v="2135.64"/>
    <n v="211.63999999999987"/>
    <n v="0.10999999999999993"/>
    <x v="23"/>
    <x v="4"/>
    <x v="1"/>
  </r>
  <r>
    <d v="2022-05-16T00:00:00"/>
    <s v="P0031"/>
    <x v="5"/>
    <x v="5"/>
    <s v="Kg"/>
    <n v="93"/>
    <n v="104.16"/>
    <n v="13"/>
    <x v="1"/>
    <x v="0"/>
    <n v="0"/>
    <n v="1209"/>
    <n v="1354.08"/>
    <n v="145.07999999999993"/>
    <n v="0.11999999999999994"/>
    <x v="23"/>
    <x v="4"/>
    <x v="1"/>
  </r>
  <r>
    <d v="2022-05-17T00:00:00"/>
    <s v="P0027"/>
    <x v="26"/>
    <x v="5"/>
    <s v="Lt"/>
    <n v="48"/>
    <n v="57.120000000000005"/>
    <n v="8"/>
    <x v="2"/>
    <x v="1"/>
    <n v="0"/>
    <n v="384"/>
    <n v="456.96000000000004"/>
    <n v="72.960000000000036"/>
    <n v="0.19000000000000009"/>
    <x v="30"/>
    <x v="4"/>
    <x v="1"/>
  </r>
  <r>
    <d v="2022-05-18T00:00:00"/>
    <s v="P0027"/>
    <x v="26"/>
    <x v="5"/>
    <s v="Lt"/>
    <n v="48"/>
    <n v="57.120000000000005"/>
    <n v="4"/>
    <x v="0"/>
    <x v="0"/>
    <n v="0"/>
    <n v="192"/>
    <n v="228.48000000000002"/>
    <n v="36.480000000000018"/>
    <n v="0.19000000000000009"/>
    <x v="7"/>
    <x v="4"/>
    <x v="1"/>
  </r>
  <r>
    <d v="2022-05-18T00:00:00"/>
    <s v="P0038"/>
    <x v="1"/>
    <x v="1"/>
    <s v="Kg"/>
    <n v="72"/>
    <n v="79.92"/>
    <n v="8"/>
    <x v="0"/>
    <x v="0"/>
    <n v="0"/>
    <n v="576"/>
    <n v="639.36"/>
    <n v="63.360000000000014"/>
    <n v="0.11000000000000003"/>
    <x v="7"/>
    <x v="4"/>
    <x v="1"/>
  </r>
  <r>
    <d v="2022-05-20T00:00:00"/>
    <s v="P0044"/>
    <x v="11"/>
    <x v="6"/>
    <s v="Kg"/>
    <n v="76"/>
    <n v="82.08"/>
    <n v="15"/>
    <x v="1"/>
    <x v="1"/>
    <n v="0"/>
    <n v="1140"/>
    <n v="1231.2"/>
    <n v="91.200000000000045"/>
    <n v="8.0000000000000043E-2"/>
    <x v="9"/>
    <x v="4"/>
    <x v="1"/>
  </r>
  <r>
    <d v="2022-05-22T00:00:00"/>
    <s v="P0015"/>
    <x v="27"/>
    <x v="2"/>
    <s v="No."/>
    <n v="12"/>
    <n v="15.719999999999999"/>
    <n v="12"/>
    <x v="2"/>
    <x v="0"/>
    <n v="0"/>
    <n v="144"/>
    <n v="188.64"/>
    <n v="44.639999999999986"/>
    <n v="0.30999999999999989"/>
    <x v="18"/>
    <x v="4"/>
    <x v="1"/>
  </r>
  <r>
    <d v="2022-05-25T00:00:00"/>
    <s v="P0002"/>
    <x v="29"/>
    <x v="3"/>
    <s v="Kg"/>
    <n v="105"/>
    <n v="142.80000000000001"/>
    <n v="7"/>
    <x v="1"/>
    <x v="0"/>
    <n v="0"/>
    <n v="735"/>
    <n v="999.60000000000014"/>
    <n v="264.60000000000014"/>
    <n v="0.36000000000000021"/>
    <x v="11"/>
    <x v="4"/>
    <x v="1"/>
  </r>
  <r>
    <d v="2022-05-26T00:00:00"/>
    <s v="P0028"/>
    <x v="33"/>
    <x v="5"/>
    <s v="No."/>
    <n v="37"/>
    <n v="41.81"/>
    <n v="2"/>
    <x v="2"/>
    <x v="0"/>
    <n v="0"/>
    <n v="74"/>
    <n v="83.62"/>
    <n v="9.6200000000000045"/>
    <n v="0.13000000000000006"/>
    <x v="12"/>
    <x v="4"/>
    <x v="1"/>
  </r>
  <r>
    <d v="2022-05-26T00:00:00"/>
    <s v="P0027"/>
    <x v="26"/>
    <x v="5"/>
    <s v="Lt"/>
    <n v="48"/>
    <n v="57.120000000000005"/>
    <n v="2"/>
    <x v="1"/>
    <x v="0"/>
    <n v="0"/>
    <n v="96"/>
    <n v="114.24000000000001"/>
    <n v="18.240000000000009"/>
    <n v="0.19000000000000009"/>
    <x v="12"/>
    <x v="4"/>
    <x v="1"/>
  </r>
  <r>
    <d v="2022-05-28T00:00:00"/>
    <s v="P0041"/>
    <x v="41"/>
    <x v="1"/>
    <s v="Ft"/>
    <n v="138"/>
    <n v="173.88"/>
    <n v="10"/>
    <x v="0"/>
    <x v="1"/>
    <n v="0"/>
    <n v="1380"/>
    <n v="1738.8"/>
    <n v="358.79999999999995"/>
    <n v="0.25999999999999995"/>
    <x v="14"/>
    <x v="4"/>
    <x v="1"/>
  </r>
  <r>
    <d v="2022-05-28T00:00:00"/>
    <s v="P0008"/>
    <x v="25"/>
    <x v="8"/>
    <s v="Kg"/>
    <n v="83"/>
    <n v="94.62"/>
    <n v="5"/>
    <x v="0"/>
    <x v="0"/>
    <n v="0"/>
    <n v="415"/>
    <n v="473.1"/>
    <n v="58.100000000000023"/>
    <n v="0.14000000000000004"/>
    <x v="14"/>
    <x v="4"/>
    <x v="1"/>
  </r>
  <r>
    <d v="2022-05-28T00:00:00"/>
    <s v="P0010"/>
    <x v="20"/>
    <x v="8"/>
    <s v="Ft"/>
    <n v="148"/>
    <n v="164.28"/>
    <n v="9"/>
    <x v="1"/>
    <x v="1"/>
    <n v="0"/>
    <n v="1332"/>
    <n v="1478.52"/>
    <n v="146.51999999999998"/>
    <n v="0.10999999999999999"/>
    <x v="14"/>
    <x v="4"/>
    <x v="1"/>
  </r>
  <r>
    <d v="2022-05-28T00:00:00"/>
    <s v="P0004"/>
    <x v="3"/>
    <x v="3"/>
    <s v="Lt"/>
    <n v="44"/>
    <n v="48.84"/>
    <n v="12"/>
    <x v="1"/>
    <x v="0"/>
    <n v="0"/>
    <n v="528"/>
    <n v="586.08000000000004"/>
    <n v="58.080000000000041"/>
    <n v="0.11000000000000008"/>
    <x v="14"/>
    <x v="4"/>
    <x v="1"/>
  </r>
  <r>
    <d v="2022-05-28T00:00:00"/>
    <s v="P0020"/>
    <x v="14"/>
    <x v="7"/>
    <s v="Lt"/>
    <n v="61"/>
    <n v="76.25"/>
    <n v="14"/>
    <x v="2"/>
    <x v="1"/>
    <n v="0"/>
    <n v="854"/>
    <n v="1067.5"/>
    <n v="213.5"/>
    <n v="0.25"/>
    <x v="14"/>
    <x v="4"/>
    <x v="1"/>
  </r>
  <r>
    <d v="2022-05-30T00:00:00"/>
    <s v="P0044"/>
    <x v="11"/>
    <x v="6"/>
    <s v="Kg"/>
    <n v="76"/>
    <n v="82.08"/>
    <n v="9"/>
    <x v="2"/>
    <x v="0"/>
    <n v="0"/>
    <n v="684"/>
    <n v="738.72"/>
    <n v="54.720000000000027"/>
    <n v="8.0000000000000043E-2"/>
    <x v="24"/>
    <x v="4"/>
    <x v="1"/>
  </r>
  <r>
    <d v="2022-05-30T00:00:00"/>
    <s v="P0005"/>
    <x v="24"/>
    <x v="3"/>
    <s v="Ft"/>
    <n v="133"/>
    <n v="155.61000000000001"/>
    <n v="4"/>
    <x v="0"/>
    <x v="1"/>
    <n v="0"/>
    <n v="532"/>
    <n v="622.44000000000005"/>
    <n v="90.440000000000055"/>
    <n v="0.1700000000000001"/>
    <x v="24"/>
    <x v="4"/>
    <x v="1"/>
  </r>
  <r>
    <d v="2022-05-30T00:00:00"/>
    <s v="P0033"/>
    <x v="38"/>
    <x v="4"/>
    <s v="Kg"/>
    <n v="95"/>
    <n v="119.7"/>
    <n v="3"/>
    <x v="1"/>
    <x v="1"/>
    <n v="0"/>
    <n v="285"/>
    <n v="359.1"/>
    <n v="74.100000000000023"/>
    <n v="0.26000000000000006"/>
    <x v="24"/>
    <x v="4"/>
    <x v="1"/>
  </r>
  <r>
    <d v="2022-06-03T00:00:00"/>
    <s v="P0008"/>
    <x v="25"/>
    <x v="8"/>
    <s v="Kg"/>
    <n v="83"/>
    <n v="94.62"/>
    <n v="14"/>
    <x v="1"/>
    <x v="0"/>
    <n v="0"/>
    <n v="1162"/>
    <n v="1324.68"/>
    <n v="162.68000000000006"/>
    <n v="0.14000000000000004"/>
    <x v="2"/>
    <x v="5"/>
    <x v="1"/>
  </r>
  <r>
    <d v="2022-06-10T00:00:00"/>
    <s v="P0028"/>
    <x v="33"/>
    <x v="5"/>
    <s v="No."/>
    <n v="37"/>
    <n v="41.81"/>
    <n v="8"/>
    <x v="0"/>
    <x v="0"/>
    <n v="0"/>
    <n v="296"/>
    <n v="334.48"/>
    <n v="38.480000000000018"/>
    <n v="0.13000000000000006"/>
    <x v="26"/>
    <x v="5"/>
    <x v="1"/>
  </r>
  <r>
    <d v="2022-06-11T00:00:00"/>
    <s v="P0039"/>
    <x v="34"/>
    <x v="1"/>
    <s v="No."/>
    <n v="37"/>
    <n v="42.55"/>
    <n v="13"/>
    <x v="1"/>
    <x v="1"/>
    <n v="0"/>
    <n v="481"/>
    <n v="553.15"/>
    <n v="72.149999999999977"/>
    <n v="0.14999999999999994"/>
    <x v="5"/>
    <x v="5"/>
    <x v="1"/>
  </r>
  <r>
    <d v="2022-06-11T00:00:00"/>
    <s v="P0021"/>
    <x v="32"/>
    <x v="7"/>
    <s v="Ft"/>
    <n v="126"/>
    <n v="162.54"/>
    <n v="6"/>
    <x v="2"/>
    <x v="0"/>
    <n v="0"/>
    <n v="756"/>
    <n v="975.24"/>
    <n v="219.24"/>
    <n v="0.29000000000000004"/>
    <x v="5"/>
    <x v="5"/>
    <x v="1"/>
  </r>
  <r>
    <d v="2022-06-13T00:00:00"/>
    <s v="P0026"/>
    <x v="42"/>
    <x v="0"/>
    <s v="No."/>
    <n v="18"/>
    <n v="24.66"/>
    <n v="6"/>
    <x v="2"/>
    <x v="1"/>
    <n v="0"/>
    <n v="108"/>
    <n v="147.96"/>
    <n v="39.960000000000008"/>
    <n v="0.37000000000000005"/>
    <x v="22"/>
    <x v="5"/>
    <x v="1"/>
  </r>
  <r>
    <d v="2022-06-15T00:00:00"/>
    <s v="P0042"/>
    <x v="10"/>
    <x v="6"/>
    <s v="Ft"/>
    <n v="120"/>
    <n v="162"/>
    <n v="15"/>
    <x v="0"/>
    <x v="0"/>
    <n v="0"/>
    <n v="1800"/>
    <n v="2430"/>
    <n v="630"/>
    <n v="0.35"/>
    <x v="17"/>
    <x v="5"/>
    <x v="1"/>
  </r>
  <r>
    <d v="2022-06-16T00:00:00"/>
    <s v="P0029"/>
    <x v="19"/>
    <x v="5"/>
    <s v="Lt"/>
    <n v="47"/>
    <n v="53.11"/>
    <n v="15"/>
    <x v="1"/>
    <x v="1"/>
    <n v="0"/>
    <n v="705"/>
    <n v="796.65"/>
    <n v="91.649999999999977"/>
    <n v="0.12999999999999998"/>
    <x v="23"/>
    <x v="5"/>
    <x v="1"/>
  </r>
  <r>
    <d v="2022-06-19T00:00:00"/>
    <s v="P0002"/>
    <x v="29"/>
    <x v="3"/>
    <s v="Kg"/>
    <n v="105"/>
    <n v="142.80000000000001"/>
    <n v="8"/>
    <x v="2"/>
    <x v="1"/>
    <n v="0"/>
    <n v="840"/>
    <n v="1142.4000000000001"/>
    <n v="302.40000000000009"/>
    <n v="0.3600000000000001"/>
    <x v="8"/>
    <x v="5"/>
    <x v="1"/>
  </r>
  <r>
    <d v="2022-06-21T00:00:00"/>
    <s v="P0017"/>
    <x v="39"/>
    <x v="7"/>
    <s v="Ft"/>
    <n v="134"/>
    <n v="156.78"/>
    <n v="14"/>
    <x v="2"/>
    <x v="1"/>
    <n v="0"/>
    <n v="1876"/>
    <n v="2194.92"/>
    <n v="318.92000000000007"/>
    <n v="0.17000000000000004"/>
    <x v="10"/>
    <x v="5"/>
    <x v="1"/>
  </r>
  <r>
    <d v="2022-06-22T00:00:00"/>
    <s v="P0040"/>
    <x v="17"/>
    <x v="1"/>
    <s v="Kg"/>
    <n v="90"/>
    <n v="115.2"/>
    <n v="10"/>
    <x v="1"/>
    <x v="1"/>
    <n v="0"/>
    <n v="900"/>
    <n v="1152"/>
    <n v="252"/>
    <n v="0.28000000000000003"/>
    <x v="18"/>
    <x v="5"/>
    <x v="1"/>
  </r>
  <r>
    <d v="2022-06-22T00:00:00"/>
    <s v="P0001"/>
    <x v="16"/>
    <x v="3"/>
    <s v="Kg"/>
    <n v="98"/>
    <n v="103.88"/>
    <n v="4"/>
    <x v="2"/>
    <x v="1"/>
    <n v="0"/>
    <n v="392"/>
    <n v="415.52"/>
    <n v="23.519999999999982"/>
    <n v="5.9999999999999956E-2"/>
    <x v="18"/>
    <x v="5"/>
    <x v="1"/>
  </r>
  <r>
    <d v="2022-06-23T00:00:00"/>
    <s v="P0004"/>
    <x v="3"/>
    <x v="3"/>
    <s v="Lt"/>
    <n v="44"/>
    <n v="48.84"/>
    <n v="8"/>
    <x v="2"/>
    <x v="0"/>
    <n v="0"/>
    <n v="352"/>
    <n v="390.72"/>
    <n v="38.720000000000027"/>
    <n v="0.11000000000000008"/>
    <x v="19"/>
    <x v="5"/>
    <x v="1"/>
  </r>
  <r>
    <d v="2022-06-24T00:00:00"/>
    <s v="P0018"/>
    <x v="30"/>
    <x v="7"/>
    <s v="No."/>
    <n v="37"/>
    <n v="49.21"/>
    <n v="7"/>
    <x v="2"/>
    <x v="1"/>
    <n v="0"/>
    <n v="259"/>
    <n v="344.47"/>
    <n v="85.470000000000027"/>
    <n v="0.33000000000000013"/>
    <x v="27"/>
    <x v="5"/>
    <x v="1"/>
  </r>
  <r>
    <d v="2022-06-25T00:00:00"/>
    <s v="P0012"/>
    <x v="35"/>
    <x v="2"/>
    <s v="Kg"/>
    <n v="73"/>
    <n v="94.17"/>
    <n v="7"/>
    <x v="1"/>
    <x v="0"/>
    <n v="0"/>
    <n v="511"/>
    <n v="659.19"/>
    <n v="148.19000000000005"/>
    <n v="0.29000000000000009"/>
    <x v="11"/>
    <x v="5"/>
    <x v="1"/>
  </r>
  <r>
    <d v="2022-06-26T00:00:00"/>
    <s v="P0034"/>
    <x v="13"/>
    <x v="4"/>
    <s v="Lt"/>
    <n v="55"/>
    <n v="58.3"/>
    <n v="4"/>
    <x v="2"/>
    <x v="1"/>
    <n v="0"/>
    <n v="220"/>
    <n v="233.2"/>
    <n v="13.199999999999989"/>
    <n v="5.9999999999999949E-2"/>
    <x v="12"/>
    <x v="5"/>
    <x v="1"/>
  </r>
  <r>
    <d v="2022-06-26T00:00:00"/>
    <s v="P0043"/>
    <x v="23"/>
    <x v="6"/>
    <s v="Kg"/>
    <n v="67"/>
    <n v="83.08"/>
    <n v="12"/>
    <x v="2"/>
    <x v="0"/>
    <n v="0"/>
    <n v="804"/>
    <n v="996.96"/>
    <n v="192.96000000000004"/>
    <n v="0.24000000000000005"/>
    <x v="12"/>
    <x v="5"/>
    <x v="1"/>
  </r>
  <r>
    <d v="2022-07-03T00:00:00"/>
    <s v="P0033"/>
    <x v="38"/>
    <x v="4"/>
    <s v="Kg"/>
    <n v="95"/>
    <n v="119.7"/>
    <n v="15"/>
    <x v="2"/>
    <x v="1"/>
    <n v="0"/>
    <n v="1425"/>
    <n v="1795.5"/>
    <n v="370.5"/>
    <n v="0.26"/>
    <x v="2"/>
    <x v="6"/>
    <x v="1"/>
  </r>
  <r>
    <d v="2022-07-04T00:00:00"/>
    <s v="P0007"/>
    <x v="36"/>
    <x v="8"/>
    <s v="Lt"/>
    <n v="43"/>
    <n v="47.730000000000004"/>
    <n v="7"/>
    <x v="2"/>
    <x v="0"/>
    <n v="0"/>
    <n v="301"/>
    <n v="334.11"/>
    <n v="33.110000000000014"/>
    <n v="0.11000000000000004"/>
    <x v="3"/>
    <x v="6"/>
    <x v="1"/>
  </r>
  <r>
    <d v="2022-07-05T00:00:00"/>
    <s v="P0025"/>
    <x v="7"/>
    <x v="0"/>
    <s v="No."/>
    <n v="7"/>
    <n v="8.33"/>
    <n v="7"/>
    <x v="1"/>
    <x v="1"/>
    <n v="0"/>
    <n v="49"/>
    <n v="58.31"/>
    <n v="9.3100000000000023"/>
    <n v="0.19000000000000006"/>
    <x v="15"/>
    <x v="6"/>
    <x v="1"/>
  </r>
  <r>
    <d v="2022-07-05T00:00:00"/>
    <s v="P0015"/>
    <x v="27"/>
    <x v="2"/>
    <s v="No."/>
    <n v="12"/>
    <n v="15.719999999999999"/>
    <n v="8"/>
    <x v="2"/>
    <x v="0"/>
    <n v="0"/>
    <n v="96"/>
    <n v="125.75999999999999"/>
    <n v="29.759999999999991"/>
    <n v="0.30999999999999989"/>
    <x v="15"/>
    <x v="6"/>
    <x v="1"/>
  </r>
  <r>
    <d v="2022-07-06T00:00:00"/>
    <s v="P0041"/>
    <x v="41"/>
    <x v="1"/>
    <s v="Ft"/>
    <n v="138"/>
    <n v="173.88"/>
    <n v="2"/>
    <x v="2"/>
    <x v="1"/>
    <n v="0"/>
    <n v="276"/>
    <n v="347.76"/>
    <n v="71.759999999999991"/>
    <n v="0.25999999999999995"/>
    <x v="16"/>
    <x v="6"/>
    <x v="1"/>
  </r>
  <r>
    <d v="2022-07-08T00:00:00"/>
    <s v="P0018"/>
    <x v="30"/>
    <x v="7"/>
    <s v="No."/>
    <n v="37"/>
    <n v="49.21"/>
    <n v="2"/>
    <x v="2"/>
    <x v="0"/>
    <n v="0"/>
    <n v="74"/>
    <n v="98.42"/>
    <n v="24.42"/>
    <n v="0.33"/>
    <x v="21"/>
    <x v="6"/>
    <x v="1"/>
  </r>
  <r>
    <d v="2022-07-10T00:00:00"/>
    <s v="P0032"/>
    <x v="18"/>
    <x v="4"/>
    <s v="Kg"/>
    <n v="89"/>
    <n v="117.48"/>
    <n v="12"/>
    <x v="1"/>
    <x v="1"/>
    <n v="0"/>
    <n v="1068"/>
    <n v="1409.76"/>
    <n v="341.76"/>
    <n v="0.32"/>
    <x v="26"/>
    <x v="6"/>
    <x v="1"/>
  </r>
  <r>
    <d v="2022-07-12T00:00:00"/>
    <s v="P0028"/>
    <x v="33"/>
    <x v="5"/>
    <s v="No."/>
    <n v="37"/>
    <n v="41.81"/>
    <n v="12"/>
    <x v="2"/>
    <x v="1"/>
    <n v="0"/>
    <n v="444"/>
    <n v="501.72"/>
    <n v="57.720000000000027"/>
    <n v="0.13000000000000006"/>
    <x v="6"/>
    <x v="6"/>
    <x v="1"/>
  </r>
  <r>
    <d v="2022-07-13T00:00:00"/>
    <s v="P0025"/>
    <x v="7"/>
    <x v="0"/>
    <s v="No."/>
    <n v="7"/>
    <n v="8.33"/>
    <n v="7"/>
    <x v="2"/>
    <x v="0"/>
    <n v="0"/>
    <n v="49"/>
    <n v="58.31"/>
    <n v="9.3100000000000023"/>
    <n v="0.19000000000000006"/>
    <x v="22"/>
    <x v="6"/>
    <x v="1"/>
  </r>
  <r>
    <d v="2022-07-14T00:00:00"/>
    <s v="P0033"/>
    <x v="38"/>
    <x v="4"/>
    <s v="Kg"/>
    <n v="95"/>
    <n v="119.7"/>
    <n v="9"/>
    <x v="2"/>
    <x v="0"/>
    <n v="0"/>
    <n v="855"/>
    <n v="1077.3"/>
    <n v="222.29999999999995"/>
    <n v="0.25999999999999995"/>
    <x v="29"/>
    <x v="6"/>
    <x v="1"/>
  </r>
  <r>
    <d v="2022-07-15T00:00:00"/>
    <s v="P0004"/>
    <x v="3"/>
    <x v="3"/>
    <s v="Lt"/>
    <n v="44"/>
    <n v="48.84"/>
    <n v="2"/>
    <x v="1"/>
    <x v="0"/>
    <n v="0"/>
    <n v="88"/>
    <n v="97.68"/>
    <n v="9.6800000000000068"/>
    <n v="0.11000000000000008"/>
    <x v="17"/>
    <x v="6"/>
    <x v="1"/>
  </r>
  <r>
    <d v="2022-07-17T00:00:00"/>
    <s v="P0041"/>
    <x v="41"/>
    <x v="1"/>
    <s v="Ft"/>
    <n v="138"/>
    <n v="173.88"/>
    <n v="8"/>
    <x v="1"/>
    <x v="1"/>
    <n v="0"/>
    <n v="1104"/>
    <n v="1391.04"/>
    <n v="287.03999999999996"/>
    <n v="0.25999999999999995"/>
    <x v="30"/>
    <x v="6"/>
    <x v="1"/>
  </r>
  <r>
    <d v="2022-07-18T00:00:00"/>
    <s v="P0010"/>
    <x v="20"/>
    <x v="8"/>
    <s v="Ft"/>
    <n v="148"/>
    <n v="164.28"/>
    <n v="12"/>
    <x v="2"/>
    <x v="0"/>
    <n v="0"/>
    <n v="1776"/>
    <n v="1971.3600000000001"/>
    <n v="195.36000000000013"/>
    <n v="0.11000000000000007"/>
    <x v="7"/>
    <x v="6"/>
    <x v="1"/>
  </r>
  <r>
    <d v="2022-07-20T00:00:00"/>
    <s v="P0042"/>
    <x v="10"/>
    <x v="6"/>
    <s v="Ft"/>
    <n v="120"/>
    <n v="162"/>
    <n v="8"/>
    <x v="0"/>
    <x v="0"/>
    <n v="0"/>
    <n v="960"/>
    <n v="1296"/>
    <n v="336"/>
    <n v="0.35"/>
    <x v="9"/>
    <x v="6"/>
    <x v="1"/>
  </r>
  <r>
    <d v="2022-07-22T00:00:00"/>
    <s v="P0034"/>
    <x v="13"/>
    <x v="4"/>
    <s v="Lt"/>
    <n v="55"/>
    <n v="58.3"/>
    <n v="6"/>
    <x v="2"/>
    <x v="1"/>
    <n v="0"/>
    <n v="330"/>
    <n v="349.79999999999995"/>
    <n v="19.799999999999955"/>
    <n v="5.9999999999999859E-2"/>
    <x v="18"/>
    <x v="6"/>
    <x v="1"/>
  </r>
  <r>
    <d v="2022-07-23T00:00:00"/>
    <s v="P0018"/>
    <x v="30"/>
    <x v="7"/>
    <s v="No."/>
    <n v="37"/>
    <n v="49.21"/>
    <n v="2"/>
    <x v="1"/>
    <x v="0"/>
    <n v="0"/>
    <n v="74"/>
    <n v="98.42"/>
    <n v="24.42"/>
    <n v="0.33"/>
    <x v="19"/>
    <x v="6"/>
    <x v="1"/>
  </r>
  <r>
    <d v="2022-07-24T00:00:00"/>
    <s v="P0006"/>
    <x v="15"/>
    <x v="8"/>
    <s v="Kg"/>
    <n v="75"/>
    <n v="85.5"/>
    <n v="14"/>
    <x v="2"/>
    <x v="1"/>
    <n v="0"/>
    <n v="1050"/>
    <n v="1197"/>
    <n v="147"/>
    <n v="0.14000000000000001"/>
    <x v="27"/>
    <x v="6"/>
    <x v="1"/>
  </r>
  <r>
    <d v="2022-07-24T00:00:00"/>
    <s v="P0027"/>
    <x v="26"/>
    <x v="5"/>
    <s v="Lt"/>
    <n v="48"/>
    <n v="57.120000000000005"/>
    <n v="1"/>
    <x v="1"/>
    <x v="0"/>
    <n v="0"/>
    <n v="48"/>
    <n v="57.120000000000005"/>
    <n v="9.1200000000000045"/>
    <n v="0.19000000000000009"/>
    <x v="27"/>
    <x v="6"/>
    <x v="1"/>
  </r>
  <r>
    <d v="2022-07-25T00:00:00"/>
    <s v="P0044"/>
    <x v="11"/>
    <x v="6"/>
    <s v="Kg"/>
    <n v="76"/>
    <n v="82.08"/>
    <n v="2"/>
    <x v="2"/>
    <x v="1"/>
    <n v="0"/>
    <n v="152"/>
    <n v="164.16"/>
    <n v="12.159999999999997"/>
    <n v="7.9999999999999974E-2"/>
    <x v="11"/>
    <x v="6"/>
    <x v="1"/>
  </r>
  <r>
    <d v="2022-07-25T00:00:00"/>
    <s v="P0017"/>
    <x v="39"/>
    <x v="7"/>
    <s v="Ft"/>
    <n v="134"/>
    <n v="156.78"/>
    <n v="12"/>
    <x v="2"/>
    <x v="1"/>
    <n v="0"/>
    <n v="1608"/>
    <n v="1881.3600000000001"/>
    <n v="273.36000000000013"/>
    <n v="0.17000000000000007"/>
    <x v="11"/>
    <x v="6"/>
    <x v="1"/>
  </r>
  <r>
    <d v="2022-07-25T00:00:00"/>
    <s v="P0003"/>
    <x v="6"/>
    <x v="3"/>
    <s v="Kg"/>
    <n v="71"/>
    <n v="80.94"/>
    <n v="13"/>
    <x v="1"/>
    <x v="1"/>
    <n v="0"/>
    <n v="923"/>
    <n v="1052.22"/>
    <n v="129.22000000000003"/>
    <n v="0.14000000000000004"/>
    <x v="11"/>
    <x v="6"/>
    <x v="1"/>
  </r>
  <r>
    <d v="2022-07-26T00:00:00"/>
    <s v="P0003"/>
    <x v="6"/>
    <x v="3"/>
    <s v="Kg"/>
    <n v="71"/>
    <n v="80.94"/>
    <n v="10"/>
    <x v="1"/>
    <x v="0"/>
    <n v="0"/>
    <n v="710"/>
    <n v="809.4"/>
    <n v="99.399999999999977"/>
    <n v="0.13999999999999996"/>
    <x v="12"/>
    <x v="6"/>
    <x v="1"/>
  </r>
  <r>
    <d v="2022-07-26T00:00:00"/>
    <s v="P0026"/>
    <x v="42"/>
    <x v="0"/>
    <s v="No."/>
    <n v="18"/>
    <n v="24.66"/>
    <n v="1"/>
    <x v="1"/>
    <x v="1"/>
    <n v="0"/>
    <n v="18"/>
    <n v="24.66"/>
    <n v="6.66"/>
    <n v="0.37"/>
    <x v="12"/>
    <x v="6"/>
    <x v="1"/>
  </r>
  <r>
    <d v="2022-08-03T00:00:00"/>
    <s v="P0012"/>
    <x v="35"/>
    <x v="2"/>
    <s v="Kg"/>
    <n v="73"/>
    <n v="94.17"/>
    <n v="5"/>
    <x v="2"/>
    <x v="1"/>
    <n v="0"/>
    <n v="365"/>
    <n v="470.85"/>
    <n v="105.85000000000002"/>
    <n v="0.29000000000000004"/>
    <x v="2"/>
    <x v="7"/>
    <x v="1"/>
  </r>
  <r>
    <d v="2022-08-06T00:00:00"/>
    <s v="P0016"/>
    <x v="21"/>
    <x v="2"/>
    <s v="No."/>
    <n v="13"/>
    <n v="16.64"/>
    <n v="9"/>
    <x v="1"/>
    <x v="0"/>
    <n v="0"/>
    <n v="117"/>
    <n v="149.76"/>
    <n v="32.759999999999991"/>
    <n v="0.27999999999999992"/>
    <x v="16"/>
    <x v="7"/>
    <x v="1"/>
  </r>
  <r>
    <d v="2022-08-08T00:00:00"/>
    <s v="P0016"/>
    <x v="21"/>
    <x v="2"/>
    <s v="No."/>
    <n v="13"/>
    <n v="16.64"/>
    <n v="2"/>
    <x v="2"/>
    <x v="0"/>
    <n v="0"/>
    <n v="26"/>
    <n v="33.28"/>
    <n v="7.2800000000000011"/>
    <n v="0.28000000000000003"/>
    <x v="21"/>
    <x v="7"/>
    <x v="1"/>
  </r>
  <r>
    <d v="2022-08-08T00:00:00"/>
    <s v="P0032"/>
    <x v="18"/>
    <x v="4"/>
    <s v="Kg"/>
    <n v="89"/>
    <n v="117.48"/>
    <n v="12"/>
    <x v="2"/>
    <x v="1"/>
    <n v="0"/>
    <n v="1068"/>
    <n v="1409.76"/>
    <n v="341.76"/>
    <n v="0.32"/>
    <x v="21"/>
    <x v="7"/>
    <x v="1"/>
  </r>
  <r>
    <d v="2022-08-08T00:00:00"/>
    <s v="P0021"/>
    <x v="32"/>
    <x v="7"/>
    <s v="Ft"/>
    <n v="126"/>
    <n v="162.54"/>
    <n v="11"/>
    <x v="2"/>
    <x v="1"/>
    <n v="0"/>
    <n v="1386"/>
    <n v="1787.9399999999998"/>
    <n v="401.93999999999983"/>
    <n v="0.28999999999999987"/>
    <x v="21"/>
    <x v="7"/>
    <x v="1"/>
  </r>
  <r>
    <d v="2022-08-14T00:00:00"/>
    <s v="P0030"/>
    <x v="28"/>
    <x v="5"/>
    <s v="Ft"/>
    <n v="148"/>
    <n v="201.28"/>
    <n v="14"/>
    <x v="2"/>
    <x v="1"/>
    <n v="0"/>
    <n v="2072"/>
    <n v="2817.92"/>
    <n v="745.92000000000007"/>
    <n v="0.36000000000000004"/>
    <x v="29"/>
    <x v="7"/>
    <x v="1"/>
  </r>
  <r>
    <d v="2022-08-15T00:00:00"/>
    <s v="P0011"/>
    <x v="31"/>
    <x v="8"/>
    <s v="Lt"/>
    <n v="44"/>
    <n v="48.4"/>
    <n v="10"/>
    <x v="0"/>
    <x v="1"/>
    <n v="0"/>
    <n v="440"/>
    <n v="484"/>
    <n v="44"/>
    <n v="0.1"/>
    <x v="17"/>
    <x v="7"/>
    <x v="1"/>
  </r>
  <r>
    <d v="2022-08-15T00:00:00"/>
    <s v="P0015"/>
    <x v="27"/>
    <x v="2"/>
    <s v="No."/>
    <n v="12"/>
    <n v="15.719999999999999"/>
    <n v="7"/>
    <x v="2"/>
    <x v="0"/>
    <n v="0"/>
    <n v="84"/>
    <n v="110.03999999999999"/>
    <n v="26.039999999999992"/>
    <n v="0.30999999999999989"/>
    <x v="17"/>
    <x v="7"/>
    <x v="1"/>
  </r>
  <r>
    <d v="2022-08-18T00:00:00"/>
    <s v="P0029"/>
    <x v="19"/>
    <x v="5"/>
    <s v="Lt"/>
    <n v="47"/>
    <n v="53.11"/>
    <n v="8"/>
    <x v="1"/>
    <x v="0"/>
    <n v="0"/>
    <n v="376"/>
    <n v="424.88"/>
    <n v="48.879999999999995"/>
    <n v="0.12999999999999998"/>
    <x v="7"/>
    <x v="7"/>
    <x v="1"/>
  </r>
  <r>
    <d v="2022-08-18T00:00:00"/>
    <s v="P0010"/>
    <x v="20"/>
    <x v="8"/>
    <s v="Ft"/>
    <n v="148"/>
    <n v="164.28"/>
    <n v="2"/>
    <x v="1"/>
    <x v="1"/>
    <n v="0"/>
    <n v="296"/>
    <n v="328.56"/>
    <n v="32.56"/>
    <n v="0.11000000000000001"/>
    <x v="7"/>
    <x v="7"/>
    <x v="1"/>
  </r>
  <r>
    <d v="2022-08-19T00:00:00"/>
    <s v="P0007"/>
    <x v="36"/>
    <x v="8"/>
    <s v="Lt"/>
    <n v="43"/>
    <n v="47.730000000000004"/>
    <n v="3"/>
    <x v="1"/>
    <x v="0"/>
    <n v="0"/>
    <n v="129"/>
    <n v="143.19"/>
    <n v="14.189999999999998"/>
    <n v="0.10999999999999999"/>
    <x v="8"/>
    <x v="7"/>
    <x v="1"/>
  </r>
  <r>
    <d v="2022-08-20T00:00:00"/>
    <s v="P0023"/>
    <x v="12"/>
    <x v="0"/>
    <s v="Ft"/>
    <n v="141"/>
    <n v="149.46"/>
    <n v="13"/>
    <x v="2"/>
    <x v="0"/>
    <n v="0"/>
    <n v="1833"/>
    <n v="1942.98"/>
    <n v="109.98000000000002"/>
    <n v="6.0000000000000012E-2"/>
    <x v="9"/>
    <x v="7"/>
    <x v="1"/>
  </r>
  <r>
    <d v="2022-08-20T00:00:00"/>
    <s v="P0033"/>
    <x v="38"/>
    <x v="4"/>
    <s v="Kg"/>
    <n v="95"/>
    <n v="119.7"/>
    <n v="14"/>
    <x v="2"/>
    <x v="0"/>
    <n v="0"/>
    <n v="1330"/>
    <n v="1675.8"/>
    <n v="345.79999999999995"/>
    <n v="0.25999999999999995"/>
    <x v="9"/>
    <x v="7"/>
    <x v="1"/>
  </r>
  <r>
    <d v="2022-08-21T00:00:00"/>
    <s v="P0016"/>
    <x v="21"/>
    <x v="2"/>
    <s v="No."/>
    <n v="13"/>
    <n v="16.64"/>
    <n v="4"/>
    <x v="2"/>
    <x v="0"/>
    <n v="0"/>
    <n v="52"/>
    <n v="66.56"/>
    <n v="14.560000000000002"/>
    <n v="0.28000000000000003"/>
    <x v="10"/>
    <x v="7"/>
    <x v="1"/>
  </r>
  <r>
    <d v="2022-08-23T00:00:00"/>
    <s v="P0044"/>
    <x v="11"/>
    <x v="6"/>
    <s v="Kg"/>
    <n v="76"/>
    <n v="82.08"/>
    <n v="11"/>
    <x v="1"/>
    <x v="0"/>
    <n v="0"/>
    <n v="836"/>
    <n v="902.88"/>
    <n v="66.88"/>
    <n v="7.9999999999999988E-2"/>
    <x v="19"/>
    <x v="7"/>
    <x v="1"/>
  </r>
  <r>
    <d v="2022-08-23T00:00:00"/>
    <s v="P0029"/>
    <x v="19"/>
    <x v="5"/>
    <s v="Lt"/>
    <n v="47"/>
    <n v="53.11"/>
    <n v="14"/>
    <x v="2"/>
    <x v="1"/>
    <n v="0"/>
    <n v="658"/>
    <n v="743.54"/>
    <n v="85.539999999999964"/>
    <n v="0.12999999999999995"/>
    <x v="19"/>
    <x v="7"/>
    <x v="1"/>
  </r>
  <r>
    <d v="2022-08-24T00:00:00"/>
    <s v="P0005"/>
    <x v="24"/>
    <x v="3"/>
    <s v="Ft"/>
    <n v="133"/>
    <n v="155.61000000000001"/>
    <n v="5"/>
    <x v="2"/>
    <x v="1"/>
    <n v="0"/>
    <n v="665"/>
    <n v="778.05000000000007"/>
    <n v="113.05000000000007"/>
    <n v="0.1700000000000001"/>
    <x v="27"/>
    <x v="7"/>
    <x v="1"/>
  </r>
  <r>
    <d v="2022-08-26T00:00:00"/>
    <s v="P0019"/>
    <x v="40"/>
    <x v="7"/>
    <s v="Ft"/>
    <n v="150"/>
    <n v="210"/>
    <n v="13"/>
    <x v="0"/>
    <x v="1"/>
    <n v="0"/>
    <n v="1950"/>
    <n v="2730"/>
    <n v="780"/>
    <n v="0.4"/>
    <x v="12"/>
    <x v="7"/>
    <x v="1"/>
  </r>
  <r>
    <d v="2022-08-26T00:00:00"/>
    <s v="P0037"/>
    <x v="8"/>
    <x v="1"/>
    <s v="Kg"/>
    <n v="67"/>
    <n v="85.76"/>
    <n v="8"/>
    <x v="1"/>
    <x v="0"/>
    <n v="0"/>
    <n v="536"/>
    <n v="686.08"/>
    <n v="150.08000000000004"/>
    <n v="0.28000000000000008"/>
    <x v="12"/>
    <x v="7"/>
    <x v="1"/>
  </r>
  <r>
    <d v="2022-08-27T00:00:00"/>
    <s v="P0039"/>
    <x v="34"/>
    <x v="1"/>
    <s v="No."/>
    <n v="37"/>
    <n v="42.55"/>
    <n v="15"/>
    <x v="0"/>
    <x v="0"/>
    <n v="0"/>
    <n v="555"/>
    <n v="638.25"/>
    <n v="83.25"/>
    <n v="0.15"/>
    <x v="13"/>
    <x v="7"/>
    <x v="1"/>
  </r>
  <r>
    <d v="2022-08-28T00:00:00"/>
    <s v="P0005"/>
    <x v="24"/>
    <x v="3"/>
    <s v="Ft"/>
    <n v="133"/>
    <n v="155.61000000000001"/>
    <n v="9"/>
    <x v="1"/>
    <x v="0"/>
    <n v="0"/>
    <n v="1197"/>
    <n v="1400.4900000000002"/>
    <n v="203.49000000000024"/>
    <n v="0.17000000000000021"/>
    <x v="14"/>
    <x v="7"/>
    <x v="1"/>
  </r>
  <r>
    <d v="2022-08-28T00:00:00"/>
    <s v="P0039"/>
    <x v="34"/>
    <x v="1"/>
    <s v="No."/>
    <n v="37"/>
    <n v="42.55"/>
    <n v="5"/>
    <x v="2"/>
    <x v="0"/>
    <n v="0"/>
    <n v="185"/>
    <n v="212.75"/>
    <n v="27.75"/>
    <n v="0.15"/>
    <x v="14"/>
    <x v="7"/>
    <x v="1"/>
  </r>
  <r>
    <d v="2022-08-30T00:00:00"/>
    <s v="P0006"/>
    <x v="15"/>
    <x v="8"/>
    <s v="Kg"/>
    <n v="75"/>
    <n v="85.5"/>
    <n v="6"/>
    <x v="1"/>
    <x v="1"/>
    <n v="0"/>
    <n v="450"/>
    <n v="513"/>
    <n v="63"/>
    <n v="0.14000000000000001"/>
    <x v="24"/>
    <x v="7"/>
    <x v="1"/>
  </r>
  <r>
    <d v="2022-08-30T00:00:00"/>
    <s v="P0043"/>
    <x v="23"/>
    <x v="6"/>
    <s v="Kg"/>
    <n v="67"/>
    <n v="83.08"/>
    <n v="6"/>
    <x v="2"/>
    <x v="1"/>
    <n v="0"/>
    <n v="402"/>
    <n v="498.48"/>
    <n v="96.480000000000018"/>
    <n v="0.24000000000000005"/>
    <x v="24"/>
    <x v="7"/>
    <x v="1"/>
  </r>
  <r>
    <d v="2022-08-30T00:00:00"/>
    <s v="P0025"/>
    <x v="7"/>
    <x v="0"/>
    <s v="No."/>
    <n v="7"/>
    <n v="8.33"/>
    <n v="5"/>
    <x v="2"/>
    <x v="1"/>
    <n v="0"/>
    <n v="35"/>
    <n v="41.65"/>
    <n v="6.6499999999999986"/>
    <n v="0.18999999999999995"/>
    <x v="24"/>
    <x v="7"/>
    <x v="1"/>
  </r>
  <r>
    <d v="2022-08-31T00:00:00"/>
    <s v="P0015"/>
    <x v="27"/>
    <x v="2"/>
    <s v="No."/>
    <n v="12"/>
    <n v="15.719999999999999"/>
    <n v="13"/>
    <x v="2"/>
    <x v="1"/>
    <n v="0"/>
    <n v="156"/>
    <n v="204.35999999999999"/>
    <n v="48.359999999999985"/>
    <n v="0.30999999999999989"/>
    <x v="25"/>
    <x v="7"/>
    <x v="1"/>
  </r>
  <r>
    <d v="2022-09-04T00:00:00"/>
    <s v="P0002"/>
    <x v="29"/>
    <x v="3"/>
    <s v="Kg"/>
    <n v="105"/>
    <n v="142.80000000000001"/>
    <n v="1"/>
    <x v="2"/>
    <x v="1"/>
    <n v="0"/>
    <n v="105"/>
    <n v="142.80000000000001"/>
    <n v="37.800000000000011"/>
    <n v="0.3600000000000001"/>
    <x v="3"/>
    <x v="8"/>
    <x v="1"/>
  </r>
  <r>
    <d v="2022-09-06T00:00:00"/>
    <s v="P0005"/>
    <x v="24"/>
    <x v="3"/>
    <s v="Ft"/>
    <n v="133"/>
    <n v="155.61000000000001"/>
    <n v="12"/>
    <x v="0"/>
    <x v="0"/>
    <n v="0"/>
    <n v="1596"/>
    <n v="1867.3200000000002"/>
    <n v="271.32000000000016"/>
    <n v="0.1700000000000001"/>
    <x v="16"/>
    <x v="8"/>
    <x v="1"/>
  </r>
  <r>
    <d v="2022-09-09T00:00:00"/>
    <s v="P0041"/>
    <x v="41"/>
    <x v="1"/>
    <s v="Ft"/>
    <n v="138"/>
    <n v="173.88"/>
    <n v="9"/>
    <x v="2"/>
    <x v="0"/>
    <n v="0"/>
    <n v="1242"/>
    <n v="1564.92"/>
    <n v="322.92000000000007"/>
    <n v="0.26000000000000006"/>
    <x v="4"/>
    <x v="8"/>
    <x v="1"/>
  </r>
  <r>
    <d v="2022-09-09T00:00:00"/>
    <s v="P0003"/>
    <x v="6"/>
    <x v="3"/>
    <s v="Kg"/>
    <n v="71"/>
    <n v="80.94"/>
    <n v="3"/>
    <x v="2"/>
    <x v="0"/>
    <n v="0"/>
    <n v="213"/>
    <n v="242.82"/>
    <n v="29.819999999999993"/>
    <n v="0.13999999999999996"/>
    <x v="4"/>
    <x v="8"/>
    <x v="1"/>
  </r>
  <r>
    <d v="2022-09-10T00:00:00"/>
    <s v="P0035"/>
    <x v="4"/>
    <x v="4"/>
    <s v="No."/>
    <n v="5"/>
    <n v="6.7"/>
    <n v="15"/>
    <x v="1"/>
    <x v="1"/>
    <n v="0"/>
    <n v="75"/>
    <n v="100.5"/>
    <n v="25.5"/>
    <n v="0.34"/>
    <x v="26"/>
    <x v="8"/>
    <x v="1"/>
  </r>
  <r>
    <d v="2022-09-10T00:00:00"/>
    <s v="P0038"/>
    <x v="1"/>
    <x v="1"/>
    <s v="Kg"/>
    <n v="72"/>
    <n v="79.92"/>
    <n v="4"/>
    <x v="2"/>
    <x v="1"/>
    <n v="0"/>
    <n v="288"/>
    <n v="319.68"/>
    <n v="31.680000000000007"/>
    <n v="0.11000000000000003"/>
    <x v="26"/>
    <x v="8"/>
    <x v="1"/>
  </r>
  <r>
    <d v="2022-09-14T00:00:00"/>
    <s v="P0029"/>
    <x v="19"/>
    <x v="5"/>
    <s v="Lt"/>
    <n v="47"/>
    <n v="53.11"/>
    <n v="3"/>
    <x v="2"/>
    <x v="1"/>
    <n v="0"/>
    <n v="141"/>
    <n v="159.32999999999998"/>
    <n v="18.329999999999984"/>
    <n v="0.12999999999999989"/>
    <x v="29"/>
    <x v="8"/>
    <x v="1"/>
  </r>
  <r>
    <d v="2022-09-15T00:00:00"/>
    <s v="P0037"/>
    <x v="8"/>
    <x v="1"/>
    <s v="Kg"/>
    <n v="67"/>
    <n v="85.76"/>
    <n v="15"/>
    <x v="1"/>
    <x v="0"/>
    <n v="0"/>
    <n v="1005"/>
    <n v="1286.4000000000001"/>
    <n v="281.40000000000009"/>
    <n v="0.28000000000000008"/>
    <x v="17"/>
    <x v="8"/>
    <x v="1"/>
  </r>
  <r>
    <d v="2022-09-18T00:00:00"/>
    <s v="P0026"/>
    <x v="42"/>
    <x v="0"/>
    <s v="No."/>
    <n v="18"/>
    <n v="24.66"/>
    <n v="14"/>
    <x v="1"/>
    <x v="1"/>
    <n v="0"/>
    <n v="252"/>
    <n v="345.24"/>
    <n v="93.240000000000009"/>
    <n v="0.37000000000000005"/>
    <x v="7"/>
    <x v="8"/>
    <x v="1"/>
  </r>
  <r>
    <d v="2022-09-19T00:00:00"/>
    <s v="P0033"/>
    <x v="38"/>
    <x v="4"/>
    <s v="Kg"/>
    <n v="95"/>
    <n v="119.7"/>
    <n v="8"/>
    <x v="0"/>
    <x v="1"/>
    <n v="0"/>
    <n v="760"/>
    <n v="957.6"/>
    <n v="197.60000000000002"/>
    <n v="0.26"/>
    <x v="8"/>
    <x v="8"/>
    <x v="1"/>
  </r>
  <r>
    <d v="2022-09-20T00:00:00"/>
    <s v="P0033"/>
    <x v="38"/>
    <x v="4"/>
    <s v="Kg"/>
    <n v="95"/>
    <n v="119.7"/>
    <n v="6"/>
    <x v="2"/>
    <x v="0"/>
    <n v="0"/>
    <n v="570"/>
    <n v="718.2"/>
    <n v="148.20000000000005"/>
    <n v="0.26000000000000006"/>
    <x v="9"/>
    <x v="8"/>
    <x v="1"/>
  </r>
  <r>
    <d v="2022-09-20T00:00:00"/>
    <s v="P0001"/>
    <x v="16"/>
    <x v="3"/>
    <s v="Kg"/>
    <n v="98"/>
    <n v="103.88"/>
    <n v="10"/>
    <x v="2"/>
    <x v="0"/>
    <n v="0"/>
    <n v="980"/>
    <n v="1038.8"/>
    <n v="58.799999999999955"/>
    <n v="5.9999999999999956E-2"/>
    <x v="9"/>
    <x v="8"/>
    <x v="1"/>
  </r>
  <r>
    <d v="2022-09-21T00:00:00"/>
    <s v="P0018"/>
    <x v="30"/>
    <x v="7"/>
    <s v="No."/>
    <n v="37"/>
    <n v="49.21"/>
    <n v="14"/>
    <x v="1"/>
    <x v="0"/>
    <n v="0"/>
    <n v="518"/>
    <n v="688.94"/>
    <n v="170.94000000000005"/>
    <n v="0.33000000000000013"/>
    <x v="10"/>
    <x v="8"/>
    <x v="1"/>
  </r>
  <r>
    <d v="2022-09-21T00:00:00"/>
    <s v="P0026"/>
    <x v="42"/>
    <x v="0"/>
    <s v="No."/>
    <n v="18"/>
    <n v="24.66"/>
    <n v="5"/>
    <x v="2"/>
    <x v="1"/>
    <n v="0"/>
    <n v="90"/>
    <n v="123.3"/>
    <n v="33.299999999999997"/>
    <n v="0.37"/>
    <x v="10"/>
    <x v="8"/>
    <x v="1"/>
  </r>
  <r>
    <d v="2022-09-22T00:00:00"/>
    <s v="P0043"/>
    <x v="23"/>
    <x v="6"/>
    <s v="Kg"/>
    <n v="67"/>
    <n v="83.08"/>
    <n v="12"/>
    <x v="1"/>
    <x v="0"/>
    <n v="0"/>
    <n v="804"/>
    <n v="996.96"/>
    <n v="192.96000000000004"/>
    <n v="0.24000000000000005"/>
    <x v="18"/>
    <x v="8"/>
    <x v="1"/>
  </r>
  <r>
    <d v="2022-09-23T00:00:00"/>
    <s v="P0012"/>
    <x v="35"/>
    <x v="2"/>
    <s v="Kg"/>
    <n v="73"/>
    <n v="94.17"/>
    <n v="12"/>
    <x v="2"/>
    <x v="0"/>
    <n v="0"/>
    <n v="876"/>
    <n v="1130.04"/>
    <n v="254.03999999999996"/>
    <n v="0.28999999999999998"/>
    <x v="19"/>
    <x v="8"/>
    <x v="1"/>
  </r>
  <r>
    <d v="2022-09-24T00:00:00"/>
    <s v="P0032"/>
    <x v="18"/>
    <x v="4"/>
    <s v="Kg"/>
    <n v="89"/>
    <n v="117.48"/>
    <n v="14"/>
    <x v="2"/>
    <x v="0"/>
    <n v="0"/>
    <n v="1246"/>
    <n v="1644.72"/>
    <n v="398.72"/>
    <n v="0.32"/>
    <x v="27"/>
    <x v="8"/>
    <x v="1"/>
  </r>
  <r>
    <d v="2022-09-24T00:00:00"/>
    <s v="P0032"/>
    <x v="18"/>
    <x v="4"/>
    <s v="Kg"/>
    <n v="89"/>
    <n v="117.48"/>
    <n v="8"/>
    <x v="2"/>
    <x v="1"/>
    <n v="0"/>
    <n v="712"/>
    <n v="939.84"/>
    <n v="227.84000000000003"/>
    <n v="0.32000000000000006"/>
    <x v="27"/>
    <x v="8"/>
    <x v="1"/>
  </r>
  <r>
    <d v="2022-09-27T00:00:00"/>
    <s v="P0036"/>
    <x v="43"/>
    <x v="4"/>
    <s v="Kg"/>
    <n v="90"/>
    <n v="96.3"/>
    <n v="4"/>
    <x v="2"/>
    <x v="1"/>
    <n v="0"/>
    <n v="360"/>
    <n v="385.2"/>
    <n v="25.199999999999989"/>
    <n v="6.9999999999999965E-2"/>
    <x v="13"/>
    <x v="8"/>
    <x v="1"/>
  </r>
  <r>
    <d v="2022-09-27T00:00:00"/>
    <s v="P0044"/>
    <x v="11"/>
    <x v="6"/>
    <s v="Kg"/>
    <n v="76"/>
    <n v="82.08"/>
    <n v="9"/>
    <x v="2"/>
    <x v="1"/>
    <n v="0"/>
    <n v="684"/>
    <n v="738.72"/>
    <n v="54.720000000000027"/>
    <n v="8.0000000000000043E-2"/>
    <x v="13"/>
    <x v="8"/>
    <x v="1"/>
  </r>
  <r>
    <d v="2022-09-27T00:00:00"/>
    <s v="P0038"/>
    <x v="1"/>
    <x v="1"/>
    <s v="Kg"/>
    <n v="72"/>
    <n v="79.92"/>
    <n v="3"/>
    <x v="0"/>
    <x v="1"/>
    <n v="0"/>
    <n v="216"/>
    <n v="239.76"/>
    <n v="23.759999999999991"/>
    <n v="0.10999999999999996"/>
    <x v="13"/>
    <x v="8"/>
    <x v="1"/>
  </r>
  <r>
    <d v="2022-09-29T00:00:00"/>
    <s v="P0034"/>
    <x v="13"/>
    <x v="4"/>
    <s v="Lt"/>
    <n v="55"/>
    <n v="58.3"/>
    <n v="13"/>
    <x v="2"/>
    <x v="0"/>
    <n v="0"/>
    <n v="715"/>
    <n v="757.9"/>
    <n v="42.899999999999977"/>
    <n v="5.999999999999997E-2"/>
    <x v="28"/>
    <x v="8"/>
    <x v="1"/>
  </r>
  <r>
    <d v="2022-10-03T00:00:00"/>
    <s v="P0011"/>
    <x v="31"/>
    <x v="8"/>
    <s v="Lt"/>
    <n v="44"/>
    <n v="48.4"/>
    <n v="5"/>
    <x v="2"/>
    <x v="1"/>
    <n v="0"/>
    <n v="220"/>
    <n v="242"/>
    <n v="22"/>
    <n v="0.1"/>
    <x v="2"/>
    <x v="9"/>
    <x v="1"/>
  </r>
  <r>
    <d v="2022-10-04T00:00:00"/>
    <s v="P0007"/>
    <x v="36"/>
    <x v="8"/>
    <s v="Lt"/>
    <n v="43"/>
    <n v="47.730000000000004"/>
    <n v="15"/>
    <x v="2"/>
    <x v="0"/>
    <n v="0"/>
    <n v="645"/>
    <n v="715.95"/>
    <n v="70.950000000000045"/>
    <n v="0.11000000000000007"/>
    <x v="3"/>
    <x v="9"/>
    <x v="1"/>
  </r>
  <r>
    <d v="2022-10-06T00:00:00"/>
    <s v="P0035"/>
    <x v="4"/>
    <x v="4"/>
    <s v="No."/>
    <n v="5"/>
    <n v="6.7"/>
    <n v="1"/>
    <x v="2"/>
    <x v="0"/>
    <n v="0"/>
    <n v="5"/>
    <n v="6.7"/>
    <n v="1.7000000000000002"/>
    <n v="0.34"/>
    <x v="16"/>
    <x v="9"/>
    <x v="1"/>
  </r>
  <r>
    <d v="2022-10-09T00:00:00"/>
    <s v="P0038"/>
    <x v="1"/>
    <x v="1"/>
    <s v="Kg"/>
    <n v="72"/>
    <n v="79.92"/>
    <n v="14"/>
    <x v="1"/>
    <x v="0"/>
    <n v="0"/>
    <n v="1008"/>
    <n v="1118.8800000000001"/>
    <n v="110.88000000000011"/>
    <n v="0.11000000000000011"/>
    <x v="4"/>
    <x v="9"/>
    <x v="1"/>
  </r>
  <r>
    <d v="2022-10-10T00:00:00"/>
    <s v="P0019"/>
    <x v="40"/>
    <x v="7"/>
    <s v="Ft"/>
    <n v="150"/>
    <n v="210"/>
    <n v="9"/>
    <x v="2"/>
    <x v="0"/>
    <n v="0"/>
    <n v="1350"/>
    <n v="1890"/>
    <n v="540"/>
    <n v="0.4"/>
    <x v="26"/>
    <x v="9"/>
    <x v="1"/>
  </r>
  <r>
    <d v="2022-10-10T00:00:00"/>
    <s v="P0044"/>
    <x v="11"/>
    <x v="6"/>
    <s v="Kg"/>
    <n v="76"/>
    <n v="82.08"/>
    <n v="12"/>
    <x v="1"/>
    <x v="0"/>
    <n v="0"/>
    <n v="912"/>
    <n v="984.96"/>
    <n v="72.960000000000036"/>
    <n v="8.0000000000000043E-2"/>
    <x v="26"/>
    <x v="9"/>
    <x v="1"/>
  </r>
  <r>
    <d v="2022-10-11T00:00:00"/>
    <s v="P0008"/>
    <x v="25"/>
    <x v="8"/>
    <s v="Kg"/>
    <n v="83"/>
    <n v="94.62"/>
    <n v="10"/>
    <x v="2"/>
    <x v="0"/>
    <n v="0"/>
    <n v="830"/>
    <n v="946.2"/>
    <n v="116.20000000000005"/>
    <n v="0.14000000000000004"/>
    <x v="5"/>
    <x v="9"/>
    <x v="1"/>
  </r>
  <r>
    <d v="2022-10-13T00:00:00"/>
    <s v="P0002"/>
    <x v="29"/>
    <x v="3"/>
    <s v="Kg"/>
    <n v="105"/>
    <n v="142.80000000000001"/>
    <n v="15"/>
    <x v="1"/>
    <x v="0"/>
    <n v="0"/>
    <n v="1575"/>
    <n v="2142"/>
    <n v="567"/>
    <n v="0.36"/>
    <x v="22"/>
    <x v="9"/>
    <x v="1"/>
  </r>
  <r>
    <d v="2022-10-14T00:00:00"/>
    <s v="P0044"/>
    <x v="11"/>
    <x v="6"/>
    <s v="Kg"/>
    <n v="76"/>
    <n v="82.08"/>
    <n v="15"/>
    <x v="0"/>
    <x v="0"/>
    <n v="0"/>
    <n v="1140"/>
    <n v="1231.2"/>
    <n v="91.200000000000045"/>
    <n v="8.0000000000000043E-2"/>
    <x v="29"/>
    <x v="9"/>
    <x v="1"/>
  </r>
  <r>
    <d v="2022-10-15T00:00:00"/>
    <s v="P0015"/>
    <x v="27"/>
    <x v="2"/>
    <s v="No."/>
    <n v="12"/>
    <n v="15.719999999999999"/>
    <n v="10"/>
    <x v="2"/>
    <x v="1"/>
    <n v="0"/>
    <n v="120"/>
    <n v="157.19999999999999"/>
    <n v="37.199999999999989"/>
    <n v="0.30999999999999989"/>
    <x v="17"/>
    <x v="9"/>
    <x v="1"/>
  </r>
  <r>
    <d v="2022-10-16T00:00:00"/>
    <s v="P0036"/>
    <x v="43"/>
    <x v="4"/>
    <s v="Kg"/>
    <n v="90"/>
    <n v="96.3"/>
    <n v="3"/>
    <x v="1"/>
    <x v="0"/>
    <n v="0"/>
    <n v="270"/>
    <n v="288.89999999999998"/>
    <n v="18.899999999999977"/>
    <n v="6.999999999999991E-2"/>
    <x v="23"/>
    <x v="9"/>
    <x v="1"/>
  </r>
  <r>
    <d v="2022-10-23T00:00:00"/>
    <s v="P0024"/>
    <x v="0"/>
    <x v="0"/>
    <s v="Ft"/>
    <n v="144"/>
    <n v="156.96"/>
    <n v="14"/>
    <x v="1"/>
    <x v="1"/>
    <n v="0"/>
    <n v="2016"/>
    <n v="2197.44"/>
    <n v="181.44000000000005"/>
    <n v="9.0000000000000024E-2"/>
    <x v="19"/>
    <x v="9"/>
    <x v="1"/>
  </r>
  <r>
    <d v="2022-10-30T00:00:00"/>
    <s v="P0042"/>
    <x v="10"/>
    <x v="6"/>
    <s v="Ft"/>
    <n v="120"/>
    <n v="162"/>
    <n v="3"/>
    <x v="2"/>
    <x v="1"/>
    <n v="0"/>
    <n v="360"/>
    <n v="486"/>
    <n v="126"/>
    <n v="0.35"/>
    <x v="24"/>
    <x v="9"/>
    <x v="1"/>
  </r>
  <r>
    <d v="2022-10-31T00:00:00"/>
    <s v="P0038"/>
    <x v="1"/>
    <x v="1"/>
    <s v="Kg"/>
    <n v="72"/>
    <n v="79.92"/>
    <n v="8"/>
    <x v="2"/>
    <x v="0"/>
    <n v="0"/>
    <n v="576"/>
    <n v="639.36"/>
    <n v="63.360000000000014"/>
    <n v="0.11000000000000003"/>
    <x v="25"/>
    <x v="9"/>
    <x v="1"/>
  </r>
  <r>
    <d v="2022-11-01T00:00:00"/>
    <s v="P0012"/>
    <x v="35"/>
    <x v="2"/>
    <s v="Kg"/>
    <n v="73"/>
    <n v="94.17"/>
    <n v="15"/>
    <x v="0"/>
    <x v="0"/>
    <n v="0"/>
    <n v="1095"/>
    <n v="1412.55"/>
    <n v="317.54999999999995"/>
    <n v="0.28999999999999998"/>
    <x v="0"/>
    <x v="10"/>
    <x v="1"/>
  </r>
  <r>
    <d v="2022-11-02T00:00:00"/>
    <s v="P0015"/>
    <x v="27"/>
    <x v="2"/>
    <s v="No."/>
    <n v="12"/>
    <n v="15.719999999999999"/>
    <n v="15"/>
    <x v="0"/>
    <x v="1"/>
    <n v="0"/>
    <n v="180"/>
    <n v="235.79999999999998"/>
    <n v="55.799999999999983"/>
    <n v="0.30999999999999989"/>
    <x v="1"/>
    <x v="10"/>
    <x v="1"/>
  </r>
  <r>
    <d v="2022-11-02T00:00:00"/>
    <s v="P0030"/>
    <x v="28"/>
    <x v="5"/>
    <s v="Ft"/>
    <n v="148"/>
    <n v="201.28"/>
    <n v="15"/>
    <x v="2"/>
    <x v="1"/>
    <n v="0"/>
    <n v="2220"/>
    <n v="3019.2"/>
    <n v="799.19999999999982"/>
    <n v="0.35999999999999993"/>
    <x v="1"/>
    <x v="10"/>
    <x v="1"/>
  </r>
  <r>
    <d v="2022-11-02T00:00:00"/>
    <s v="P0035"/>
    <x v="4"/>
    <x v="4"/>
    <s v="No."/>
    <n v="5"/>
    <n v="6.7"/>
    <n v="5"/>
    <x v="2"/>
    <x v="1"/>
    <n v="0"/>
    <n v="25"/>
    <n v="33.5"/>
    <n v="8.5"/>
    <n v="0.34"/>
    <x v="1"/>
    <x v="10"/>
    <x v="1"/>
  </r>
  <r>
    <d v="2022-11-03T00:00:00"/>
    <s v="P0020"/>
    <x v="14"/>
    <x v="7"/>
    <s v="Lt"/>
    <n v="61"/>
    <n v="76.25"/>
    <n v="11"/>
    <x v="1"/>
    <x v="0"/>
    <n v="0"/>
    <n v="671"/>
    <n v="838.75"/>
    <n v="167.75"/>
    <n v="0.25"/>
    <x v="2"/>
    <x v="10"/>
    <x v="1"/>
  </r>
  <r>
    <d v="2022-11-04T00:00:00"/>
    <s v="P0008"/>
    <x v="25"/>
    <x v="8"/>
    <s v="Kg"/>
    <n v="83"/>
    <n v="94.62"/>
    <n v="10"/>
    <x v="2"/>
    <x v="0"/>
    <n v="0"/>
    <n v="830"/>
    <n v="946.2"/>
    <n v="116.20000000000005"/>
    <n v="0.14000000000000004"/>
    <x v="3"/>
    <x v="10"/>
    <x v="1"/>
  </r>
  <r>
    <d v="2022-11-05T00:00:00"/>
    <s v="P0019"/>
    <x v="40"/>
    <x v="7"/>
    <s v="Ft"/>
    <n v="150"/>
    <n v="210"/>
    <n v="15"/>
    <x v="2"/>
    <x v="1"/>
    <n v="0"/>
    <n v="2250"/>
    <n v="3150"/>
    <n v="900"/>
    <n v="0.4"/>
    <x v="15"/>
    <x v="10"/>
    <x v="1"/>
  </r>
  <r>
    <d v="2022-11-06T00:00:00"/>
    <s v="P0043"/>
    <x v="23"/>
    <x v="6"/>
    <s v="Kg"/>
    <n v="67"/>
    <n v="83.08"/>
    <n v="13"/>
    <x v="2"/>
    <x v="1"/>
    <n v="0"/>
    <n v="871"/>
    <n v="1080.04"/>
    <n v="209.03999999999996"/>
    <n v="0.23999999999999996"/>
    <x v="16"/>
    <x v="10"/>
    <x v="1"/>
  </r>
  <r>
    <d v="2022-11-06T00:00:00"/>
    <s v="P0015"/>
    <x v="27"/>
    <x v="2"/>
    <s v="No."/>
    <n v="12"/>
    <n v="15.719999999999999"/>
    <n v="13"/>
    <x v="1"/>
    <x v="0"/>
    <n v="0"/>
    <n v="156"/>
    <n v="204.35999999999999"/>
    <n v="48.359999999999985"/>
    <n v="0.30999999999999989"/>
    <x v="16"/>
    <x v="10"/>
    <x v="1"/>
  </r>
  <r>
    <d v="2022-11-06T00:00:00"/>
    <s v="P0042"/>
    <x v="10"/>
    <x v="6"/>
    <s v="Ft"/>
    <n v="120"/>
    <n v="162"/>
    <n v="13"/>
    <x v="2"/>
    <x v="1"/>
    <n v="0"/>
    <n v="1560"/>
    <n v="2106"/>
    <n v="546"/>
    <n v="0.35"/>
    <x v="16"/>
    <x v="10"/>
    <x v="1"/>
  </r>
  <r>
    <d v="2022-11-07T00:00:00"/>
    <s v="P0040"/>
    <x v="17"/>
    <x v="1"/>
    <s v="Kg"/>
    <n v="90"/>
    <n v="115.2"/>
    <n v="13"/>
    <x v="1"/>
    <x v="1"/>
    <n v="0"/>
    <n v="1170"/>
    <n v="1497.6000000000001"/>
    <n v="327.60000000000014"/>
    <n v="0.28000000000000014"/>
    <x v="20"/>
    <x v="10"/>
    <x v="1"/>
  </r>
  <r>
    <d v="2022-11-08T00:00:00"/>
    <s v="P0036"/>
    <x v="43"/>
    <x v="4"/>
    <s v="Kg"/>
    <n v="90"/>
    <n v="96.3"/>
    <n v="11"/>
    <x v="0"/>
    <x v="1"/>
    <n v="0"/>
    <n v="990"/>
    <n v="1059.3"/>
    <n v="69.299999999999955"/>
    <n v="6.9999999999999951E-2"/>
    <x v="21"/>
    <x v="10"/>
    <x v="1"/>
  </r>
  <r>
    <d v="2022-11-08T00:00:00"/>
    <s v="P0019"/>
    <x v="40"/>
    <x v="7"/>
    <s v="Ft"/>
    <n v="150"/>
    <n v="210"/>
    <n v="10"/>
    <x v="0"/>
    <x v="0"/>
    <n v="0"/>
    <n v="1500"/>
    <n v="2100"/>
    <n v="600"/>
    <n v="0.4"/>
    <x v="21"/>
    <x v="10"/>
    <x v="1"/>
  </r>
  <r>
    <d v="2022-11-09T00:00:00"/>
    <s v="P0027"/>
    <x v="26"/>
    <x v="5"/>
    <s v="Lt"/>
    <n v="48"/>
    <n v="57.120000000000005"/>
    <n v="8"/>
    <x v="1"/>
    <x v="1"/>
    <n v="0"/>
    <n v="384"/>
    <n v="456.96000000000004"/>
    <n v="72.960000000000036"/>
    <n v="0.19000000000000009"/>
    <x v="4"/>
    <x v="10"/>
    <x v="1"/>
  </r>
  <r>
    <d v="2022-11-10T00:00:00"/>
    <s v="P0018"/>
    <x v="30"/>
    <x v="7"/>
    <s v="No."/>
    <n v="37"/>
    <n v="49.21"/>
    <n v="7"/>
    <x v="2"/>
    <x v="0"/>
    <n v="0"/>
    <n v="259"/>
    <n v="344.47"/>
    <n v="85.470000000000027"/>
    <n v="0.33000000000000013"/>
    <x v="26"/>
    <x v="10"/>
    <x v="1"/>
  </r>
  <r>
    <d v="2022-11-13T00:00:00"/>
    <s v="P0027"/>
    <x v="26"/>
    <x v="5"/>
    <s v="Lt"/>
    <n v="48"/>
    <n v="57.120000000000005"/>
    <n v="10"/>
    <x v="0"/>
    <x v="1"/>
    <n v="0"/>
    <n v="480"/>
    <n v="571.20000000000005"/>
    <n v="91.200000000000045"/>
    <n v="0.19000000000000009"/>
    <x v="22"/>
    <x v="10"/>
    <x v="1"/>
  </r>
  <r>
    <d v="2022-11-14T00:00:00"/>
    <s v="P0002"/>
    <x v="29"/>
    <x v="3"/>
    <s v="Kg"/>
    <n v="105"/>
    <n v="142.80000000000001"/>
    <n v="1"/>
    <x v="2"/>
    <x v="1"/>
    <n v="0"/>
    <n v="105"/>
    <n v="142.80000000000001"/>
    <n v="37.800000000000011"/>
    <n v="0.3600000000000001"/>
    <x v="29"/>
    <x v="10"/>
    <x v="1"/>
  </r>
  <r>
    <d v="2022-11-15T00:00:00"/>
    <s v="P0012"/>
    <x v="35"/>
    <x v="2"/>
    <s v="Kg"/>
    <n v="73"/>
    <n v="94.17"/>
    <n v="14"/>
    <x v="2"/>
    <x v="1"/>
    <n v="0"/>
    <n v="1022"/>
    <n v="1318.38"/>
    <n v="296.38000000000011"/>
    <n v="0.29000000000000009"/>
    <x v="17"/>
    <x v="10"/>
    <x v="1"/>
  </r>
  <r>
    <d v="2022-11-16T00:00:00"/>
    <s v="P0017"/>
    <x v="39"/>
    <x v="7"/>
    <s v="Ft"/>
    <n v="134"/>
    <n v="156.78"/>
    <n v="8"/>
    <x v="1"/>
    <x v="0"/>
    <n v="0"/>
    <n v="1072"/>
    <n v="1254.24"/>
    <n v="182.24"/>
    <n v="0.17"/>
    <x v="23"/>
    <x v="10"/>
    <x v="1"/>
  </r>
  <r>
    <d v="2022-11-18T00:00:00"/>
    <s v="P0034"/>
    <x v="13"/>
    <x v="4"/>
    <s v="Lt"/>
    <n v="55"/>
    <n v="58.3"/>
    <n v="8"/>
    <x v="2"/>
    <x v="1"/>
    <n v="0"/>
    <n v="440"/>
    <n v="466.4"/>
    <n v="26.399999999999977"/>
    <n v="5.9999999999999949E-2"/>
    <x v="7"/>
    <x v="10"/>
    <x v="1"/>
  </r>
  <r>
    <d v="2022-11-21T00:00:00"/>
    <s v="P0020"/>
    <x v="14"/>
    <x v="7"/>
    <s v="Lt"/>
    <n v="61"/>
    <n v="76.25"/>
    <n v="6"/>
    <x v="2"/>
    <x v="1"/>
    <n v="0"/>
    <n v="366"/>
    <n v="457.5"/>
    <n v="91.5"/>
    <n v="0.25"/>
    <x v="10"/>
    <x v="10"/>
    <x v="1"/>
  </r>
  <r>
    <d v="2022-11-23T00:00:00"/>
    <s v="P0036"/>
    <x v="43"/>
    <x v="4"/>
    <s v="Kg"/>
    <n v="90"/>
    <n v="96.3"/>
    <n v="12"/>
    <x v="1"/>
    <x v="0"/>
    <n v="0"/>
    <n v="1080"/>
    <n v="1155.5999999999999"/>
    <n v="75.599999999999909"/>
    <n v="6.999999999999991E-2"/>
    <x v="19"/>
    <x v="10"/>
    <x v="1"/>
  </r>
  <r>
    <d v="2022-11-25T00:00:00"/>
    <s v="P0004"/>
    <x v="3"/>
    <x v="3"/>
    <s v="Lt"/>
    <n v="44"/>
    <n v="48.84"/>
    <n v="5"/>
    <x v="2"/>
    <x v="1"/>
    <n v="0"/>
    <n v="220"/>
    <n v="244.20000000000002"/>
    <n v="24.200000000000017"/>
    <n v="0.11000000000000008"/>
    <x v="11"/>
    <x v="10"/>
    <x v="1"/>
  </r>
  <r>
    <d v="2022-11-26T00:00:00"/>
    <s v="P0032"/>
    <x v="18"/>
    <x v="4"/>
    <s v="Kg"/>
    <n v="89"/>
    <n v="117.48"/>
    <n v="5"/>
    <x v="2"/>
    <x v="0"/>
    <n v="0"/>
    <n v="445"/>
    <n v="587.4"/>
    <n v="142.39999999999998"/>
    <n v="0.31999999999999995"/>
    <x v="12"/>
    <x v="10"/>
    <x v="1"/>
  </r>
  <r>
    <d v="2022-11-27T00:00:00"/>
    <s v="P0034"/>
    <x v="13"/>
    <x v="4"/>
    <s v="Lt"/>
    <n v="55"/>
    <n v="58.3"/>
    <n v="15"/>
    <x v="2"/>
    <x v="0"/>
    <n v="0"/>
    <n v="825"/>
    <n v="874.5"/>
    <n v="49.5"/>
    <n v="0.06"/>
    <x v="13"/>
    <x v="10"/>
    <x v="1"/>
  </r>
  <r>
    <d v="2022-11-28T00:00:00"/>
    <s v="P0031"/>
    <x v="5"/>
    <x v="5"/>
    <s v="Kg"/>
    <n v="93"/>
    <n v="104.16"/>
    <n v="8"/>
    <x v="2"/>
    <x v="1"/>
    <n v="0"/>
    <n v="744"/>
    <n v="833.28"/>
    <n v="89.279999999999973"/>
    <n v="0.11999999999999997"/>
    <x v="14"/>
    <x v="10"/>
    <x v="1"/>
  </r>
  <r>
    <d v="2022-11-30T00:00:00"/>
    <s v="P0015"/>
    <x v="27"/>
    <x v="2"/>
    <s v="No."/>
    <n v="12"/>
    <n v="15.719999999999999"/>
    <n v="2"/>
    <x v="2"/>
    <x v="0"/>
    <n v="0"/>
    <n v="24"/>
    <n v="31.439999999999998"/>
    <n v="7.4399999999999977"/>
    <n v="0.30999999999999989"/>
    <x v="24"/>
    <x v="10"/>
    <x v="1"/>
  </r>
  <r>
    <d v="2022-12-03T00:00:00"/>
    <s v="P0028"/>
    <x v="33"/>
    <x v="5"/>
    <s v="No."/>
    <n v="37"/>
    <n v="41.81"/>
    <n v="5"/>
    <x v="0"/>
    <x v="1"/>
    <n v="0"/>
    <n v="185"/>
    <n v="209.05"/>
    <n v="24.050000000000011"/>
    <n v="0.13000000000000006"/>
    <x v="2"/>
    <x v="11"/>
    <x v="1"/>
  </r>
  <r>
    <d v="2022-12-04T00:00:00"/>
    <s v="P0026"/>
    <x v="42"/>
    <x v="0"/>
    <s v="No."/>
    <n v="18"/>
    <n v="24.66"/>
    <n v="10"/>
    <x v="2"/>
    <x v="1"/>
    <n v="0"/>
    <n v="180"/>
    <n v="246.6"/>
    <n v="66.599999999999994"/>
    <n v="0.37"/>
    <x v="3"/>
    <x v="11"/>
    <x v="1"/>
  </r>
  <r>
    <d v="2022-12-04T00:00:00"/>
    <s v="P0044"/>
    <x v="11"/>
    <x v="6"/>
    <s v="Kg"/>
    <n v="76"/>
    <n v="82.08"/>
    <n v="15"/>
    <x v="2"/>
    <x v="1"/>
    <n v="0"/>
    <n v="1140"/>
    <n v="1231.2"/>
    <n v="91.200000000000045"/>
    <n v="8.0000000000000043E-2"/>
    <x v="3"/>
    <x v="11"/>
    <x v="1"/>
  </r>
  <r>
    <d v="2022-12-07T00:00:00"/>
    <s v="P0038"/>
    <x v="1"/>
    <x v="1"/>
    <s v="Kg"/>
    <n v="72"/>
    <n v="79.92"/>
    <n v="12"/>
    <x v="2"/>
    <x v="1"/>
    <n v="0"/>
    <n v="864"/>
    <n v="959.04"/>
    <n v="95.039999999999964"/>
    <n v="0.10999999999999996"/>
    <x v="20"/>
    <x v="11"/>
    <x v="1"/>
  </r>
  <r>
    <d v="2022-12-07T00:00:00"/>
    <s v="P0016"/>
    <x v="21"/>
    <x v="2"/>
    <s v="No."/>
    <n v="13"/>
    <n v="16.64"/>
    <n v="13"/>
    <x v="2"/>
    <x v="0"/>
    <n v="0"/>
    <n v="169"/>
    <n v="216.32"/>
    <n v="47.319999999999993"/>
    <n v="0.27999999999999997"/>
    <x v="20"/>
    <x v="11"/>
    <x v="1"/>
  </r>
  <r>
    <d v="2022-12-07T00:00:00"/>
    <s v="P0038"/>
    <x v="1"/>
    <x v="1"/>
    <s v="Kg"/>
    <n v="72"/>
    <n v="79.92"/>
    <n v="5"/>
    <x v="2"/>
    <x v="1"/>
    <n v="0"/>
    <n v="360"/>
    <n v="399.6"/>
    <n v="39.600000000000023"/>
    <n v="0.11000000000000007"/>
    <x v="20"/>
    <x v="11"/>
    <x v="1"/>
  </r>
  <r>
    <d v="2022-12-11T00:00:00"/>
    <s v="P0027"/>
    <x v="26"/>
    <x v="5"/>
    <s v="Lt"/>
    <n v="48"/>
    <n v="57.120000000000005"/>
    <n v="5"/>
    <x v="2"/>
    <x v="0"/>
    <n v="0"/>
    <n v="240"/>
    <n v="285.60000000000002"/>
    <n v="45.600000000000023"/>
    <n v="0.19000000000000009"/>
    <x v="5"/>
    <x v="11"/>
    <x v="1"/>
  </r>
  <r>
    <d v="2022-12-11T00:00:00"/>
    <s v="P0013"/>
    <x v="2"/>
    <x v="2"/>
    <s v="Kg"/>
    <n v="112"/>
    <n v="122.08"/>
    <n v="9"/>
    <x v="0"/>
    <x v="0"/>
    <n v="0"/>
    <n v="1008"/>
    <n v="1098.72"/>
    <n v="90.720000000000027"/>
    <n v="9.0000000000000024E-2"/>
    <x v="5"/>
    <x v="11"/>
    <x v="1"/>
  </r>
  <r>
    <d v="2022-12-11T00:00:00"/>
    <s v="P0014"/>
    <x v="9"/>
    <x v="2"/>
    <s v="Kg"/>
    <n v="112"/>
    <n v="146.72"/>
    <n v="10"/>
    <x v="1"/>
    <x v="1"/>
    <n v="0"/>
    <n v="1120"/>
    <n v="1467.2"/>
    <n v="347.20000000000005"/>
    <n v="0.31000000000000005"/>
    <x v="5"/>
    <x v="11"/>
    <x v="1"/>
  </r>
  <r>
    <d v="2022-12-12T00:00:00"/>
    <s v="P0030"/>
    <x v="28"/>
    <x v="5"/>
    <s v="Ft"/>
    <n v="148"/>
    <n v="201.28"/>
    <n v="9"/>
    <x v="0"/>
    <x v="1"/>
    <n v="0"/>
    <n v="1332"/>
    <n v="1811.52"/>
    <n v="479.52"/>
    <n v="0.36"/>
    <x v="6"/>
    <x v="11"/>
    <x v="1"/>
  </r>
  <r>
    <d v="2022-12-12T00:00:00"/>
    <s v="P0041"/>
    <x v="41"/>
    <x v="1"/>
    <s v="Ft"/>
    <n v="138"/>
    <n v="173.88"/>
    <n v="10"/>
    <x v="0"/>
    <x v="0"/>
    <n v="0"/>
    <n v="1380"/>
    <n v="1738.8"/>
    <n v="358.79999999999995"/>
    <n v="0.25999999999999995"/>
    <x v="6"/>
    <x v="11"/>
    <x v="1"/>
  </r>
  <r>
    <d v="2022-12-14T00:00:00"/>
    <s v="P0005"/>
    <x v="24"/>
    <x v="3"/>
    <s v="Ft"/>
    <n v="133"/>
    <n v="155.61000000000001"/>
    <n v="4"/>
    <x v="2"/>
    <x v="1"/>
    <n v="0"/>
    <n v="532"/>
    <n v="622.44000000000005"/>
    <n v="90.440000000000055"/>
    <n v="0.1700000000000001"/>
    <x v="29"/>
    <x v="11"/>
    <x v="1"/>
  </r>
  <r>
    <d v="2022-12-15T00:00:00"/>
    <s v="P0009"/>
    <x v="37"/>
    <x v="8"/>
    <s v="No."/>
    <n v="6"/>
    <n v="7.8599999999999994"/>
    <n v="13"/>
    <x v="2"/>
    <x v="0"/>
    <n v="0"/>
    <n v="78"/>
    <n v="102.17999999999999"/>
    <n v="24.179999999999993"/>
    <n v="0.30999999999999989"/>
    <x v="17"/>
    <x v="11"/>
    <x v="1"/>
  </r>
  <r>
    <d v="2022-12-19T00:00:00"/>
    <s v="P0044"/>
    <x v="11"/>
    <x v="6"/>
    <s v="Kg"/>
    <n v="76"/>
    <n v="82.08"/>
    <n v="7"/>
    <x v="2"/>
    <x v="0"/>
    <n v="0"/>
    <n v="532"/>
    <n v="574.55999999999995"/>
    <n v="42.559999999999945"/>
    <n v="7.9999999999999891E-2"/>
    <x v="8"/>
    <x v="11"/>
    <x v="1"/>
  </r>
  <r>
    <d v="2022-12-19T00:00:00"/>
    <s v="P0011"/>
    <x v="31"/>
    <x v="8"/>
    <s v="Lt"/>
    <n v="44"/>
    <n v="48.4"/>
    <n v="14"/>
    <x v="2"/>
    <x v="1"/>
    <n v="0"/>
    <n v="616"/>
    <n v="677.6"/>
    <n v="61.600000000000023"/>
    <n v="0.10000000000000003"/>
    <x v="8"/>
    <x v="11"/>
    <x v="1"/>
  </r>
  <r>
    <d v="2022-12-19T00:00:00"/>
    <s v="P0009"/>
    <x v="37"/>
    <x v="8"/>
    <s v="No."/>
    <n v="6"/>
    <n v="7.8599999999999994"/>
    <n v="11"/>
    <x v="1"/>
    <x v="0"/>
    <n v="0"/>
    <n v="66"/>
    <n v="86.46"/>
    <n v="20.459999999999994"/>
    <n v="0.30999999999999989"/>
    <x v="8"/>
    <x v="11"/>
    <x v="1"/>
  </r>
  <r>
    <d v="2022-12-21T00:00:00"/>
    <s v="P0006"/>
    <x v="15"/>
    <x v="8"/>
    <s v="Kg"/>
    <n v="75"/>
    <n v="85.5"/>
    <n v="10"/>
    <x v="2"/>
    <x v="0"/>
    <n v="0"/>
    <n v="750"/>
    <n v="855"/>
    <n v="105"/>
    <n v="0.14000000000000001"/>
    <x v="10"/>
    <x v="11"/>
    <x v="1"/>
  </r>
  <r>
    <d v="2022-12-29T00:00:00"/>
    <s v="P0008"/>
    <x v="25"/>
    <x v="8"/>
    <s v="Kg"/>
    <n v="83"/>
    <n v="94.62"/>
    <n v="15"/>
    <x v="2"/>
    <x v="0"/>
    <n v="0"/>
    <n v="1245"/>
    <n v="1419.3000000000002"/>
    <n v="174.30000000000018"/>
    <n v="0.14000000000000015"/>
    <x v="28"/>
    <x v="11"/>
    <x v="1"/>
  </r>
  <r>
    <d v="2022-12-29T00:00:00"/>
    <s v="P0042"/>
    <x v="10"/>
    <x v="6"/>
    <s v="Ft"/>
    <n v="120"/>
    <n v="162"/>
    <n v="1"/>
    <x v="0"/>
    <x v="1"/>
    <n v="0"/>
    <n v="120"/>
    <n v="162"/>
    <n v="42"/>
    <n v="0.35"/>
    <x v="28"/>
    <x v="11"/>
    <x v="1"/>
  </r>
  <r>
    <d v="2022-12-30T00:00:00"/>
    <s v="P0041"/>
    <x v="41"/>
    <x v="1"/>
    <s v="Ft"/>
    <n v="138"/>
    <n v="173.88"/>
    <n v="14"/>
    <x v="2"/>
    <x v="0"/>
    <n v="0"/>
    <n v="1932"/>
    <n v="2434.3199999999997"/>
    <n v="502.31999999999971"/>
    <n v="0.25999999999999984"/>
    <x v="24"/>
    <x v="11"/>
    <x v="1"/>
  </r>
  <r>
    <d v="2022-12-31T00:00:00"/>
    <s v="P0033"/>
    <x v="38"/>
    <x v="4"/>
    <s v="Kg"/>
    <n v="95"/>
    <n v="119.7"/>
    <n v="12"/>
    <x v="1"/>
    <x v="0"/>
    <n v="0"/>
    <n v="1140"/>
    <n v="1436.4"/>
    <n v="296.40000000000009"/>
    <n v="0.26000000000000006"/>
    <x v="25"/>
    <x v="11"/>
    <x v="1"/>
  </r>
  <r>
    <d v="2022-12-31T00:00:00"/>
    <s v="P0011"/>
    <x v="31"/>
    <x v="8"/>
    <s v="Lt"/>
    <n v="44"/>
    <n v="48.4"/>
    <n v="6"/>
    <x v="1"/>
    <x v="0"/>
    <n v="0"/>
    <n v="264"/>
    <n v="290.39999999999998"/>
    <n v="26.399999999999977"/>
    <n v="9.9999999999999908E-2"/>
    <x v="25"/>
    <x v="11"/>
    <x v="1"/>
  </r>
  <r>
    <d v="2022-12-31T00:00:00"/>
    <s v="P0011"/>
    <x v="31"/>
    <x v="8"/>
    <s v="Lt"/>
    <n v="44"/>
    <n v="48.4"/>
    <n v="3"/>
    <x v="0"/>
    <x v="1"/>
    <n v="0"/>
    <n v="132"/>
    <n v="145.19999999999999"/>
    <n v="13.199999999999989"/>
    <n v="9.9999999999999908E-2"/>
    <x v="25"/>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8A4E75-C53C-4423-8030-C3746C2358BA}" name="PivotTable6"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O4:AP6" firstHeaderRow="1" firstDataRow="1" firstDataCol="1"/>
  <pivotFields count="19">
    <pivotField numFmtId="14" showAll="0"/>
    <pivotField showAll="0"/>
    <pivotField showAll="0">
      <items count="45">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 t="default"/>
      </items>
    </pivotField>
    <pivotField showAll="0">
      <items count="10">
        <item x="4"/>
        <item x="6"/>
        <item x="5"/>
        <item x="8"/>
        <item x="2"/>
        <item x="3"/>
        <item x="7"/>
        <item x="0"/>
        <item x="1"/>
        <item t="default"/>
      </items>
    </pivotField>
    <pivotField showAll="0"/>
    <pivotField showAll="0"/>
    <pivotField showAll="0"/>
    <pivotField showAll="0"/>
    <pivotField showAll="0">
      <items count="4">
        <item x="2"/>
        <item x="1"/>
        <item x="0"/>
        <item t="default"/>
      </items>
    </pivotField>
    <pivotField axis="axisRow" showAll="0">
      <items count="3">
        <item x="1"/>
        <item x="0"/>
        <item t="default"/>
      </items>
    </pivotField>
    <pivotField showAll="0"/>
    <pivotField numFmtId="165" showAll="0"/>
    <pivotField dataField="1" numFmtId="165" showAll="0"/>
    <pivotField numFmtId="165" showAll="0"/>
    <pivotField numFmtId="9"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dragToRow="0" dragToCol="0" dragToPage="0" showAll="0" defaultSubtotal="0"/>
  </pivotFields>
  <rowFields count="1">
    <field x="9"/>
  </rowFields>
  <rowItems count="2">
    <i>
      <x/>
    </i>
    <i>
      <x v="1"/>
    </i>
  </rowItems>
  <colItems count="1">
    <i/>
  </colItems>
  <dataFields count="1">
    <dataField name="TOTAL SALES" fld="12" baseField="0" baseItem="0" numFmtId="164"/>
  </dataFields>
  <formats count="1">
    <format dxfId="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487E76-959A-4F6A-9F62-5CA5C31FF913}" name="PivotTable3"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T4:U35" firstHeaderRow="1" firstDataRow="1" firstDataCol="1"/>
  <pivotFields count="19">
    <pivotField numFmtId="14" showAll="0"/>
    <pivotField showAll="0"/>
    <pivotField showAll="0"/>
    <pivotField showAll="0"/>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numFmtId="165" showAll="0"/>
    <pivotField dataField="1" numFmtId="165" showAll="0"/>
    <pivotField numFmtId="165" showAll="0"/>
    <pivotField numFmtId="9" showAll="0"/>
    <pivotField axis="axisRow"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dragToRow="0" dragToCol="0" dragToPage="0" showAll="0" defaultSubtotal="0"/>
  </pivotFields>
  <rowFields count="1">
    <field x="15"/>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TOTAL SALES" fld="12" baseField="0" baseItem="0" numFmtId="164"/>
  </dataFields>
  <formats count="1">
    <format dxfId="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53170C-F658-4AD2-BFF1-A99A8D3D4FF4}" name="PivotTable8"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B4:BC48" firstHeaderRow="1" firstDataRow="1" firstDataCol="1"/>
  <pivotFields count="19">
    <pivotField numFmtId="14" showAll="0"/>
    <pivotField showAll="0"/>
    <pivotField axis="axisRow" showAll="0">
      <items count="45">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 t="default"/>
      </items>
    </pivotField>
    <pivotField showAll="0">
      <items count="10">
        <item x="4"/>
        <item x="6"/>
        <item x="5"/>
        <item x="8"/>
        <item x="2"/>
        <item x="3"/>
        <item x="7"/>
        <item x="0"/>
        <item x="1"/>
        <item t="default"/>
      </items>
    </pivotField>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numFmtId="165" showAll="0"/>
    <pivotField dataField="1" numFmtId="165" showAll="0"/>
    <pivotField numFmtId="165" showAll="0"/>
    <pivotField numFmtId="9"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dragToRow="0" dragToCol="0" dragToPage="0" showAll="0" defaultSubtotal="0"/>
  </pivotFields>
  <rowFields count="1">
    <field x="2"/>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rowItems>
  <colItems count="1">
    <i/>
  </colItems>
  <dataFields count="1">
    <dataField name="TOTAL SALES" fld="12" baseField="0" baseItem="0" numFmtId="164"/>
  </dataFields>
  <formats count="1">
    <format dxfId="2">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FA1F9E-96BD-4BFD-9852-1CFB6DFA2F5C}" name="PivotTable7"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U4:AV13" firstHeaderRow="1" firstDataRow="1" firstDataCol="1"/>
  <pivotFields count="19">
    <pivotField numFmtId="14" showAll="0"/>
    <pivotField showAll="0"/>
    <pivotField showAll="0">
      <items count="45">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 t="default"/>
      </items>
    </pivotField>
    <pivotField axis="axisRow" showAll="0">
      <items count="10">
        <item x="4"/>
        <item x="6"/>
        <item x="5"/>
        <item x="8"/>
        <item x="2"/>
        <item x="3"/>
        <item x="7"/>
        <item x="0"/>
        <item x="1"/>
        <item t="default"/>
      </items>
    </pivotField>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numFmtId="165" showAll="0"/>
    <pivotField dataField="1" numFmtId="165" showAll="0"/>
    <pivotField numFmtId="165" showAll="0"/>
    <pivotField numFmtId="9"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dragToRow="0" dragToCol="0" dragToPage="0" showAll="0" defaultSubtotal="0"/>
  </pivotFields>
  <rowFields count="1">
    <field x="3"/>
  </rowFields>
  <rowItems count="9">
    <i>
      <x/>
    </i>
    <i>
      <x v="1"/>
    </i>
    <i>
      <x v="2"/>
    </i>
    <i>
      <x v="3"/>
    </i>
    <i>
      <x v="4"/>
    </i>
    <i>
      <x v="5"/>
    </i>
    <i>
      <x v="6"/>
    </i>
    <i>
      <x v="7"/>
    </i>
    <i>
      <x v="8"/>
    </i>
  </rowItems>
  <colItems count="1">
    <i/>
  </colItems>
  <dataFields count="1">
    <dataField name="TOTAL SALES" fld="12" baseField="0" baseItem="0" numFmtId="164"/>
  </dataFields>
  <formats count="1">
    <format dxfId="3">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8A36D91-0A77-4E3C-A069-36E6C7549839}" name="PivotTable1"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D5" firstHeaderRow="0" firstDataRow="1" firstDataCol="0"/>
  <pivotFields count="19">
    <pivotField numFmtId="14" showAll="0"/>
    <pivotField showAll="0"/>
    <pivotField showAll="0"/>
    <pivotField showAll="0"/>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numFmtId="165" showAll="0"/>
    <pivotField dataField="1" numFmtId="165" showAll="0"/>
    <pivotField dataField="1" numFmtId="165" showAll="0"/>
    <pivotField numFmtId="9" showAll="0"/>
    <pivotField showAll="0"/>
    <pivotField showAll="0">
      <items count="13">
        <item x="0"/>
        <item x="1"/>
        <item x="2"/>
        <item x="3"/>
        <item x="4"/>
        <item x="5"/>
        <item x="6"/>
        <item x="7"/>
        <item x="8"/>
        <item x="9"/>
        <item x="10"/>
        <item x="11"/>
        <item t="default"/>
      </items>
    </pivotField>
    <pivotField showAll="0">
      <items count="3">
        <item x="0"/>
        <item x="1"/>
        <item t="default"/>
      </items>
    </pivotField>
    <pivotField dataField="1" dragToRow="0" dragToCol="0" dragToPage="0" showAll="0" defaultSubtotal="0"/>
  </pivotFields>
  <rowItems count="1">
    <i/>
  </rowItems>
  <colFields count="1">
    <field x="-2"/>
  </colFields>
  <colItems count="3">
    <i>
      <x/>
    </i>
    <i i="1">
      <x v="1"/>
    </i>
    <i i="2">
      <x v="2"/>
    </i>
  </colItems>
  <dataFields count="3">
    <dataField name="TOTAL SALES" fld="12" baseField="0" baseItem="0" numFmtId="164"/>
    <dataField name="TOTAL PROFIT" fld="13" baseField="0" baseItem="0" numFmtId="164"/>
    <dataField name="PROFIT(%)" fld="18" baseField="0" baseItem="0" numFmtId="9"/>
  </dataFields>
  <formats count="3">
    <format dxfId="6">
      <pivotArea outline="0" collapsedLevelsAreSubtotals="1" fieldPosition="0">
        <references count="1">
          <reference field="4294967294" count="1" selected="0">
            <x v="2"/>
          </reference>
        </references>
      </pivotArea>
    </format>
    <format dxfId="5">
      <pivotArea outline="0" collapsedLevelsAreSubtotals="1" fieldPosition="0">
        <references count="1">
          <reference field="4294967294" count="1" selected="0">
            <x v="0"/>
          </reference>
        </references>
      </pivotArea>
    </format>
    <format dxfId="4">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7935B5B-7331-48E2-8BC8-439E6908B032}" name="PivotTable5"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F4:AG48" firstHeaderRow="1" firstDataRow="1" firstDataCol="1"/>
  <pivotFields count="19">
    <pivotField numFmtId="14" showAll="0"/>
    <pivotField showAll="0"/>
    <pivotField axis="axisRow" showAll="0">
      <items count="45">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 t="default"/>
      </items>
    </pivotField>
    <pivotField showAll="0">
      <items count="10">
        <item x="4"/>
        <item x="6"/>
        <item x="5"/>
        <item x="8"/>
        <item x="2"/>
        <item x="3"/>
        <item x="7"/>
        <item x="0"/>
        <item x="1"/>
        <item t="default"/>
      </items>
    </pivotField>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numFmtId="165" showAll="0"/>
    <pivotField dataField="1" numFmtId="165" showAll="0"/>
    <pivotField numFmtId="165" showAll="0"/>
    <pivotField numFmtId="9"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dragToRow="0" dragToCol="0" dragToPage="0" showAll="0" defaultSubtotal="0"/>
  </pivotFields>
  <rowFields count="1">
    <field x="2"/>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rowItems>
  <colItems count="1">
    <i/>
  </colItems>
  <dataFields count="1">
    <dataField name="TOTAL SALES" fld="12" baseField="0" baseItem="0" numFmtId="164"/>
  </dataFields>
  <formats count="1">
    <format dxfId="7">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58954C-BA26-48E8-BDAB-B509FC5209C3}" name="PivotTable2"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J4:M16" firstHeaderRow="0" firstDataRow="1" firstDataCol="1"/>
  <pivotFields count="19">
    <pivotField numFmtId="14" showAll="0"/>
    <pivotField showAll="0"/>
    <pivotField showAll="0"/>
    <pivotField showAll="0"/>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numFmtId="165" showAll="0"/>
    <pivotField dataField="1" numFmtId="165" showAll="0"/>
    <pivotField dataField="1" numFmtId="165" showAll="0"/>
    <pivotField numFmtId="9" showAll="0"/>
    <pivotField showAll="0"/>
    <pivotField axis="axisRow" showAll="0">
      <items count="13">
        <item x="0"/>
        <item x="1"/>
        <item x="2"/>
        <item x="3"/>
        <item x="4"/>
        <item x="5"/>
        <item x="6"/>
        <item x="7"/>
        <item x="8"/>
        <item x="9"/>
        <item x="10"/>
        <item x="11"/>
        <item t="default"/>
      </items>
    </pivotField>
    <pivotField showAll="0">
      <items count="3">
        <item x="0"/>
        <item x="1"/>
        <item t="default"/>
      </items>
    </pivotField>
    <pivotField dataField="1" dragToRow="0" dragToCol="0" dragToPage="0" showAll="0" defaultSubtotal="0"/>
  </pivotFields>
  <rowFields count="1">
    <field x="16"/>
  </rowFields>
  <rowItems count="12">
    <i>
      <x/>
    </i>
    <i>
      <x v="1"/>
    </i>
    <i>
      <x v="2"/>
    </i>
    <i>
      <x v="3"/>
    </i>
    <i>
      <x v="4"/>
    </i>
    <i>
      <x v="5"/>
    </i>
    <i>
      <x v="6"/>
    </i>
    <i>
      <x v="7"/>
    </i>
    <i>
      <x v="8"/>
    </i>
    <i>
      <x v="9"/>
    </i>
    <i>
      <x v="10"/>
    </i>
    <i>
      <x v="11"/>
    </i>
  </rowItems>
  <colFields count="1">
    <field x="-2"/>
  </colFields>
  <colItems count="3">
    <i>
      <x/>
    </i>
    <i i="1">
      <x v="1"/>
    </i>
    <i i="2">
      <x v="2"/>
    </i>
  </colItems>
  <dataFields count="3">
    <dataField name="TOTAL SALES" fld="12" baseField="0" baseItem="0" numFmtId="164"/>
    <dataField name="TOTAL PROFIT" fld="13" baseField="0" baseItem="0" numFmtId="164"/>
    <dataField name="PROFIT(%)" fld="18" baseField="0" baseItem="0" numFmtId="9"/>
  </dataFields>
  <formats count="3">
    <format dxfId="10">
      <pivotArea outline="0" collapsedLevelsAreSubtotals="1" fieldPosition="0">
        <references count="1">
          <reference field="4294967294" count="1" selected="0">
            <x v="2"/>
          </reference>
        </references>
      </pivotArea>
    </format>
    <format dxfId="9">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5FFC3E4-A29C-4091-83DD-8C228A253798}" name="PivotTable4"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Z4:AA7" firstHeaderRow="1" firstDataRow="1" firstDataCol="1"/>
  <pivotFields count="19">
    <pivotField numFmtId="14" showAll="0"/>
    <pivotField showAll="0"/>
    <pivotField showAll="0"/>
    <pivotField showAll="0">
      <items count="10">
        <item x="4"/>
        <item x="6"/>
        <item x="5"/>
        <item x="8"/>
        <item x="2"/>
        <item x="3"/>
        <item x="7"/>
        <item x="0"/>
        <item x="1"/>
        <item t="default"/>
      </items>
    </pivotField>
    <pivotField showAll="0"/>
    <pivotField showAll="0"/>
    <pivotField showAll="0"/>
    <pivotField showAll="0"/>
    <pivotField axis="axisRow" showAll="0">
      <items count="4">
        <item x="2"/>
        <item x="1"/>
        <item x="0"/>
        <item t="default"/>
      </items>
    </pivotField>
    <pivotField showAll="0">
      <items count="3">
        <item x="1"/>
        <item x="0"/>
        <item t="default"/>
      </items>
    </pivotField>
    <pivotField showAll="0"/>
    <pivotField numFmtId="165" showAll="0"/>
    <pivotField dataField="1" numFmtId="165" showAll="0"/>
    <pivotField numFmtId="165" showAll="0"/>
    <pivotField numFmtId="9"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dragToRow="0" dragToCol="0" dragToPage="0" showAll="0" defaultSubtotal="0"/>
  </pivotFields>
  <rowFields count="1">
    <field x="8"/>
  </rowFields>
  <rowItems count="3">
    <i>
      <x/>
    </i>
    <i>
      <x v="1"/>
    </i>
    <i>
      <x v="2"/>
    </i>
  </rowItems>
  <colItems count="1">
    <i/>
  </colItems>
  <dataFields count="1">
    <dataField name="TOTAL SALES" fld="12" baseField="0" baseItem="0" numFmtId="164"/>
  </dataFields>
  <formats count="1">
    <format dxfId="1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1" xr10:uid="{B2C9CD0D-1289-4F02-9909-27674D9D1253}" sourceName="SALE TYPE">
  <pivotTables>
    <pivotTable tabId="10" name="PivotTable1"/>
    <pivotTable tabId="10" name="PivotTable2"/>
    <pivotTable tabId="10" name="PivotTable3"/>
    <pivotTable tabId="10" name="PivotTable5"/>
    <pivotTable tabId="10" name="PivotTable6"/>
    <pivotTable tabId="10" name="PivotTable7"/>
    <pivotTable tabId="10" name="PivotTable8"/>
  </pivotTables>
  <data>
    <tabular pivotCacheId="279533905">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1" xr10:uid="{C9B9D268-FFC0-4404-AEC8-9654F18E6D7D}" sourceName="PAYMENT MODE">
  <pivotTables>
    <pivotTable tabId="10" name="PivotTable1"/>
    <pivotTable tabId="10" name="PivotTable2"/>
    <pivotTable tabId="10" name="PivotTable3"/>
    <pivotTable tabId="10" name="PivotTable4"/>
    <pivotTable tabId="10" name="PivotTable5"/>
    <pivotTable tabId="10" name="PivotTable7"/>
    <pivotTable tabId="10" name="PivotTable8"/>
  </pivotTables>
  <data>
    <tabular pivotCacheId="279533905">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61887C15-EFB9-4EC5-BDEA-EFE86156B1EE}" sourceName="MONTH">
  <pivotTables>
    <pivotTable tabId="10" name="PivotTable1"/>
    <pivotTable tabId="10" name="PivotTable3"/>
    <pivotTable tabId="10" name="PivotTable4"/>
    <pivotTable tabId="10" name="PivotTable5"/>
    <pivotTable tabId="10" name="PivotTable6"/>
    <pivotTable tabId="10" name="PivotTable7"/>
    <pivotTable tabId="10" name="PivotTable8"/>
  </pivotTables>
  <data>
    <tabular pivotCacheId="279533905">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9FEC8F2C-DF64-4FFD-9D60-41EE9E0F1876}" sourceName="YEAR">
  <pivotTables>
    <pivotTable tabId="10" name="PivotTable1"/>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7953390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2" xr10:uid="{3AB11026-FEF3-4D1D-A0F9-5F8AD8329F17}" cache="Slicer_SALE_TYPE1" caption="SALE TYPE" style="SALES DASHBOARD-SATYAJIT" rowHeight="234950"/>
  <slicer name="PAYMENT MODE 2" xr10:uid="{BEAFDF51-473F-4754-8AD5-92A8E33910C7}" cache="Slicer_PAYMENT_MODE1" caption="PAYMENT MODE" style="SALES DASHBOARD-SATYAJIT" rowHeight="234950"/>
  <slicer name="MONTH 2" xr10:uid="{E4E1EF22-F326-46D4-9502-95AE65634DC4}" cache="Slicer_MONTH1" caption="MONTH" style="SALES DASHBOARD-SATYAJIT" rowHeight="234950"/>
  <slicer name="YEAR 2" xr10:uid="{6C100FF4-329A-425F-A230-5B2A351C8FF1}" cache="Slicer_YEAR1" caption="YEAR" style="SALES DASHBOARD-SATYAJIT"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3" xr10:uid="{64B684C9-CE83-4B35-BC3C-8596094F7969}" cache="Slicer_SALE_TYPE1" caption="SALE TYPE" columnCount="3" style="SALES DASHBOARD-SATYAJIT" rowHeight="234950"/>
  <slicer name="PAYMENT MODE 3" xr10:uid="{0779154E-19B6-47CD-8C61-BC32DE23F901}" cache="Slicer_PAYMENT_MODE1" caption="PAYMENT MODE" columnCount="2" style="SALES DASHBOARD-SATYAJIT" rowHeight="234950"/>
  <slicer name="MONTH 3" xr10:uid="{39008F81-66D4-49AE-AE6A-843B7FE3956C}" cache="Slicer_MONTH1" caption="MONTH" style="SALES DASHBOARD-SATYAJIT" rowHeight="234950"/>
  <slicer name="YEAR 3" xr10:uid="{44C144AF-9FD9-4B7C-9110-97DBBFC2A3CA}" cache="Slicer_YEAR1" caption="YEAR" style="SALES DASHBOARD-SATYAJIT" rowHeight="234950"/>
</slicers>
</file>

<file path=xl/theme/theme1.xml><?xml version="1.0" encoding="utf-8"?>
<a:theme xmlns:a="http://schemas.openxmlformats.org/drawingml/2006/main" name="Office Theme">
  <a:themeElements>
    <a:clrScheme name="Voilet">
      <a:dk1>
        <a:sysClr val="windowText" lastClr="000000"/>
      </a:dk1>
      <a:lt1>
        <a:sysClr val="window" lastClr="FFFFFF"/>
      </a:lt1>
      <a:dk2>
        <a:srgbClr val="44546A"/>
      </a:dk2>
      <a:lt2>
        <a:srgbClr val="E7E6E6"/>
      </a:lt2>
      <a:accent1>
        <a:srgbClr val="C00000"/>
      </a:accent1>
      <a:accent2>
        <a:srgbClr val="FFC000"/>
      </a:accent2>
      <a:accent3>
        <a:srgbClr val="00B050"/>
      </a:accent3>
      <a:accent4>
        <a:srgbClr val="0070C0"/>
      </a:accent4>
      <a:accent5>
        <a:srgbClr val="002060"/>
      </a:accent5>
      <a:accent6>
        <a:srgbClr val="7030A0"/>
      </a:accent6>
      <a:hlink>
        <a:srgbClr val="FF0000"/>
      </a:hlink>
      <a:folHlink>
        <a:srgbClr val="7030A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M3" dT="2022-07-26T13:51:16.61" personId="{A2495605-B309-488C-908A-0A18332BD6D8}" id="{E4A95E36-AFC4-4BDF-A50F-1530C007CC99}">
    <text>-2 , ONE FOR HEADER, ONE FOR BLANK'</text>
  </threadedComment>
</ThreadedComment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comments" Target="../comments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1.xml"/><Relationship Id="rId5" Type="http://schemas.openxmlformats.org/officeDocument/2006/relationships/pivotTable" Target="../pivotTables/pivotTable5.xml"/><Relationship Id="rId10" Type="http://schemas.openxmlformats.org/officeDocument/2006/relationships/vmlDrawing" Target="../drawings/vmlDrawing1.vml"/><Relationship Id="rId4" Type="http://schemas.openxmlformats.org/officeDocument/2006/relationships/pivotTable" Target="../pivotTables/pivotTable4.xml"/><Relationship Id="rId9" Type="http://schemas.openxmlformats.org/officeDocument/2006/relationships/drawing" Target="../drawings/drawing2.xml"/><Relationship Id="rId1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7"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99D2-FDC4-465A-AF02-E86176B2421D}">
  <sheetPr codeName="Sheet2">
    <tabColor rgb="FF7030A0"/>
  </sheetPr>
  <dimension ref="A1:F528"/>
  <sheetViews>
    <sheetView topLeftCell="A500" workbookViewId="0">
      <selection sqref="A1:F528"/>
    </sheetView>
  </sheetViews>
  <sheetFormatPr baseColWidth="10" defaultColWidth="8.83203125" defaultRowHeight="15" x14ac:dyDescent="0.2"/>
  <cols>
    <col min="1" max="1" width="10.5" style="1" bestFit="1" customWidth="1"/>
    <col min="2" max="2" width="15.33203125" customWidth="1"/>
    <col min="3" max="3" width="14.5" customWidth="1"/>
    <col min="4" max="4" width="14.33203125" customWidth="1"/>
  </cols>
  <sheetData>
    <row r="1" spans="1:6" x14ac:dyDescent="0.2">
      <c r="A1" s="1" t="s">
        <v>95</v>
      </c>
      <c r="B1" t="s">
        <v>0</v>
      </c>
      <c r="C1" t="s">
        <v>96</v>
      </c>
      <c r="D1" t="s">
        <v>97</v>
      </c>
      <c r="E1" t="s">
        <v>98</v>
      </c>
      <c r="F1" t="s">
        <v>99</v>
      </c>
    </row>
    <row r="2" spans="1:6" x14ac:dyDescent="0.2">
      <c r="A2" s="1">
        <v>44197</v>
      </c>
      <c r="B2" t="s">
        <v>53</v>
      </c>
      <c r="C2">
        <v>9</v>
      </c>
      <c r="D2" t="s">
        <v>100</v>
      </c>
      <c r="E2" t="s">
        <v>101</v>
      </c>
      <c r="F2">
        <v>0</v>
      </c>
    </row>
    <row r="3" spans="1:6" x14ac:dyDescent="0.2">
      <c r="A3" s="1">
        <v>44198</v>
      </c>
      <c r="B3" t="s">
        <v>81</v>
      </c>
      <c r="C3">
        <v>15</v>
      </c>
      <c r="D3" t="s">
        <v>101</v>
      </c>
      <c r="E3" t="s">
        <v>102</v>
      </c>
      <c r="F3">
        <v>0</v>
      </c>
    </row>
    <row r="4" spans="1:6" x14ac:dyDescent="0.2">
      <c r="A4" s="1">
        <v>44198</v>
      </c>
      <c r="B4" t="s">
        <v>31</v>
      </c>
      <c r="C4">
        <v>6</v>
      </c>
      <c r="D4" t="s">
        <v>103</v>
      </c>
      <c r="E4" t="s">
        <v>102</v>
      </c>
      <c r="F4">
        <v>0</v>
      </c>
    </row>
    <row r="5" spans="1:6" x14ac:dyDescent="0.2">
      <c r="A5" s="1">
        <v>44199</v>
      </c>
      <c r="B5" t="s">
        <v>13</v>
      </c>
      <c r="C5">
        <v>5</v>
      </c>
      <c r="D5" t="s">
        <v>103</v>
      </c>
      <c r="E5" t="s">
        <v>101</v>
      </c>
      <c r="F5">
        <v>0</v>
      </c>
    </row>
    <row r="6" spans="1:6" x14ac:dyDescent="0.2">
      <c r="A6" s="1">
        <v>44200</v>
      </c>
      <c r="B6" t="s">
        <v>75</v>
      </c>
      <c r="C6">
        <v>12</v>
      </c>
      <c r="D6" t="s">
        <v>101</v>
      </c>
      <c r="E6" t="s">
        <v>101</v>
      </c>
      <c r="F6">
        <v>0</v>
      </c>
    </row>
    <row r="7" spans="1:6" x14ac:dyDescent="0.2">
      <c r="A7" s="1">
        <v>44205</v>
      </c>
      <c r="B7" t="s">
        <v>67</v>
      </c>
      <c r="C7">
        <v>1</v>
      </c>
      <c r="D7" t="s">
        <v>103</v>
      </c>
      <c r="E7" t="s">
        <v>102</v>
      </c>
      <c r="F7">
        <v>0</v>
      </c>
    </row>
    <row r="8" spans="1:6" x14ac:dyDescent="0.2">
      <c r="A8" s="1">
        <v>44205</v>
      </c>
      <c r="B8" t="s">
        <v>11</v>
      </c>
      <c r="C8">
        <v>8</v>
      </c>
      <c r="D8" t="s">
        <v>103</v>
      </c>
      <c r="E8" t="s">
        <v>102</v>
      </c>
      <c r="F8">
        <v>0</v>
      </c>
    </row>
    <row r="9" spans="1:6" x14ac:dyDescent="0.2">
      <c r="A9" s="1">
        <v>44205</v>
      </c>
      <c r="B9" t="s">
        <v>55</v>
      </c>
      <c r="C9">
        <v>4</v>
      </c>
      <c r="D9" t="s">
        <v>103</v>
      </c>
      <c r="E9" t="s">
        <v>101</v>
      </c>
      <c r="F9">
        <v>0</v>
      </c>
    </row>
    <row r="10" spans="1:6" x14ac:dyDescent="0.2">
      <c r="A10" s="1">
        <v>44207</v>
      </c>
      <c r="B10" t="s">
        <v>79</v>
      </c>
      <c r="C10">
        <v>3</v>
      </c>
      <c r="D10" t="s">
        <v>103</v>
      </c>
      <c r="E10" t="s">
        <v>102</v>
      </c>
      <c r="F10">
        <v>0</v>
      </c>
    </row>
    <row r="11" spans="1:6" x14ac:dyDescent="0.2">
      <c r="A11" s="1">
        <v>44207</v>
      </c>
      <c r="B11" t="s">
        <v>33</v>
      </c>
      <c r="C11">
        <v>4</v>
      </c>
      <c r="D11" t="s">
        <v>100</v>
      </c>
      <c r="E11" t="s">
        <v>101</v>
      </c>
      <c r="F11">
        <v>0</v>
      </c>
    </row>
    <row r="12" spans="1:6" x14ac:dyDescent="0.2">
      <c r="A12" s="1">
        <v>44207</v>
      </c>
      <c r="B12" t="s">
        <v>89</v>
      </c>
      <c r="C12">
        <v>4</v>
      </c>
      <c r="D12" t="s">
        <v>103</v>
      </c>
      <c r="E12" t="s">
        <v>101</v>
      </c>
      <c r="F12">
        <v>0</v>
      </c>
    </row>
    <row r="13" spans="1:6" x14ac:dyDescent="0.2">
      <c r="A13" s="1">
        <v>44208</v>
      </c>
      <c r="B13" t="s">
        <v>89</v>
      </c>
      <c r="C13">
        <v>10</v>
      </c>
      <c r="D13" t="s">
        <v>101</v>
      </c>
      <c r="E13" t="s">
        <v>102</v>
      </c>
      <c r="F13">
        <v>0</v>
      </c>
    </row>
    <row r="14" spans="1:6" x14ac:dyDescent="0.2">
      <c r="A14" s="1">
        <v>44214</v>
      </c>
      <c r="B14" t="s">
        <v>93</v>
      </c>
      <c r="C14">
        <v>13</v>
      </c>
      <c r="D14" t="s">
        <v>103</v>
      </c>
      <c r="E14" t="s">
        <v>101</v>
      </c>
      <c r="F14">
        <v>0</v>
      </c>
    </row>
    <row r="15" spans="1:6" x14ac:dyDescent="0.2">
      <c r="A15" s="1">
        <v>44214</v>
      </c>
      <c r="B15" t="s">
        <v>51</v>
      </c>
      <c r="C15">
        <v>3</v>
      </c>
      <c r="D15" t="s">
        <v>101</v>
      </c>
      <c r="E15" t="s">
        <v>102</v>
      </c>
      <c r="F15">
        <v>0</v>
      </c>
    </row>
    <row r="16" spans="1:6" x14ac:dyDescent="0.2">
      <c r="A16" s="1">
        <v>44215</v>
      </c>
      <c r="B16" t="s">
        <v>75</v>
      </c>
      <c r="C16">
        <v>6</v>
      </c>
      <c r="D16" t="s">
        <v>103</v>
      </c>
      <c r="E16" t="s">
        <v>102</v>
      </c>
      <c r="F16">
        <v>0</v>
      </c>
    </row>
    <row r="17" spans="1:6" x14ac:dyDescent="0.2">
      <c r="A17" s="1">
        <v>44216</v>
      </c>
      <c r="B17" t="s">
        <v>73</v>
      </c>
      <c r="C17">
        <v>4</v>
      </c>
      <c r="D17" t="s">
        <v>103</v>
      </c>
      <c r="E17" t="s">
        <v>102</v>
      </c>
      <c r="F17">
        <v>0</v>
      </c>
    </row>
    <row r="18" spans="1:6" x14ac:dyDescent="0.2">
      <c r="A18" s="1">
        <v>44216</v>
      </c>
      <c r="B18" t="s">
        <v>45</v>
      </c>
      <c r="C18">
        <v>4</v>
      </c>
      <c r="D18" t="s">
        <v>103</v>
      </c>
      <c r="E18" t="s">
        <v>102</v>
      </c>
      <c r="F18">
        <v>0</v>
      </c>
    </row>
    <row r="19" spans="1:6" x14ac:dyDescent="0.2">
      <c r="A19" s="1">
        <v>44217</v>
      </c>
      <c r="B19" t="s">
        <v>13</v>
      </c>
      <c r="C19">
        <v>15</v>
      </c>
      <c r="D19" t="s">
        <v>100</v>
      </c>
      <c r="E19" t="s">
        <v>102</v>
      </c>
      <c r="F19">
        <v>0</v>
      </c>
    </row>
    <row r="20" spans="1:6" x14ac:dyDescent="0.2">
      <c r="A20" s="1">
        <v>44217</v>
      </c>
      <c r="B20" t="s">
        <v>11</v>
      </c>
      <c r="C20">
        <v>9</v>
      </c>
      <c r="D20" t="s">
        <v>103</v>
      </c>
      <c r="E20" t="s">
        <v>101</v>
      </c>
      <c r="F20">
        <v>0</v>
      </c>
    </row>
    <row r="21" spans="1:6" x14ac:dyDescent="0.2">
      <c r="A21" s="1">
        <v>44217</v>
      </c>
      <c r="B21" t="s">
        <v>89</v>
      </c>
      <c r="C21">
        <v>6</v>
      </c>
      <c r="D21" t="s">
        <v>103</v>
      </c>
      <c r="E21" t="s">
        <v>101</v>
      </c>
      <c r="F21">
        <v>0</v>
      </c>
    </row>
    <row r="22" spans="1:6" x14ac:dyDescent="0.2">
      <c r="A22" s="1">
        <v>44221</v>
      </c>
      <c r="B22" t="s">
        <v>73</v>
      </c>
      <c r="C22">
        <v>6</v>
      </c>
      <c r="D22" t="s">
        <v>103</v>
      </c>
      <c r="E22" t="s">
        <v>102</v>
      </c>
      <c r="F22">
        <v>0</v>
      </c>
    </row>
    <row r="23" spans="1:6" x14ac:dyDescent="0.2">
      <c r="A23" s="1">
        <v>44221</v>
      </c>
      <c r="B23" t="s">
        <v>75</v>
      </c>
      <c r="C23">
        <v>7</v>
      </c>
      <c r="D23" t="s">
        <v>103</v>
      </c>
      <c r="E23" t="s">
        <v>101</v>
      </c>
      <c r="F23">
        <v>0</v>
      </c>
    </row>
    <row r="24" spans="1:6" x14ac:dyDescent="0.2">
      <c r="A24" s="1">
        <v>44221</v>
      </c>
      <c r="B24" t="s">
        <v>67</v>
      </c>
      <c r="C24">
        <v>14</v>
      </c>
      <c r="D24" t="s">
        <v>103</v>
      </c>
      <c r="E24" t="s">
        <v>101</v>
      </c>
      <c r="F24">
        <v>0</v>
      </c>
    </row>
    <row r="25" spans="1:6" x14ac:dyDescent="0.2">
      <c r="A25" s="1">
        <v>44222</v>
      </c>
      <c r="B25" t="s">
        <v>93</v>
      </c>
      <c r="C25">
        <v>9</v>
      </c>
      <c r="D25" t="s">
        <v>100</v>
      </c>
      <c r="E25" t="s">
        <v>102</v>
      </c>
      <c r="F25">
        <v>0</v>
      </c>
    </row>
    <row r="26" spans="1:6" x14ac:dyDescent="0.2">
      <c r="A26" s="1">
        <v>44222</v>
      </c>
      <c r="B26" t="s">
        <v>17</v>
      </c>
      <c r="C26">
        <v>7</v>
      </c>
      <c r="D26" t="s">
        <v>101</v>
      </c>
      <c r="E26" t="s">
        <v>102</v>
      </c>
      <c r="F26">
        <v>0</v>
      </c>
    </row>
    <row r="27" spans="1:6" x14ac:dyDescent="0.2">
      <c r="A27" s="1">
        <v>44222</v>
      </c>
      <c r="B27" t="s">
        <v>6</v>
      </c>
      <c r="C27">
        <v>7</v>
      </c>
      <c r="D27" t="s">
        <v>101</v>
      </c>
      <c r="E27" t="s">
        <v>101</v>
      </c>
      <c r="F27">
        <v>0</v>
      </c>
    </row>
    <row r="28" spans="1:6" x14ac:dyDescent="0.2">
      <c r="A28" s="1">
        <v>44223</v>
      </c>
      <c r="B28" t="s">
        <v>85</v>
      </c>
      <c r="C28">
        <v>7</v>
      </c>
      <c r="D28" t="s">
        <v>100</v>
      </c>
      <c r="E28" t="s">
        <v>101</v>
      </c>
      <c r="F28">
        <v>0</v>
      </c>
    </row>
    <row r="29" spans="1:6" x14ac:dyDescent="0.2">
      <c r="A29" s="1">
        <v>44223</v>
      </c>
      <c r="B29" t="s">
        <v>69</v>
      </c>
      <c r="C29">
        <v>3</v>
      </c>
      <c r="D29" t="s">
        <v>100</v>
      </c>
      <c r="E29" t="s">
        <v>101</v>
      </c>
      <c r="F29">
        <v>0</v>
      </c>
    </row>
    <row r="30" spans="1:6" x14ac:dyDescent="0.2">
      <c r="A30" s="1">
        <v>44224</v>
      </c>
      <c r="B30" t="s">
        <v>13</v>
      </c>
      <c r="C30">
        <v>10</v>
      </c>
      <c r="D30" t="s">
        <v>101</v>
      </c>
      <c r="E30" t="s">
        <v>102</v>
      </c>
      <c r="F30">
        <v>0</v>
      </c>
    </row>
    <row r="31" spans="1:6" x14ac:dyDescent="0.2">
      <c r="A31" s="1">
        <v>44224</v>
      </c>
      <c r="B31" t="s">
        <v>63</v>
      </c>
      <c r="C31">
        <v>2</v>
      </c>
      <c r="D31" t="s">
        <v>103</v>
      </c>
      <c r="E31" t="s">
        <v>102</v>
      </c>
      <c r="F31">
        <v>0</v>
      </c>
    </row>
    <row r="32" spans="1:6" x14ac:dyDescent="0.2">
      <c r="A32" s="1">
        <v>44229</v>
      </c>
      <c r="B32" t="s">
        <v>25</v>
      </c>
      <c r="C32">
        <v>7</v>
      </c>
      <c r="D32" t="s">
        <v>101</v>
      </c>
      <c r="E32" t="s">
        <v>101</v>
      </c>
      <c r="F32">
        <v>0</v>
      </c>
    </row>
    <row r="33" spans="1:6" x14ac:dyDescent="0.2">
      <c r="A33" s="1">
        <v>44230</v>
      </c>
      <c r="B33" t="s">
        <v>37</v>
      </c>
      <c r="C33">
        <v>13</v>
      </c>
      <c r="D33" t="s">
        <v>103</v>
      </c>
      <c r="E33" t="s">
        <v>101</v>
      </c>
      <c r="F33">
        <v>0</v>
      </c>
    </row>
    <row r="34" spans="1:6" x14ac:dyDescent="0.2">
      <c r="A34" s="1">
        <v>44230</v>
      </c>
      <c r="B34" t="s">
        <v>49</v>
      </c>
      <c r="C34">
        <v>2</v>
      </c>
      <c r="D34" t="s">
        <v>100</v>
      </c>
      <c r="E34" t="s">
        <v>102</v>
      </c>
      <c r="F34">
        <v>0</v>
      </c>
    </row>
    <row r="35" spans="1:6" x14ac:dyDescent="0.2">
      <c r="A35" s="1">
        <v>44231</v>
      </c>
      <c r="B35" t="s">
        <v>79</v>
      </c>
      <c r="C35">
        <v>4</v>
      </c>
      <c r="D35" t="s">
        <v>101</v>
      </c>
      <c r="E35" t="s">
        <v>101</v>
      </c>
      <c r="F35">
        <v>0</v>
      </c>
    </row>
    <row r="36" spans="1:6" x14ac:dyDescent="0.2">
      <c r="A36" s="1">
        <v>44232</v>
      </c>
      <c r="B36" t="s">
        <v>91</v>
      </c>
      <c r="C36">
        <v>7</v>
      </c>
      <c r="D36" t="s">
        <v>101</v>
      </c>
      <c r="E36" t="s">
        <v>102</v>
      </c>
      <c r="F36">
        <v>0</v>
      </c>
    </row>
    <row r="37" spans="1:6" x14ac:dyDescent="0.2">
      <c r="A37" s="1">
        <v>44232</v>
      </c>
      <c r="B37" t="s">
        <v>15</v>
      </c>
      <c r="C37">
        <v>1</v>
      </c>
      <c r="D37" t="s">
        <v>103</v>
      </c>
      <c r="E37" t="s">
        <v>102</v>
      </c>
      <c r="F37">
        <v>0</v>
      </c>
    </row>
    <row r="38" spans="1:6" x14ac:dyDescent="0.2">
      <c r="A38" s="1">
        <v>44232</v>
      </c>
      <c r="B38" t="s">
        <v>91</v>
      </c>
      <c r="C38">
        <v>9</v>
      </c>
      <c r="D38" t="s">
        <v>103</v>
      </c>
      <c r="E38" t="s">
        <v>102</v>
      </c>
      <c r="F38">
        <v>0</v>
      </c>
    </row>
    <row r="39" spans="1:6" x14ac:dyDescent="0.2">
      <c r="A39" s="1">
        <v>44233</v>
      </c>
      <c r="B39" t="s">
        <v>75</v>
      </c>
      <c r="C39">
        <v>1</v>
      </c>
      <c r="D39" t="s">
        <v>103</v>
      </c>
      <c r="E39" t="s">
        <v>102</v>
      </c>
      <c r="F39">
        <v>0</v>
      </c>
    </row>
    <row r="40" spans="1:6" x14ac:dyDescent="0.2">
      <c r="A40" s="1">
        <v>44236</v>
      </c>
      <c r="B40" t="s">
        <v>73</v>
      </c>
      <c r="C40">
        <v>14</v>
      </c>
      <c r="D40" t="s">
        <v>103</v>
      </c>
      <c r="E40" t="s">
        <v>101</v>
      </c>
      <c r="F40">
        <v>0</v>
      </c>
    </row>
    <row r="41" spans="1:6" x14ac:dyDescent="0.2">
      <c r="A41" s="1">
        <v>44239</v>
      </c>
      <c r="B41" t="s">
        <v>21</v>
      </c>
      <c r="C41">
        <v>7</v>
      </c>
      <c r="D41" t="s">
        <v>103</v>
      </c>
      <c r="E41" t="s">
        <v>102</v>
      </c>
      <c r="F41">
        <v>0</v>
      </c>
    </row>
    <row r="42" spans="1:6" x14ac:dyDescent="0.2">
      <c r="A42" s="1">
        <v>44239</v>
      </c>
      <c r="B42" t="s">
        <v>51</v>
      </c>
      <c r="C42">
        <v>9</v>
      </c>
      <c r="D42" t="s">
        <v>101</v>
      </c>
      <c r="E42" t="s">
        <v>102</v>
      </c>
      <c r="F42">
        <v>0</v>
      </c>
    </row>
    <row r="43" spans="1:6" x14ac:dyDescent="0.2">
      <c r="A43" s="1">
        <v>44242</v>
      </c>
      <c r="B43" t="s">
        <v>59</v>
      </c>
      <c r="C43">
        <v>4</v>
      </c>
      <c r="D43" t="s">
        <v>103</v>
      </c>
      <c r="E43" t="s">
        <v>101</v>
      </c>
      <c r="F43">
        <v>0</v>
      </c>
    </row>
    <row r="44" spans="1:6" x14ac:dyDescent="0.2">
      <c r="A44" s="1">
        <v>44245</v>
      </c>
      <c r="B44" t="s">
        <v>35</v>
      </c>
      <c r="C44">
        <v>6</v>
      </c>
      <c r="D44" t="s">
        <v>101</v>
      </c>
      <c r="E44" t="s">
        <v>102</v>
      </c>
      <c r="F44">
        <v>0</v>
      </c>
    </row>
    <row r="45" spans="1:6" x14ac:dyDescent="0.2">
      <c r="A45" s="1">
        <v>44247</v>
      </c>
      <c r="B45" t="s">
        <v>65</v>
      </c>
      <c r="C45">
        <v>11</v>
      </c>
      <c r="D45" t="s">
        <v>101</v>
      </c>
      <c r="E45" t="s">
        <v>102</v>
      </c>
      <c r="F45">
        <v>0</v>
      </c>
    </row>
    <row r="46" spans="1:6" x14ac:dyDescent="0.2">
      <c r="A46" s="1">
        <v>44249</v>
      </c>
      <c r="B46" t="s">
        <v>31</v>
      </c>
      <c r="C46">
        <v>5</v>
      </c>
      <c r="D46" t="s">
        <v>101</v>
      </c>
      <c r="E46" t="s">
        <v>102</v>
      </c>
      <c r="F46">
        <v>0</v>
      </c>
    </row>
    <row r="47" spans="1:6" x14ac:dyDescent="0.2">
      <c r="A47" s="1">
        <v>44250</v>
      </c>
      <c r="B47" t="s">
        <v>55</v>
      </c>
      <c r="C47">
        <v>3</v>
      </c>
      <c r="D47" t="s">
        <v>103</v>
      </c>
      <c r="E47" t="s">
        <v>102</v>
      </c>
      <c r="F47">
        <v>0</v>
      </c>
    </row>
    <row r="48" spans="1:6" x14ac:dyDescent="0.2">
      <c r="A48" s="1">
        <v>44250</v>
      </c>
      <c r="B48" t="s">
        <v>15</v>
      </c>
      <c r="C48">
        <v>2</v>
      </c>
      <c r="D48" t="s">
        <v>103</v>
      </c>
      <c r="E48" t="s">
        <v>101</v>
      </c>
      <c r="F48">
        <v>0</v>
      </c>
    </row>
    <row r="49" spans="1:6" x14ac:dyDescent="0.2">
      <c r="A49" s="1">
        <v>44252</v>
      </c>
      <c r="B49" t="s">
        <v>9</v>
      </c>
      <c r="C49">
        <v>4</v>
      </c>
      <c r="D49" t="s">
        <v>100</v>
      </c>
      <c r="E49" t="s">
        <v>101</v>
      </c>
      <c r="F49">
        <v>0</v>
      </c>
    </row>
    <row r="50" spans="1:6" x14ac:dyDescent="0.2">
      <c r="A50" s="1">
        <v>44252</v>
      </c>
      <c r="B50" t="s">
        <v>69</v>
      </c>
      <c r="C50">
        <v>11</v>
      </c>
      <c r="D50" t="s">
        <v>101</v>
      </c>
      <c r="E50" t="s">
        <v>102</v>
      </c>
      <c r="F50">
        <v>0</v>
      </c>
    </row>
    <row r="51" spans="1:6" x14ac:dyDescent="0.2">
      <c r="A51" s="1">
        <v>44252</v>
      </c>
      <c r="B51" t="s">
        <v>65</v>
      </c>
      <c r="C51">
        <v>2</v>
      </c>
      <c r="D51" t="s">
        <v>103</v>
      </c>
      <c r="E51" t="s">
        <v>101</v>
      </c>
      <c r="F51">
        <v>0</v>
      </c>
    </row>
    <row r="52" spans="1:6" x14ac:dyDescent="0.2">
      <c r="A52" s="1">
        <v>44254</v>
      </c>
      <c r="B52" t="s">
        <v>41</v>
      </c>
      <c r="C52">
        <v>11</v>
      </c>
      <c r="D52" t="s">
        <v>100</v>
      </c>
      <c r="E52" t="s">
        <v>101</v>
      </c>
      <c r="F52">
        <v>0</v>
      </c>
    </row>
    <row r="53" spans="1:6" x14ac:dyDescent="0.2">
      <c r="A53" s="1">
        <v>44258</v>
      </c>
      <c r="B53" t="s">
        <v>27</v>
      </c>
      <c r="C53">
        <v>1</v>
      </c>
      <c r="D53" t="s">
        <v>103</v>
      </c>
      <c r="E53" t="s">
        <v>101</v>
      </c>
      <c r="F53">
        <v>0</v>
      </c>
    </row>
    <row r="54" spans="1:6" x14ac:dyDescent="0.2">
      <c r="A54" s="1">
        <v>44262</v>
      </c>
      <c r="B54" t="s">
        <v>47</v>
      </c>
      <c r="C54">
        <v>9</v>
      </c>
      <c r="D54" t="s">
        <v>103</v>
      </c>
      <c r="E54" t="s">
        <v>102</v>
      </c>
      <c r="F54">
        <v>0</v>
      </c>
    </row>
    <row r="55" spans="1:6" x14ac:dyDescent="0.2">
      <c r="A55" s="1">
        <v>44263</v>
      </c>
      <c r="B55" t="s">
        <v>59</v>
      </c>
      <c r="C55">
        <v>6</v>
      </c>
      <c r="D55" t="s">
        <v>101</v>
      </c>
      <c r="E55" t="s">
        <v>102</v>
      </c>
      <c r="F55">
        <v>0</v>
      </c>
    </row>
    <row r="56" spans="1:6" x14ac:dyDescent="0.2">
      <c r="A56" s="1">
        <v>44263</v>
      </c>
      <c r="B56" t="s">
        <v>93</v>
      </c>
      <c r="C56">
        <v>9</v>
      </c>
      <c r="D56" t="s">
        <v>101</v>
      </c>
      <c r="E56" t="s">
        <v>101</v>
      </c>
      <c r="F56">
        <v>0</v>
      </c>
    </row>
    <row r="57" spans="1:6" x14ac:dyDescent="0.2">
      <c r="A57" s="1">
        <v>44264</v>
      </c>
      <c r="B57" t="s">
        <v>63</v>
      </c>
      <c r="C57">
        <v>6</v>
      </c>
      <c r="D57" t="s">
        <v>100</v>
      </c>
      <c r="E57" t="s">
        <v>101</v>
      </c>
      <c r="F57">
        <v>0</v>
      </c>
    </row>
    <row r="58" spans="1:6" x14ac:dyDescent="0.2">
      <c r="A58" s="1">
        <v>44266</v>
      </c>
      <c r="B58" t="s">
        <v>55</v>
      </c>
      <c r="C58">
        <v>11</v>
      </c>
      <c r="D58" t="s">
        <v>103</v>
      </c>
      <c r="E58" t="s">
        <v>102</v>
      </c>
      <c r="F58">
        <v>0</v>
      </c>
    </row>
    <row r="59" spans="1:6" x14ac:dyDescent="0.2">
      <c r="A59" s="1">
        <v>44268</v>
      </c>
      <c r="B59" t="s">
        <v>61</v>
      </c>
      <c r="C59">
        <v>10</v>
      </c>
      <c r="D59" t="s">
        <v>100</v>
      </c>
      <c r="E59" t="s">
        <v>102</v>
      </c>
      <c r="F59">
        <v>0</v>
      </c>
    </row>
    <row r="60" spans="1:6" x14ac:dyDescent="0.2">
      <c r="A60" s="1">
        <v>44270</v>
      </c>
      <c r="B60" t="s">
        <v>83</v>
      </c>
      <c r="C60">
        <v>11</v>
      </c>
      <c r="D60" t="s">
        <v>101</v>
      </c>
      <c r="E60" t="s">
        <v>102</v>
      </c>
      <c r="F60">
        <v>0</v>
      </c>
    </row>
    <row r="61" spans="1:6" x14ac:dyDescent="0.2">
      <c r="A61" s="1">
        <v>44271</v>
      </c>
      <c r="B61" t="s">
        <v>29</v>
      </c>
      <c r="C61">
        <v>14</v>
      </c>
      <c r="D61" t="s">
        <v>103</v>
      </c>
      <c r="E61" t="s">
        <v>102</v>
      </c>
      <c r="F61">
        <v>0</v>
      </c>
    </row>
    <row r="62" spans="1:6" x14ac:dyDescent="0.2">
      <c r="A62" s="1">
        <v>44273</v>
      </c>
      <c r="B62" t="s">
        <v>89</v>
      </c>
      <c r="C62">
        <v>8</v>
      </c>
      <c r="D62" t="s">
        <v>100</v>
      </c>
      <c r="E62" t="s">
        <v>102</v>
      </c>
      <c r="F62">
        <v>0</v>
      </c>
    </row>
    <row r="63" spans="1:6" x14ac:dyDescent="0.2">
      <c r="A63" s="1">
        <v>44274</v>
      </c>
      <c r="B63" t="s">
        <v>61</v>
      </c>
      <c r="C63">
        <v>9</v>
      </c>
      <c r="D63" t="s">
        <v>101</v>
      </c>
      <c r="E63" t="s">
        <v>102</v>
      </c>
      <c r="F63">
        <v>0</v>
      </c>
    </row>
    <row r="64" spans="1:6" x14ac:dyDescent="0.2">
      <c r="A64" s="1">
        <v>44276</v>
      </c>
      <c r="B64" t="s">
        <v>45</v>
      </c>
      <c r="C64">
        <v>13</v>
      </c>
      <c r="D64" t="s">
        <v>101</v>
      </c>
      <c r="E64" t="s">
        <v>101</v>
      </c>
      <c r="F64">
        <v>0</v>
      </c>
    </row>
    <row r="65" spans="1:6" x14ac:dyDescent="0.2">
      <c r="A65" s="1">
        <v>44276</v>
      </c>
      <c r="B65" t="s">
        <v>83</v>
      </c>
      <c r="C65">
        <v>7</v>
      </c>
      <c r="D65" t="s">
        <v>103</v>
      </c>
      <c r="E65" t="s">
        <v>101</v>
      </c>
      <c r="F65">
        <v>0</v>
      </c>
    </row>
    <row r="66" spans="1:6" x14ac:dyDescent="0.2">
      <c r="A66" s="1">
        <v>44277</v>
      </c>
      <c r="B66" t="s">
        <v>9</v>
      </c>
      <c r="C66">
        <v>8</v>
      </c>
      <c r="D66" t="s">
        <v>101</v>
      </c>
      <c r="E66" t="s">
        <v>101</v>
      </c>
      <c r="F66">
        <v>0</v>
      </c>
    </row>
    <row r="67" spans="1:6" x14ac:dyDescent="0.2">
      <c r="A67" s="1">
        <v>44277</v>
      </c>
      <c r="B67" t="s">
        <v>29</v>
      </c>
      <c r="C67">
        <v>4</v>
      </c>
      <c r="D67" t="s">
        <v>101</v>
      </c>
      <c r="E67" t="s">
        <v>101</v>
      </c>
      <c r="F67">
        <v>0</v>
      </c>
    </row>
    <row r="68" spans="1:6" x14ac:dyDescent="0.2">
      <c r="A68" s="1">
        <v>44280</v>
      </c>
      <c r="B68" t="s">
        <v>53</v>
      </c>
      <c r="C68">
        <v>14</v>
      </c>
      <c r="D68" t="s">
        <v>101</v>
      </c>
      <c r="E68" t="s">
        <v>102</v>
      </c>
      <c r="F68">
        <v>0</v>
      </c>
    </row>
    <row r="69" spans="1:6" x14ac:dyDescent="0.2">
      <c r="A69" s="1">
        <v>44280</v>
      </c>
      <c r="B69" t="s">
        <v>17</v>
      </c>
      <c r="C69">
        <v>4</v>
      </c>
      <c r="D69" t="s">
        <v>103</v>
      </c>
      <c r="E69" t="s">
        <v>102</v>
      </c>
      <c r="F69">
        <v>0</v>
      </c>
    </row>
    <row r="70" spans="1:6" x14ac:dyDescent="0.2">
      <c r="A70" s="1">
        <v>44280</v>
      </c>
      <c r="B70" t="s">
        <v>63</v>
      </c>
      <c r="C70">
        <v>8</v>
      </c>
      <c r="D70" t="s">
        <v>103</v>
      </c>
      <c r="E70" t="s">
        <v>102</v>
      </c>
      <c r="F70">
        <v>0</v>
      </c>
    </row>
    <row r="71" spans="1:6" x14ac:dyDescent="0.2">
      <c r="A71" s="1">
        <v>44280</v>
      </c>
      <c r="B71" t="s">
        <v>81</v>
      </c>
      <c r="C71">
        <v>2</v>
      </c>
      <c r="D71" t="s">
        <v>103</v>
      </c>
      <c r="E71" t="s">
        <v>101</v>
      </c>
      <c r="F71">
        <v>0</v>
      </c>
    </row>
    <row r="72" spans="1:6" x14ac:dyDescent="0.2">
      <c r="A72" s="1">
        <v>44281</v>
      </c>
      <c r="B72" t="s">
        <v>6</v>
      </c>
      <c r="C72">
        <v>4</v>
      </c>
      <c r="D72" t="s">
        <v>103</v>
      </c>
      <c r="E72" t="s">
        <v>102</v>
      </c>
      <c r="F72">
        <v>0</v>
      </c>
    </row>
    <row r="73" spans="1:6" x14ac:dyDescent="0.2">
      <c r="A73" s="1">
        <v>44281</v>
      </c>
      <c r="B73" t="s">
        <v>89</v>
      </c>
      <c r="C73">
        <v>1</v>
      </c>
      <c r="D73" t="s">
        <v>103</v>
      </c>
      <c r="E73" t="s">
        <v>102</v>
      </c>
      <c r="F73">
        <v>0</v>
      </c>
    </row>
    <row r="74" spans="1:6" x14ac:dyDescent="0.2">
      <c r="A74" s="1">
        <v>44281</v>
      </c>
      <c r="B74" t="s">
        <v>25</v>
      </c>
      <c r="C74">
        <v>9</v>
      </c>
      <c r="D74" t="s">
        <v>103</v>
      </c>
      <c r="E74" t="s">
        <v>101</v>
      </c>
      <c r="F74">
        <v>0</v>
      </c>
    </row>
    <row r="75" spans="1:6" x14ac:dyDescent="0.2">
      <c r="A75" s="1">
        <v>44282</v>
      </c>
      <c r="B75" t="s">
        <v>65</v>
      </c>
      <c r="C75">
        <v>3</v>
      </c>
      <c r="D75" t="s">
        <v>103</v>
      </c>
      <c r="E75" t="s">
        <v>101</v>
      </c>
      <c r="F75">
        <v>0</v>
      </c>
    </row>
    <row r="76" spans="1:6" x14ac:dyDescent="0.2">
      <c r="A76" s="1">
        <v>44283</v>
      </c>
      <c r="B76" t="s">
        <v>19</v>
      </c>
      <c r="C76">
        <v>8</v>
      </c>
      <c r="D76" t="s">
        <v>101</v>
      </c>
      <c r="E76" t="s">
        <v>102</v>
      </c>
      <c r="F76">
        <v>0</v>
      </c>
    </row>
    <row r="77" spans="1:6" x14ac:dyDescent="0.2">
      <c r="A77" s="1">
        <v>44285</v>
      </c>
      <c r="B77" t="s">
        <v>81</v>
      </c>
      <c r="C77">
        <v>1</v>
      </c>
      <c r="D77" t="s">
        <v>101</v>
      </c>
      <c r="E77" t="s">
        <v>102</v>
      </c>
      <c r="F77">
        <v>0</v>
      </c>
    </row>
    <row r="78" spans="1:6" x14ac:dyDescent="0.2">
      <c r="A78" s="1">
        <v>44286</v>
      </c>
      <c r="B78" t="s">
        <v>89</v>
      </c>
      <c r="C78">
        <v>3</v>
      </c>
      <c r="D78" t="s">
        <v>103</v>
      </c>
      <c r="E78" t="s">
        <v>102</v>
      </c>
      <c r="F78">
        <v>0</v>
      </c>
    </row>
    <row r="79" spans="1:6" x14ac:dyDescent="0.2">
      <c r="A79" s="1">
        <v>44290</v>
      </c>
      <c r="B79" t="s">
        <v>85</v>
      </c>
      <c r="C79">
        <v>4</v>
      </c>
      <c r="D79" t="s">
        <v>103</v>
      </c>
      <c r="E79" t="s">
        <v>102</v>
      </c>
      <c r="F79">
        <v>0</v>
      </c>
    </row>
    <row r="80" spans="1:6" x14ac:dyDescent="0.2">
      <c r="A80" s="1">
        <v>44290</v>
      </c>
      <c r="B80" t="s">
        <v>23</v>
      </c>
      <c r="C80">
        <v>9</v>
      </c>
      <c r="D80" t="s">
        <v>101</v>
      </c>
      <c r="E80" t="s">
        <v>102</v>
      </c>
      <c r="F80">
        <v>0</v>
      </c>
    </row>
    <row r="81" spans="1:6" x14ac:dyDescent="0.2">
      <c r="A81" s="1">
        <v>44291</v>
      </c>
      <c r="B81" t="s">
        <v>67</v>
      </c>
      <c r="C81">
        <v>15</v>
      </c>
      <c r="D81" t="s">
        <v>101</v>
      </c>
      <c r="E81" t="s">
        <v>101</v>
      </c>
      <c r="F81">
        <v>0</v>
      </c>
    </row>
    <row r="82" spans="1:6" x14ac:dyDescent="0.2">
      <c r="A82" s="1">
        <v>44295</v>
      </c>
      <c r="B82" t="s">
        <v>15</v>
      </c>
      <c r="C82">
        <v>3</v>
      </c>
      <c r="D82" t="s">
        <v>101</v>
      </c>
      <c r="E82" t="s">
        <v>101</v>
      </c>
      <c r="F82">
        <v>0</v>
      </c>
    </row>
    <row r="83" spans="1:6" x14ac:dyDescent="0.2">
      <c r="A83" s="1">
        <v>44296</v>
      </c>
      <c r="B83" t="s">
        <v>49</v>
      </c>
      <c r="C83">
        <v>14</v>
      </c>
      <c r="D83" t="s">
        <v>103</v>
      </c>
      <c r="E83" t="s">
        <v>101</v>
      </c>
      <c r="F83">
        <v>0</v>
      </c>
    </row>
    <row r="84" spans="1:6" x14ac:dyDescent="0.2">
      <c r="A84" s="1">
        <v>44298</v>
      </c>
      <c r="B84" t="s">
        <v>79</v>
      </c>
      <c r="C84">
        <v>3</v>
      </c>
      <c r="D84" t="s">
        <v>103</v>
      </c>
      <c r="E84" t="s">
        <v>102</v>
      </c>
      <c r="F84">
        <v>0</v>
      </c>
    </row>
    <row r="85" spans="1:6" x14ac:dyDescent="0.2">
      <c r="A85" s="1">
        <v>44298</v>
      </c>
      <c r="B85" t="s">
        <v>63</v>
      </c>
      <c r="C85">
        <v>4</v>
      </c>
      <c r="D85" t="s">
        <v>103</v>
      </c>
      <c r="E85" t="s">
        <v>101</v>
      </c>
      <c r="F85">
        <v>0</v>
      </c>
    </row>
    <row r="86" spans="1:6" x14ac:dyDescent="0.2">
      <c r="A86" s="1">
        <v>44298</v>
      </c>
      <c r="B86" t="s">
        <v>59</v>
      </c>
      <c r="C86">
        <v>9</v>
      </c>
      <c r="D86" t="s">
        <v>103</v>
      </c>
      <c r="E86" t="s">
        <v>101</v>
      </c>
      <c r="F86">
        <v>0</v>
      </c>
    </row>
    <row r="87" spans="1:6" x14ac:dyDescent="0.2">
      <c r="A87" s="1">
        <v>44298</v>
      </c>
      <c r="B87" t="s">
        <v>71</v>
      </c>
      <c r="C87">
        <v>13</v>
      </c>
      <c r="D87" t="s">
        <v>103</v>
      </c>
      <c r="E87" t="s">
        <v>102</v>
      </c>
      <c r="F87">
        <v>0</v>
      </c>
    </row>
    <row r="88" spans="1:6" x14ac:dyDescent="0.2">
      <c r="A88" s="1">
        <v>44301</v>
      </c>
      <c r="B88" t="s">
        <v>39</v>
      </c>
      <c r="C88">
        <v>3</v>
      </c>
      <c r="D88" t="s">
        <v>103</v>
      </c>
      <c r="E88" t="s">
        <v>101</v>
      </c>
      <c r="F88">
        <v>0</v>
      </c>
    </row>
    <row r="89" spans="1:6" x14ac:dyDescent="0.2">
      <c r="A89" s="1">
        <v>44302</v>
      </c>
      <c r="B89" t="s">
        <v>41</v>
      </c>
      <c r="C89">
        <v>15</v>
      </c>
      <c r="D89" t="s">
        <v>103</v>
      </c>
      <c r="E89" t="s">
        <v>102</v>
      </c>
      <c r="F89">
        <v>0</v>
      </c>
    </row>
    <row r="90" spans="1:6" x14ac:dyDescent="0.2">
      <c r="A90" s="1">
        <v>44304</v>
      </c>
      <c r="B90" t="s">
        <v>81</v>
      </c>
      <c r="C90">
        <v>9</v>
      </c>
      <c r="D90" t="s">
        <v>100</v>
      </c>
      <c r="E90" t="s">
        <v>101</v>
      </c>
      <c r="F90">
        <v>0</v>
      </c>
    </row>
    <row r="91" spans="1:6" x14ac:dyDescent="0.2">
      <c r="A91" s="1">
        <v>44304</v>
      </c>
      <c r="B91" t="s">
        <v>43</v>
      </c>
      <c r="C91">
        <v>13</v>
      </c>
      <c r="D91" t="s">
        <v>103</v>
      </c>
      <c r="E91" t="s">
        <v>102</v>
      </c>
      <c r="F91">
        <v>0</v>
      </c>
    </row>
    <row r="92" spans="1:6" x14ac:dyDescent="0.2">
      <c r="A92" s="1">
        <v>44309</v>
      </c>
      <c r="B92" t="s">
        <v>89</v>
      </c>
      <c r="C92">
        <v>6</v>
      </c>
      <c r="D92" t="s">
        <v>103</v>
      </c>
      <c r="E92" t="s">
        <v>101</v>
      </c>
      <c r="F92">
        <v>0</v>
      </c>
    </row>
    <row r="93" spans="1:6" x14ac:dyDescent="0.2">
      <c r="A93" s="1">
        <v>44309</v>
      </c>
      <c r="B93" t="s">
        <v>61</v>
      </c>
      <c r="C93">
        <v>10</v>
      </c>
      <c r="D93" t="s">
        <v>103</v>
      </c>
      <c r="E93" t="s">
        <v>101</v>
      </c>
      <c r="F93">
        <v>0</v>
      </c>
    </row>
    <row r="94" spans="1:6" x14ac:dyDescent="0.2">
      <c r="A94" s="1">
        <v>44310</v>
      </c>
      <c r="B94" t="s">
        <v>65</v>
      </c>
      <c r="C94">
        <v>2</v>
      </c>
      <c r="D94" t="s">
        <v>101</v>
      </c>
      <c r="E94" t="s">
        <v>101</v>
      </c>
      <c r="F94">
        <v>0</v>
      </c>
    </row>
    <row r="95" spans="1:6" x14ac:dyDescent="0.2">
      <c r="A95" s="1">
        <v>44312</v>
      </c>
      <c r="B95" t="s">
        <v>79</v>
      </c>
      <c r="C95">
        <v>3</v>
      </c>
      <c r="D95" t="s">
        <v>103</v>
      </c>
      <c r="E95" t="s">
        <v>101</v>
      </c>
      <c r="F95">
        <v>0</v>
      </c>
    </row>
    <row r="96" spans="1:6" x14ac:dyDescent="0.2">
      <c r="A96" s="1">
        <v>44315</v>
      </c>
      <c r="B96" t="s">
        <v>65</v>
      </c>
      <c r="C96">
        <v>7</v>
      </c>
      <c r="D96" t="s">
        <v>103</v>
      </c>
      <c r="E96" t="s">
        <v>101</v>
      </c>
      <c r="F96">
        <v>0</v>
      </c>
    </row>
    <row r="97" spans="1:6" x14ac:dyDescent="0.2">
      <c r="A97" s="1">
        <v>44316</v>
      </c>
      <c r="B97" t="s">
        <v>63</v>
      </c>
      <c r="C97">
        <v>1</v>
      </c>
      <c r="D97" t="s">
        <v>103</v>
      </c>
      <c r="E97" t="s">
        <v>101</v>
      </c>
      <c r="F97">
        <v>0</v>
      </c>
    </row>
    <row r="98" spans="1:6" x14ac:dyDescent="0.2">
      <c r="A98" s="1">
        <v>44317</v>
      </c>
      <c r="B98" t="s">
        <v>41</v>
      </c>
      <c r="C98">
        <v>3</v>
      </c>
      <c r="D98" t="s">
        <v>101</v>
      </c>
      <c r="E98" t="s">
        <v>102</v>
      </c>
      <c r="F98">
        <v>0</v>
      </c>
    </row>
    <row r="99" spans="1:6" x14ac:dyDescent="0.2">
      <c r="A99" s="1">
        <v>44317</v>
      </c>
      <c r="B99" t="s">
        <v>89</v>
      </c>
      <c r="C99">
        <v>1</v>
      </c>
      <c r="D99" t="s">
        <v>101</v>
      </c>
      <c r="E99" t="s">
        <v>102</v>
      </c>
      <c r="F99">
        <v>0</v>
      </c>
    </row>
    <row r="100" spans="1:6" x14ac:dyDescent="0.2">
      <c r="A100" s="1">
        <v>44319</v>
      </c>
      <c r="B100" t="s">
        <v>73</v>
      </c>
      <c r="C100">
        <v>3</v>
      </c>
      <c r="D100" t="s">
        <v>101</v>
      </c>
      <c r="E100" t="s">
        <v>101</v>
      </c>
      <c r="F100">
        <v>0</v>
      </c>
    </row>
    <row r="101" spans="1:6" x14ac:dyDescent="0.2">
      <c r="A101" s="1">
        <v>44320</v>
      </c>
      <c r="B101" t="s">
        <v>35</v>
      </c>
      <c r="C101">
        <v>13</v>
      </c>
      <c r="D101" t="s">
        <v>101</v>
      </c>
      <c r="E101" t="s">
        <v>101</v>
      </c>
      <c r="F101">
        <v>0</v>
      </c>
    </row>
    <row r="102" spans="1:6" x14ac:dyDescent="0.2">
      <c r="A102" s="1">
        <v>44320</v>
      </c>
      <c r="B102" t="s">
        <v>33</v>
      </c>
      <c r="C102">
        <v>4</v>
      </c>
      <c r="D102" t="s">
        <v>103</v>
      </c>
      <c r="E102" t="s">
        <v>102</v>
      </c>
      <c r="F102">
        <v>0</v>
      </c>
    </row>
    <row r="103" spans="1:6" x14ac:dyDescent="0.2">
      <c r="A103" s="1">
        <v>44321</v>
      </c>
      <c r="B103" t="s">
        <v>23</v>
      </c>
      <c r="C103">
        <v>13</v>
      </c>
      <c r="D103" t="s">
        <v>103</v>
      </c>
      <c r="E103" t="s">
        <v>102</v>
      </c>
      <c r="F103">
        <v>0</v>
      </c>
    </row>
    <row r="104" spans="1:6" x14ac:dyDescent="0.2">
      <c r="A104" s="1">
        <v>44322</v>
      </c>
      <c r="B104" t="s">
        <v>21</v>
      </c>
      <c r="C104">
        <v>15</v>
      </c>
      <c r="D104" t="s">
        <v>103</v>
      </c>
      <c r="E104" t="s">
        <v>101</v>
      </c>
      <c r="F104">
        <v>0</v>
      </c>
    </row>
    <row r="105" spans="1:6" x14ac:dyDescent="0.2">
      <c r="A105" s="1">
        <v>44322</v>
      </c>
      <c r="B105" t="s">
        <v>23</v>
      </c>
      <c r="C105">
        <v>6</v>
      </c>
      <c r="D105" t="s">
        <v>101</v>
      </c>
      <c r="E105" t="s">
        <v>101</v>
      </c>
      <c r="F105">
        <v>0</v>
      </c>
    </row>
    <row r="106" spans="1:6" x14ac:dyDescent="0.2">
      <c r="A106" s="1">
        <v>44323</v>
      </c>
      <c r="B106" t="s">
        <v>41</v>
      </c>
      <c r="C106">
        <v>1</v>
      </c>
      <c r="D106" t="s">
        <v>103</v>
      </c>
      <c r="E106" t="s">
        <v>102</v>
      </c>
      <c r="F106">
        <v>0</v>
      </c>
    </row>
    <row r="107" spans="1:6" x14ac:dyDescent="0.2">
      <c r="A107" s="1">
        <v>44325</v>
      </c>
      <c r="B107" t="s">
        <v>37</v>
      </c>
      <c r="C107">
        <v>6</v>
      </c>
      <c r="D107" t="s">
        <v>101</v>
      </c>
      <c r="E107" t="s">
        <v>101</v>
      </c>
      <c r="F107">
        <v>0</v>
      </c>
    </row>
    <row r="108" spans="1:6" x14ac:dyDescent="0.2">
      <c r="A108" s="1">
        <v>44325</v>
      </c>
      <c r="B108" t="s">
        <v>61</v>
      </c>
      <c r="C108">
        <v>8</v>
      </c>
      <c r="D108" t="s">
        <v>103</v>
      </c>
      <c r="E108" t="s">
        <v>102</v>
      </c>
      <c r="F108">
        <v>0</v>
      </c>
    </row>
    <row r="109" spans="1:6" x14ac:dyDescent="0.2">
      <c r="A109" s="1">
        <v>44328</v>
      </c>
      <c r="B109" t="s">
        <v>37</v>
      </c>
      <c r="C109">
        <v>3</v>
      </c>
      <c r="D109" t="s">
        <v>103</v>
      </c>
      <c r="E109" t="s">
        <v>101</v>
      </c>
      <c r="F109">
        <v>0</v>
      </c>
    </row>
    <row r="110" spans="1:6" x14ac:dyDescent="0.2">
      <c r="A110" s="1">
        <v>44328</v>
      </c>
      <c r="B110" t="s">
        <v>75</v>
      </c>
      <c r="C110">
        <v>15</v>
      </c>
      <c r="D110" t="s">
        <v>103</v>
      </c>
      <c r="E110" t="s">
        <v>101</v>
      </c>
      <c r="F110">
        <v>0</v>
      </c>
    </row>
    <row r="111" spans="1:6" x14ac:dyDescent="0.2">
      <c r="A111" s="1">
        <v>44329</v>
      </c>
      <c r="B111" t="s">
        <v>63</v>
      </c>
      <c r="C111">
        <v>4</v>
      </c>
      <c r="D111" t="s">
        <v>103</v>
      </c>
      <c r="E111" t="s">
        <v>101</v>
      </c>
      <c r="F111">
        <v>0</v>
      </c>
    </row>
    <row r="112" spans="1:6" x14ac:dyDescent="0.2">
      <c r="A112" s="1">
        <v>44336</v>
      </c>
      <c r="B112" t="s">
        <v>89</v>
      </c>
      <c r="C112">
        <v>2</v>
      </c>
      <c r="D112" t="s">
        <v>101</v>
      </c>
      <c r="E112" t="s">
        <v>102</v>
      </c>
      <c r="F112">
        <v>0</v>
      </c>
    </row>
    <row r="113" spans="1:6" x14ac:dyDescent="0.2">
      <c r="A113" s="1">
        <v>44339</v>
      </c>
      <c r="B113" t="s">
        <v>85</v>
      </c>
      <c r="C113">
        <v>11</v>
      </c>
      <c r="D113" t="s">
        <v>103</v>
      </c>
      <c r="E113" t="s">
        <v>101</v>
      </c>
      <c r="F113">
        <v>0</v>
      </c>
    </row>
    <row r="114" spans="1:6" x14ac:dyDescent="0.2">
      <c r="A114" s="1">
        <v>44346</v>
      </c>
      <c r="B114" t="s">
        <v>51</v>
      </c>
      <c r="C114">
        <v>13</v>
      </c>
      <c r="D114" t="s">
        <v>101</v>
      </c>
      <c r="E114" t="s">
        <v>101</v>
      </c>
      <c r="F114">
        <v>0</v>
      </c>
    </row>
    <row r="115" spans="1:6" x14ac:dyDescent="0.2">
      <c r="A115" s="1">
        <v>44346</v>
      </c>
      <c r="B115" t="s">
        <v>31</v>
      </c>
      <c r="C115">
        <v>6</v>
      </c>
      <c r="D115" t="s">
        <v>101</v>
      </c>
      <c r="E115" t="s">
        <v>102</v>
      </c>
      <c r="F115">
        <v>0</v>
      </c>
    </row>
    <row r="116" spans="1:6" x14ac:dyDescent="0.2">
      <c r="A116" s="1">
        <v>44350</v>
      </c>
      <c r="B116" t="s">
        <v>47</v>
      </c>
      <c r="C116">
        <v>10</v>
      </c>
      <c r="D116" t="s">
        <v>103</v>
      </c>
      <c r="E116" t="s">
        <v>102</v>
      </c>
      <c r="F116">
        <v>0</v>
      </c>
    </row>
    <row r="117" spans="1:6" x14ac:dyDescent="0.2">
      <c r="A117" s="1">
        <v>44351</v>
      </c>
      <c r="B117" t="s">
        <v>45</v>
      </c>
      <c r="C117">
        <v>8</v>
      </c>
      <c r="D117" t="s">
        <v>100</v>
      </c>
      <c r="E117" t="s">
        <v>101</v>
      </c>
      <c r="F117">
        <v>0</v>
      </c>
    </row>
    <row r="118" spans="1:6" x14ac:dyDescent="0.2">
      <c r="A118" s="1">
        <v>44351</v>
      </c>
      <c r="B118" t="s">
        <v>45</v>
      </c>
      <c r="C118">
        <v>12</v>
      </c>
      <c r="D118" t="s">
        <v>101</v>
      </c>
      <c r="E118" t="s">
        <v>102</v>
      </c>
      <c r="F118">
        <v>0</v>
      </c>
    </row>
    <row r="119" spans="1:6" x14ac:dyDescent="0.2">
      <c r="A119" s="1">
        <v>44352</v>
      </c>
      <c r="B119" t="s">
        <v>49</v>
      </c>
      <c r="C119">
        <v>15</v>
      </c>
      <c r="D119" t="s">
        <v>100</v>
      </c>
      <c r="E119" t="s">
        <v>101</v>
      </c>
      <c r="F119">
        <v>0</v>
      </c>
    </row>
    <row r="120" spans="1:6" x14ac:dyDescent="0.2">
      <c r="A120" s="1">
        <v>44352</v>
      </c>
      <c r="B120" t="s">
        <v>75</v>
      </c>
      <c r="C120">
        <v>10</v>
      </c>
      <c r="D120" t="s">
        <v>103</v>
      </c>
      <c r="E120" t="s">
        <v>101</v>
      </c>
      <c r="F120">
        <v>0</v>
      </c>
    </row>
    <row r="121" spans="1:6" x14ac:dyDescent="0.2">
      <c r="A121" s="1">
        <v>44353</v>
      </c>
      <c r="B121" t="s">
        <v>71</v>
      </c>
      <c r="C121">
        <v>6</v>
      </c>
      <c r="D121" t="s">
        <v>103</v>
      </c>
      <c r="E121" t="s">
        <v>101</v>
      </c>
      <c r="F121">
        <v>0</v>
      </c>
    </row>
    <row r="122" spans="1:6" x14ac:dyDescent="0.2">
      <c r="A122" s="1">
        <v>44355</v>
      </c>
      <c r="B122" t="s">
        <v>61</v>
      </c>
      <c r="C122">
        <v>11</v>
      </c>
      <c r="D122" t="s">
        <v>103</v>
      </c>
      <c r="E122" t="s">
        <v>101</v>
      </c>
      <c r="F122">
        <v>0</v>
      </c>
    </row>
    <row r="123" spans="1:6" x14ac:dyDescent="0.2">
      <c r="A123" s="1">
        <v>44355</v>
      </c>
      <c r="B123" t="s">
        <v>13</v>
      </c>
      <c r="C123">
        <v>11</v>
      </c>
      <c r="D123" t="s">
        <v>100</v>
      </c>
      <c r="E123" t="s">
        <v>102</v>
      </c>
      <c r="F123">
        <v>0</v>
      </c>
    </row>
    <row r="124" spans="1:6" x14ac:dyDescent="0.2">
      <c r="A124" s="1">
        <v>44356</v>
      </c>
      <c r="B124" t="s">
        <v>6</v>
      </c>
      <c r="C124">
        <v>7</v>
      </c>
      <c r="D124" t="s">
        <v>103</v>
      </c>
      <c r="E124" t="s">
        <v>101</v>
      </c>
      <c r="F124">
        <v>0</v>
      </c>
    </row>
    <row r="125" spans="1:6" x14ac:dyDescent="0.2">
      <c r="A125" s="1">
        <v>44358</v>
      </c>
      <c r="B125" t="s">
        <v>69</v>
      </c>
      <c r="C125">
        <v>12</v>
      </c>
      <c r="D125" t="s">
        <v>100</v>
      </c>
      <c r="E125" t="s">
        <v>102</v>
      </c>
      <c r="F125">
        <v>0</v>
      </c>
    </row>
    <row r="126" spans="1:6" x14ac:dyDescent="0.2">
      <c r="A126" s="1">
        <v>44359</v>
      </c>
      <c r="B126" t="s">
        <v>87</v>
      </c>
      <c r="C126">
        <v>6</v>
      </c>
      <c r="D126" t="s">
        <v>103</v>
      </c>
      <c r="E126" t="s">
        <v>101</v>
      </c>
      <c r="F126">
        <v>0</v>
      </c>
    </row>
    <row r="127" spans="1:6" x14ac:dyDescent="0.2">
      <c r="A127" s="1">
        <v>44361</v>
      </c>
      <c r="B127" t="s">
        <v>55</v>
      </c>
      <c r="C127">
        <v>10</v>
      </c>
      <c r="D127" t="s">
        <v>101</v>
      </c>
      <c r="E127" t="s">
        <v>102</v>
      </c>
      <c r="F127">
        <v>0</v>
      </c>
    </row>
    <row r="128" spans="1:6" x14ac:dyDescent="0.2">
      <c r="A128" s="1">
        <v>44363</v>
      </c>
      <c r="B128" t="s">
        <v>43</v>
      </c>
      <c r="C128">
        <v>5</v>
      </c>
      <c r="D128" t="s">
        <v>100</v>
      </c>
      <c r="E128" t="s">
        <v>102</v>
      </c>
      <c r="F128">
        <v>0</v>
      </c>
    </row>
    <row r="129" spans="1:6" x14ac:dyDescent="0.2">
      <c r="A129" s="1">
        <v>44363</v>
      </c>
      <c r="B129" t="s">
        <v>35</v>
      </c>
      <c r="C129">
        <v>12</v>
      </c>
      <c r="D129" t="s">
        <v>101</v>
      </c>
      <c r="E129" t="s">
        <v>102</v>
      </c>
      <c r="F129">
        <v>0</v>
      </c>
    </row>
    <row r="130" spans="1:6" x14ac:dyDescent="0.2">
      <c r="A130" s="1">
        <v>44363</v>
      </c>
      <c r="B130" t="s">
        <v>83</v>
      </c>
      <c r="C130">
        <v>11</v>
      </c>
      <c r="D130" t="s">
        <v>103</v>
      </c>
      <c r="E130" t="s">
        <v>102</v>
      </c>
      <c r="F130">
        <v>0</v>
      </c>
    </row>
    <row r="131" spans="1:6" x14ac:dyDescent="0.2">
      <c r="A131" s="1">
        <v>44365</v>
      </c>
      <c r="B131" t="s">
        <v>55</v>
      </c>
      <c r="C131">
        <v>13</v>
      </c>
      <c r="D131" t="s">
        <v>103</v>
      </c>
      <c r="E131" t="s">
        <v>102</v>
      </c>
      <c r="F131">
        <v>0</v>
      </c>
    </row>
    <row r="132" spans="1:6" x14ac:dyDescent="0.2">
      <c r="A132" s="1">
        <v>44366</v>
      </c>
      <c r="B132" t="s">
        <v>87</v>
      </c>
      <c r="C132">
        <v>5</v>
      </c>
      <c r="D132" t="s">
        <v>103</v>
      </c>
      <c r="E132" t="s">
        <v>101</v>
      </c>
      <c r="F132">
        <v>0</v>
      </c>
    </row>
    <row r="133" spans="1:6" x14ac:dyDescent="0.2">
      <c r="A133" s="1">
        <v>44367</v>
      </c>
      <c r="B133" t="s">
        <v>37</v>
      </c>
      <c r="C133">
        <v>1</v>
      </c>
      <c r="D133" t="s">
        <v>100</v>
      </c>
      <c r="E133" t="s">
        <v>102</v>
      </c>
      <c r="F133">
        <v>0</v>
      </c>
    </row>
    <row r="134" spans="1:6" x14ac:dyDescent="0.2">
      <c r="A134" s="1">
        <v>44370</v>
      </c>
      <c r="B134" t="s">
        <v>37</v>
      </c>
      <c r="C134">
        <v>4</v>
      </c>
      <c r="D134" t="s">
        <v>103</v>
      </c>
      <c r="E134" t="s">
        <v>101</v>
      </c>
      <c r="F134">
        <v>0</v>
      </c>
    </row>
    <row r="135" spans="1:6" x14ac:dyDescent="0.2">
      <c r="A135" s="1">
        <v>44371</v>
      </c>
      <c r="B135" t="s">
        <v>27</v>
      </c>
      <c r="C135">
        <v>13</v>
      </c>
      <c r="D135" t="s">
        <v>103</v>
      </c>
      <c r="E135" t="s">
        <v>101</v>
      </c>
      <c r="F135">
        <v>0</v>
      </c>
    </row>
    <row r="136" spans="1:6" x14ac:dyDescent="0.2">
      <c r="A136" s="1">
        <v>44373</v>
      </c>
      <c r="B136" t="s">
        <v>23</v>
      </c>
      <c r="C136">
        <v>7</v>
      </c>
      <c r="D136" t="s">
        <v>101</v>
      </c>
      <c r="E136" t="s">
        <v>101</v>
      </c>
      <c r="F136">
        <v>0</v>
      </c>
    </row>
    <row r="137" spans="1:6" x14ac:dyDescent="0.2">
      <c r="A137" s="1">
        <v>44374</v>
      </c>
      <c r="B137" t="s">
        <v>15</v>
      </c>
      <c r="C137">
        <v>11</v>
      </c>
      <c r="D137" t="s">
        <v>103</v>
      </c>
      <c r="E137" t="s">
        <v>102</v>
      </c>
      <c r="F137">
        <v>0</v>
      </c>
    </row>
    <row r="138" spans="1:6" x14ac:dyDescent="0.2">
      <c r="A138" s="1">
        <v>44375</v>
      </c>
      <c r="B138" t="s">
        <v>47</v>
      </c>
      <c r="C138">
        <v>2</v>
      </c>
      <c r="D138" t="s">
        <v>101</v>
      </c>
      <c r="E138" t="s">
        <v>102</v>
      </c>
      <c r="F138">
        <v>0</v>
      </c>
    </row>
    <row r="139" spans="1:6" x14ac:dyDescent="0.2">
      <c r="A139" s="1">
        <v>44375</v>
      </c>
      <c r="B139" t="s">
        <v>75</v>
      </c>
      <c r="C139">
        <v>7</v>
      </c>
      <c r="D139" t="s">
        <v>101</v>
      </c>
      <c r="E139" t="s">
        <v>101</v>
      </c>
      <c r="F139">
        <v>0</v>
      </c>
    </row>
    <row r="140" spans="1:6" x14ac:dyDescent="0.2">
      <c r="A140" s="1">
        <v>44376</v>
      </c>
      <c r="B140" t="s">
        <v>33</v>
      </c>
      <c r="C140">
        <v>4</v>
      </c>
      <c r="D140" t="s">
        <v>103</v>
      </c>
      <c r="E140" t="s">
        <v>101</v>
      </c>
      <c r="F140">
        <v>0</v>
      </c>
    </row>
    <row r="141" spans="1:6" x14ac:dyDescent="0.2">
      <c r="A141" s="1">
        <v>44378</v>
      </c>
      <c r="B141" t="s">
        <v>15</v>
      </c>
      <c r="C141">
        <v>11</v>
      </c>
      <c r="D141" t="s">
        <v>103</v>
      </c>
      <c r="E141" t="s">
        <v>102</v>
      </c>
      <c r="F141">
        <v>0</v>
      </c>
    </row>
    <row r="142" spans="1:6" x14ac:dyDescent="0.2">
      <c r="A142" s="1">
        <v>44379</v>
      </c>
      <c r="B142" t="s">
        <v>25</v>
      </c>
      <c r="C142">
        <v>11</v>
      </c>
      <c r="D142" t="s">
        <v>103</v>
      </c>
      <c r="E142" t="s">
        <v>102</v>
      </c>
      <c r="F142">
        <v>0</v>
      </c>
    </row>
    <row r="143" spans="1:6" x14ac:dyDescent="0.2">
      <c r="A143" s="1">
        <v>44380</v>
      </c>
      <c r="B143" t="s">
        <v>71</v>
      </c>
      <c r="C143">
        <v>9</v>
      </c>
      <c r="D143" t="s">
        <v>101</v>
      </c>
      <c r="E143" t="s">
        <v>102</v>
      </c>
      <c r="F143">
        <v>0</v>
      </c>
    </row>
    <row r="144" spans="1:6" x14ac:dyDescent="0.2">
      <c r="A144" s="1">
        <v>44380</v>
      </c>
      <c r="B144" t="s">
        <v>11</v>
      </c>
      <c r="C144">
        <v>8</v>
      </c>
      <c r="D144" t="s">
        <v>101</v>
      </c>
      <c r="E144" t="s">
        <v>102</v>
      </c>
      <c r="F144">
        <v>0</v>
      </c>
    </row>
    <row r="145" spans="1:6" x14ac:dyDescent="0.2">
      <c r="A145" s="1">
        <v>44382</v>
      </c>
      <c r="B145" t="s">
        <v>9</v>
      </c>
      <c r="C145">
        <v>8</v>
      </c>
      <c r="D145" t="s">
        <v>103</v>
      </c>
      <c r="E145" t="s">
        <v>101</v>
      </c>
      <c r="F145">
        <v>0</v>
      </c>
    </row>
    <row r="146" spans="1:6" x14ac:dyDescent="0.2">
      <c r="A146" s="1">
        <v>44383</v>
      </c>
      <c r="B146" t="s">
        <v>87</v>
      </c>
      <c r="C146">
        <v>15</v>
      </c>
      <c r="D146" t="s">
        <v>103</v>
      </c>
      <c r="E146" t="s">
        <v>102</v>
      </c>
      <c r="F146">
        <v>0</v>
      </c>
    </row>
    <row r="147" spans="1:6" x14ac:dyDescent="0.2">
      <c r="A147" s="1">
        <v>44385</v>
      </c>
      <c r="B147" t="s">
        <v>13</v>
      </c>
      <c r="C147">
        <v>10</v>
      </c>
      <c r="D147" t="s">
        <v>103</v>
      </c>
      <c r="E147" t="s">
        <v>101</v>
      </c>
      <c r="F147">
        <v>0</v>
      </c>
    </row>
    <row r="148" spans="1:6" x14ac:dyDescent="0.2">
      <c r="A148" s="1">
        <v>44387</v>
      </c>
      <c r="B148" t="s">
        <v>73</v>
      </c>
      <c r="C148">
        <v>6</v>
      </c>
      <c r="D148" t="s">
        <v>100</v>
      </c>
      <c r="E148" t="s">
        <v>102</v>
      </c>
      <c r="F148">
        <v>0</v>
      </c>
    </row>
    <row r="149" spans="1:6" x14ac:dyDescent="0.2">
      <c r="A149" s="1">
        <v>44388</v>
      </c>
      <c r="B149" t="s">
        <v>23</v>
      </c>
      <c r="C149">
        <v>4</v>
      </c>
      <c r="D149" t="s">
        <v>100</v>
      </c>
      <c r="E149" t="s">
        <v>101</v>
      </c>
      <c r="F149">
        <v>0</v>
      </c>
    </row>
    <row r="150" spans="1:6" x14ac:dyDescent="0.2">
      <c r="A150" s="1">
        <v>44390</v>
      </c>
      <c r="B150" t="s">
        <v>43</v>
      </c>
      <c r="C150">
        <v>1</v>
      </c>
      <c r="D150" t="s">
        <v>103</v>
      </c>
      <c r="E150" t="s">
        <v>102</v>
      </c>
      <c r="F150">
        <v>0</v>
      </c>
    </row>
    <row r="151" spans="1:6" x14ac:dyDescent="0.2">
      <c r="A151" s="1">
        <v>44393</v>
      </c>
      <c r="B151" t="s">
        <v>51</v>
      </c>
      <c r="C151">
        <v>8</v>
      </c>
      <c r="D151" t="s">
        <v>100</v>
      </c>
      <c r="E151" t="s">
        <v>102</v>
      </c>
      <c r="F151">
        <v>0</v>
      </c>
    </row>
    <row r="152" spans="1:6" x14ac:dyDescent="0.2">
      <c r="A152" s="1">
        <v>44395</v>
      </c>
      <c r="B152" t="s">
        <v>59</v>
      </c>
      <c r="C152">
        <v>14</v>
      </c>
      <c r="D152" t="s">
        <v>101</v>
      </c>
      <c r="E152" t="s">
        <v>101</v>
      </c>
      <c r="F152">
        <v>0</v>
      </c>
    </row>
    <row r="153" spans="1:6" x14ac:dyDescent="0.2">
      <c r="A153" s="1">
        <v>44397</v>
      </c>
      <c r="B153" t="s">
        <v>81</v>
      </c>
      <c r="C153">
        <v>11</v>
      </c>
      <c r="D153" t="s">
        <v>101</v>
      </c>
      <c r="E153" t="s">
        <v>101</v>
      </c>
      <c r="F153">
        <v>0</v>
      </c>
    </row>
    <row r="154" spans="1:6" x14ac:dyDescent="0.2">
      <c r="A154" s="1">
        <v>44397</v>
      </c>
      <c r="B154" t="s">
        <v>91</v>
      </c>
      <c r="C154">
        <v>5</v>
      </c>
      <c r="D154" t="s">
        <v>103</v>
      </c>
      <c r="E154" t="s">
        <v>101</v>
      </c>
      <c r="F154">
        <v>0</v>
      </c>
    </row>
    <row r="155" spans="1:6" x14ac:dyDescent="0.2">
      <c r="A155" s="1">
        <v>44398</v>
      </c>
      <c r="B155" t="s">
        <v>63</v>
      </c>
      <c r="C155">
        <v>15</v>
      </c>
      <c r="D155" t="s">
        <v>103</v>
      </c>
      <c r="E155" t="s">
        <v>101</v>
      </c>
      <c r="F155">
        <v>0</v>
      </c>
    </row>
    <row r="156" spans="1:6" x14ac:dyDescent="0.2">
      <c r="A156" s="1">
        <v>44399</v>
      </c>
      <c r="B156" t="s">
        <v>57</v>
      </c>
      <c r="C156">
        <v>3</v>
      </c>
      <c r="D156" t="s">
        <v>100</v>
      </c>
      <c r="E156" t="s">
        <v>102</v>
      </c>
      <c r="F156">
        <v>0</v>
      </c>
    </row>
    <row r="157" spans="1:6" x14ac:dyDescent="0.2">
      <c r="A157" s="1">
        <v>44399</v>
      </c>
      <c r="B157" t="s">
        <v>53</v>
      </c>
      <c r="C157">
        <v>14</v>
      </c>
      <c r="D157" t="s">
        <v>101</v>
      </c>
      <c r="E157" t="s">
        <v>102</v>
      </c>
      <c r="F157">
        <v>0</v>
      </c>
    </row>
    <row r="158" spans="1:6" x14ac:dyDescent="0.2">
      <c r="A158" s="1">
        <v>44400</v>
      </c>
      <c r="B158" t="s">
        <v>77</v>
      </c>
      <c r="C158">
        <v>7</v>
      </c>
      <c r="D158" t="s">
        <v>100</v>
      </c>
      <c r="E158" t="s">
        <v>101</v>
      </c>
      <c r="F158">
        <v>0</v>
      </c>
    </row>
    <row r="159" spans="1:6" x14ac:dyDescent="0.2">
      <c r="A159" s="1">
        <v>44400</v>
      </c>
      <c r="B159" t="s">
        <v>79</v>
      </c>
      <c r="C159">
        <v>8</v>
      </c>
      <c r="D159" t="s">
        <v>103</v>
      </c>
      <c r="E159" t="s">
        <v>101</v>
      </c>
      <c r="F159">
        <v>0</v>
      </c>
    </row>
    <row r="160" spans="1:6" x14ac:dyDescent="0.2">
      <c r="A160" s="1">
        <v>44401</v>
      </c>
      <c r="B160" t="s">
        <v>23</v>
      </c>
      <c r="C160">
        <v>4</v>
      </c>
      <c r="D160" t="s">
        <v>101</v>
      </c>
      <c r="E160" t="s">
        <v>102</v>
      </c>
      <c r="F160">
        <v>0</v>
      </c>
    </row>
    <row r="161" spans="1:6" x14ac:dyDescent="0.2">
      <c r="A161" s="1">
        <v>44406</v>
      </c>
      <c r="B161" t="s">
        <v>93</v>
      </c>
      <c r="C161">
        <v>15</v>
      </c>
      <c r="D161" t="s">
        <v>101</v>
      </c>
      <c r="E161" t="s">
        <v>102</v>
      </c>
      <c r="F161">
        <v>0</v>
      </c>
    </row>
    <row r="162" spans="1:6" x14ac:dyDescent="0.2">
      <c r="A162" s="1">
        <v>44409</v>
      </c>
      <c r="B162" t="s">
        <v>6</v>
      </c>
      <c r="C162">
        <v>11</v>
      </c>
      <c r="D162" t="s">
        <v>103</v>
      </c>
      <c r="E162" t="s">
        <v>102</v>
      </c>
      <c r="F162">
        <v>0</v>
      </c>
    </row>
    <row r="163" spans="1:6" x14ac:dyDescent="0.2">
      <c r="A163" s="1">
        <v>44410</v>
      </c>
      <c r="B163" t="s">
        <v>51</v>
      </c>
      <c r="C163">
        <v>3</v>
      </c>
      <c r="D163" t="s">
        <v>103</v>
      </c>
      <c r="E163" t="s">
        <v>101</v>
      </c>
      <c r="F163">
        <v>0</v>
      </c>
    </row>
    <row r="164" spans="1:6" x14ac:dyDescent="0.2">
      <c r="A164" s="1">
        <v>44411</v>
      </c>
      <c r="B164" t="s">
        <v>49</v>
      </c>
      <c r="C164">
        <v>13</v>
      </c>
      <c r="D164" t="s">
        <v>101</v>
      </c>
      <c r="E164" t="s">
        <v>101</v>
      </c>
      <c r="F164">
        <v>0</v>
      </c>
    </row>
    <row r="165" spans="1:6" x14ac:dyDescent="0.2">
      <c r="A165" s="1">
        <v>44411</v>
      </c>
      <c r="B165" t="s">
        <v>73</v>
      </c>
      <c r="C165">
        <v>12</v>
      </c>
      <c r="D165" t="s">
        <v>101</v>
      </c>
      <c r="E165" t="s">
        <v>101</v>
      </c>
      <c r="F165">
        <v>0</v>
      </c>
    </row>
    <row r="166" spans="1:6" x14ac:dyDescent="0.2">
      <c r="A166" s="1">
        <v>44413</v>
      </c>
      <c r="B166" t="s">
        <v>61</v>
      </c>
      <c r="C166">
        <v>14</v>
      </c>
      <c r="D166" t="s">
        <v>103</v>
      </c>
      <c r="E166" t="s">
        <v>102</v>
      </c>
      <c r="F166">
        <v>0</v>
      </c>
    </row>
    <row r="167" spans="1:6" x14ac:dyDescent="0.2">
      <c r="A167" s="1">
        <v>44414</v>
      </c>
      <c r="B167" t="s">
        <v>79</v>
      </c>
      <c r="C167">
        <v>1</v>
      </c>
      <c r="D167" t="s">
        <v>100</v>
      </c>
      <c r="E167" t="s">
        <v>102</v>
      </c>
      <c r="F167">
        <v>0</v>
      </c>
    </row>
    <row r="168" spans="1:6" x14ac:dyDescent="0.2">
      <c r="A168" s="1">
        <v>44418</v>
      </c>
      <c r="B168" t="s">
        <v>15</v>
      </c>
      <c r="C168">
        <v>4</v>
      </c>
      <c r="D168" t="s">
        <v>100</v>
      </c>
      <c r="E168" t="s">
        <v>102</v>
      </c>
      <c r="F168">
        <v>0</v>
      </c>
    </row>
    <row r="169" spans="1:6" x14ac:dyDescent="0.2">
      <c r="A169" s="1">
        <v>44418</v>
      </c>
      <c r="B169" t="s">
        <v>93</v>
      </c>
      <c r="C169">
        <v>10</v>
      </c>
      <c r="D169" t="s">
        <v>101</v>
      </c>
      <c r="E169" t="s">
        <v>102</v>
      </c>
      <c r="F169">
        <v>0</v>
      </c>
    </row>
    <row r="170" spans="1:6" x14ac:dyDescent="0.2">
      <c r="A170" s="1">
        <v>44418</v>
      </c>
      <c r="B170" t="s">
        <v>17</v>
      </c>
      <c r="C170">
        <v>6</v>
      </c>
      <c r="D170" t="s">
        <v>103</v>
      </c>
      <c r="E170" t="s">
        <v>102</v>
      </c>
      <c r="F170">
        <v>0</v>
      </c>
    </row>
    <row r="171" spans="1:6" x14ac:dyDescent="0.2">
      <c r="A171" s="1">
        <v>44419</v>
      </c>
      <c r="B171" t="s">
        <v>51</v>
      </c>
      <c r="C171">
        <v>4</v>
      </c>
      <c r="D171" t="s">
        <v>103</v>
      </c>
      <c r="E171" t="s">
        <v>101</v>
      </c>
      <c r="F171">
        <v>0</v>
      </c>
    </row>
    <row r="172" spans="1:6" x14ac:dyDescent="0.2">
      <c r="A172" s="1">
        <v>44421</v>
      </c>
      <c r="B172" t="s">
        <v>27</v>
      </c>
      <c r="C172">
        <v>13</v>
      </c>
      <c r="D172" t="s">
        <v>103</v>
      </c>
      <c r="E172" t="s">
        <v>101</v>
      </c>
      <c r="F172">
        <v>0</v>
      </c>
    </row>
    <row r="173" spans="1:6" x14ac:dyDescent="0.2">
      <c r="A173" s="1">
        <v>44421</v>
      </c>
      <c r="B173" t="s">
        <v>59</v>
      </c>
      <c r="C173">
        <v>9</v>
      </c>
      <c r="D173" t="s">
        <v>103</v>
      </c>
      <c r="E173" t="s">
        <v>101</v>
      </c>
      <c r="F173">
        <v>0</v>
      </c>
    </row>
    <row r="174" spans="1:6" x14ac:dyDescent="0.2">
      <c r="A174" s="1">
        <v>44424</v>
      </c>
      <c r="B174" t="s">
        <v>11</v>
      </c>
      <c r="C174">
        <v>3</v>
      </c>
      <c r="D174" t="s">
        <v>101</v>
      </c>
      <c r="E174" t="s">
        <v>101</v>
      </c>
      <c r="F174">
        <v>0</v>
      </c>
    </row>
    <row r="175" spans="1:6" x14ac:dyDescent="0.2">
      <c r="A175" s="1">
        <v>44426</v>
      </c>
      <c r="B175" t="s">
        <v>55</v>
      </c>
      <c r="C175">
        <v>6</v>
      </c>
      <c r="D175" t="s">
        <v>103</v>
      </c>
      <c r="E175" t="s">
        <v>101</v>
      </c>
      <c r="F175">
        <v>0</v>
      </c>
    </row>
    <row r="176" spans="1:6" x14ac:dyDescent="0.2">
      <c r="A176" s="1">
        <v>44428</v>
      </c>
      <c r="B176" t="s">
        <v>45</v>
      </c>
      <c r="C176">
        <v>15</v>
      </c>
      <c r="D176" t="s">
        <v>103</v>
      </c>
      <c r="E176" t="s">
        <v>102</v>
      </c>
      <c r="F176">
        <v>0</v>
      </c>
    </row>
    <row r="177" spans="1:6" x14ac:dyDescent="0.2">
      <c r="A177" s="1">
        <v>44428</v>
      </c>
      <c r="B177" t="s">
        <v>67</v>
      </c>
      <c r="C177">
        <v>9</v>
      </c>
      <c r="D177" t="s">
        <v>103</v>
      </c>
      <c r="E177" t="s">
        <v>101</v>
      </c>
      <c r="F177">
        <v>0</v>
      </c>
    </row>
    <row r="178" spans="1:6" x14ac:dyDescent="0.2">
      <c r="A178" s="1">
        <v>44428</v>
      </c>
      <c r="B178" t="s">
        <v>61</v>
      </c>
      <c r="C178">
        <v>13</v>
      </c>
      <c r="D178" t="s">
        <v>103</v>
      </c>
      <c r="E178" t="s">
        <v>101</v>
      </c>
      <c r="F178">
        <v>0</v>
      </c>
    </row>
    <row r="179" spans="1:6" x14ac:dyDescent="0.2">
      <c r="A179" s="1">
        <v>44434</v>
      </c>
      <c r="B179" t="s">
        <v>83</v>
      </c>
      <c r="C179">
        <v>4</v>
      </c>
      <c r="D179" t="s">
        <v>103</v>
      </c>
      <c r="E179" t="s">
        <v>101</v>
      </c>
      <c r="F179">
        <v>0</v>
      </c>
    </row>
    <row r="180" spans="1:6" x14ac:dyDescent="0.2">
      <c r="A180" s="1">
        <v>44437</v>
      </c>
      <c r="B180" t="s">
        <v>73</v>
      </c>
      <c r="C180">
        <v>12</v>
      </c>
      <c r="D180" t="s">
        <v>100</v>
      </c>
      <c r="E180" t="s">
        <v>101</v>
      </c>
      <c r="F180">
        <v>0</v>
      </c>
    </row>
    <row r="181" spans="1:6" x14ac:dyDescent="0.2">
      <c r="A181" s="1">
        <v>44438</v>
      </c>
      <c r="B181" t="s">
        <v>31</v>
      </c>
      <c r="C181">
        <v>13</v>
      </c>
      <c r="D181" t="s">
        <v>103</v>
      </c>
      <c r="E181" t="s">
        <v>101</v>
      </c>
      <c r="F181">
        <v>0</v>
      </c>
    </row>
    <row r="182" spans="1:6" x14ac:dyDescent="0.2">
      <c r="A182" s="1">
        <v>44439</v>
      </c>
      <c r="B182" t="s">
        <v>6</v>
      </c>
      <c r="C182">
        <v>2</v>
      </c>
      <c r="D182" t="s">
        <v>103</v>
      </c>
      <c r="E182" t="s">
        <v>101</v>
      </c>
      <c r="F182">
        <v>0</v>
      </c>
    </row>
    <row r="183" spans="1:6" x14ac:dyDescent="0.2">
      <c r="A183" s="1">
        <v>44439</v>
      </c>
      <c r="B183" t="s">
        <v>75</v>
      </c>
      <c r="C183">
        <v>11</v>
      </c>
      <c r="D183" t="s">
        <v>103</v>
      </c>
      <c r="E183" t="s">
        <v>101</v>
      </c>
      <c r="F183">
        <v>0</v>
      </c>
    </row>
    <row r="184" spans="1:6" x14ac:dyDescent="0.2">
      <c r="A184" s="1">
        <v>44440</v>
      </c>
      <c r="B184" t="s">
        <v>53</v>
      </c>
      <c r="C184">
        <v>1</v>
      </c>
      <c r="D184" t="s">
        <v>100</v>
      </c>
      <c r="E184" t="s">
        <v>102</v>
      </c>
      <c r="F184">
        <v>0</v>
      </c>
    </row>
    <row r="185" spans="1:6" x14ac:dyDescent="0.2">
      <c r="A185" s="1">
        <v>44440</v>
      </c>
      <c r="B185" t="s">
        <v>11</v>
      </c>
      <c r="C185">
        <v>14</v>
      </c>
      <c r="D185" t="s">
        <v>101</v>
      </c>
      <c r="E185" t="s">
        <v>101</v>
      </c>
      <c r="F185">
        <v>0</v>
      </c>
    </row>
    <row r="186" spans="1:6" x14ac:dyDescent="0.2">
      <c r="A186" s="1">
        <v>44442</v>
      </c>
      <c r="B186" t="s">
        <v>87</v>
      </c>
      <c r="C186">
        <v>8</v>
      </c>
      <c r="D186" t="s">
        <v>103</v>
      </c>
      <c r="E186" t="s">
        <v>101</v>
      </c>
      <c r="F186">
        <v>0</v>
      </c>
    </row>
    <row r="187" spans="1:6" x14ac:dyDescent="0.2">
      <c r="A187" s="1">
        <v>44443</v>
      </c>
      <c r="B187" t="s">
        <v>61</v>
      </c>
      <c r="C187">
        <v>7</v>
      </c>
      <c r="D187" t="s">
        <v>103</v>
      </c>
      <c r="E187" t="s">
        <v>101</v>
      </c>
      <c r="F187">
        <v>0</v>
      </c>
    </row>
    <row r="188" spans="1:6" x14ac:dyDescent="0.2">
      <c r="A188" s="1">
        <v>44443</v>
      </c>
      <c r="B188" t="s">
        <v>51</v>
      </c>
      <c r="C188">
        <v>15</v>
      </c>
      <c r="D188" t="s">
        <v>103</v>
      </c>
      <c r="E188" t="s">
        <v>101</v>
      </c>
      <c r="F188">
        <v>0</v>
      </c>
    </row>
    <row r="189" spans="1:6" x14ac:dyDescent="0.2">
      <c r="A189" s="1">
        <v>44444</v>
      </c>
      <c r="B189" t="s">
        <v>69</v>
      </c>
      <c r="C189">
        <v>1</v>
      </c>
      <c r="D189" t="s">
        <v>103</v>
      </c>
      <c r="E189" t="s">
        <v>102</v>
      </c>
      <c r="F189">
        <v>0</v>
      </c>
    </row>
    <row r="190" spans="1:6" x14ac:dyDescent="0.2">
      <c r="A190" s="1">
        <v>44446</v>
      </c>
      <c r="B190" t="s">
        <v>43</v>
      </c>
      <c r="C190">
        <v>5</v>
      </c>
      <c r="D190" t="s">
        <v>103</v>
      </c>
      <c r="E190" t="s">
        <v>101</v>
      </c>
      <c r="F190">
        <v>0</v>
      </c>
    </row>
    <row r="191" spans="1:6" x14ac:dyDescent="0.2">
      <c r="A191" s="1">
        <v>44448</v>
      </c>
      <c r="B191" t="s">
        <v>93</v>
      </c>
      <c r="C191">
        <v>4</v>
      </c>
      <c r="D191" t="s">
        <v>103</v>
      </c>
      <c r="E191" t="s">
        <v>101</v>
      </c>
      <c r="F191">
        <v>0</v>
      </c>
    </row>
    <row r="192" spans="1:6" x14ac:dyDescent="0.2">
      <c r="A192" s="1">
        <v>44449</v>
      </c>
      <c r="B192" t="s">
        <v>65</v>
      </c>
      <c r="C192">
        <v>6</v>
      </c>
      <c r="D192" t="s">
        <v>103</v>
      </c>
      <c r="E192" t="s">
        <v>101</v>
      </c>
      <c r="F192">
        <v>0</v>
      </c>
    </row>
    <row r="193" spans="1:6" x14ac:dyDescent="0.2">
      <c r="A193" s="1">
        <v>44449</v>
      </c>
      <c r="B193" t="s">
        <v>6</v>
      </c>
      <c r="C193">
        <v>9</v>
      </c>
      <c r="D193" t="s">
        <v>100</v>
      </c>
      <c r="E193" t="s">
        <v>101</v>
      </c>
      <c r="F193">
        <v>0</v>
      </c>
    </row>
    <row r="194" spans="1:6" x14ac:dyDescent="0.2">
      <c r="A194" s="1">
        <v>44449</v>
      </c>
      <c r="B194" t="s">
        <v>57</v>
      </c>
      <c r="C194">
        <v>2</v>
      </c>
      <c r="D194" t="s">
        <v>103</v>
      </c>
      <c r="E194" t="s">
        <v>101</v>
      </c>
      <c r="F194">
        <v>0</v>
      </c>
    </row>
    <row r="195" spans="1:6" x14ac:dyDescent="0.2">
      <c r="A195" s="1">
        <v>44450</v>
      </c>
      <c r="B195" t="s">
        <v>6</v>
      </c>
      <c r="C195">
        <v>6</v>
      </c>
      <c r="D195" t="s">
        <v>100</v>
      </c>
      <c r="E195" t="s">
        <v>101</v>
      </c>
      <c r="F195">
        <v>0</v>
      </c>
    </row>
    <row r="196" spans="1:6" x14ac:dyDescent="0.2">
      <c r="A196" s="1">
        <v>44452</v>
      </c>
      <c r="B196" t="s">
        <v>87</v>
      </c>
      <c r="C196">
        <v>7</v>
      </c>
      <c r="D196" t="s">
        <v>103</v>
      </c>
      <c r="E196" t="s">
        <v>102</v>
      </c>
      <c r="F196">
        <v>0</v>
      </c>
    </row>
    <row r="197" spans="1:6" x14ac:dyDescent="0.2">
      <c r="A197" s="1">
        <v>44454</v>
      </c>
      <c r="B197" t="s">
        <v>89</v>
      </c>
      <c r="C197">
        <v>6</v>
      </c>
      <c r="D197" t="s">
        <v>103</v>
      </c>
      <c r="E197" t="s">
        <v>101</v>
      </c>
      <c r="F197">
        <v>0</v>
      </c>
    </row>
    <row r="198" spans="1:6" x14ac:dyDescent="0.2">
      <c r="A198" s="1">
        <v>44454</v>
      </c>
      <c r="B198" t="s">
        <v>89</v>
      </c>
      <c r="C198">
        <v>14</v>
      </c>
      <c r="D198" t="s">
        <v>103</v>
      </c>
      <c r="E198" t="s">
        <v>101</v>
      </c>
      <c r="F198">
        <v>0</v>
      </c>
    </row>
    <row r="199" spans="1:6" x14ac:dyDescent="0.2">
      <c r="A199" s="1">
        <v>44460</v>
      </c>
      <c r="B199" t="s">
        <v>45</v>
      </c>
      <c r="C199">
        <v>7</v>
      </c>
      <c r="D199" t="s">
        <v>100</v>
      </c>
      <c r="E199" t="s">
        <v>102</v>
      </c>
      <c r="F199">
        <v>0</v>
      </c>
    </row>
    <row r="200" spans="1:6" x14ac:dyDescent="0.2">
      <c r="A200" s="1">
        <v>44461</v>
      </c>
      <c r="B200" t="s">
        <v>85</v>
      </c>
      <c r="C200">
        <v>2</v>
      </c>
      <c r="D200" t="s">
        <v>101</v>
      </c>
      <c r="E200" t="s">
        <v>102</v>
      </c>
      <c r="F200">
        <v>0</v>
      </c>
    </row>
    <row r="201" spans="1:6" x14ac:dyDescent="0.2">
      <c r="A201" s="1">
        <v>44461</v>
      </c>
      <c r="B201" t="s">
        <v>9</v>
      </c>
      <c r="C201">
        <v>4</v>
      </c>
      <c r="D201" t="s">
        <v>103</v>
      </c>
      <c r="E201" t="s">
        <v>102</v>
      </c>
      <c r="F201">
        <v>0</v>
      </c>
    </row>
    <row r="202" spans="1:6" x14ac:dyDescent="0.2">
      <c r="A202" s="1">
        <v>44462</v>
      </c>
      <c r="B202" t="s">
        <v>41</v>
      </c>
      <c r="C202">
        <v>12</v>
      </c>
      <c r="D202" t="s">
        <v>103</v>
      </c>
      <c r="E202" t="s">
        <v>102</v>
      </c>
      <c r="F202">
        <v>0</v>
      </c>
    </row>
    <row r="203" spans="1:6" x14ac:dyDescent="0.2">
      <c r="A203" s="1">
        <v>44462</v>
      </c>
      <c r="B203" t="s">
        <v>47</v>
      </c>
      <c r="C203">
        <v>7</v>
      </c>
      <c r="D203" t="s">
        <v>101</v>
      </c>
      <c r="E203" t="s">
        <v>101</v>
      </c>
      <c r="F203">
        <v>0</v>
      </c>
    </row>
    <row r="204" spans="1:6" x14ac:dyDescent="0.2">
      <c r="A204" s="1">
        <v>44466</v>
      </c>
      <c r="B204" t="s">
        <v>73</v>
      </c>
      <c r="C204">
        <v>1</v>
      </c>
      <c r="D204" t="s">
        <v>103</v>
      </c>
      <c r="E204" t="s">
        <v>102</v>
      </c>
      <c r="F204">
        <v>0</v>
      </c>
    </row>
    <row r="205" spans="1:6" x14ac:dyDescent="0.2">
      <c r="A205" s="1">
        <v>44469</v>
      </c>
      <c r="B205" t="s">
        <v>33</v>
      </c>
      <c r="C205">
        <v>9</v>
      </c>
      <c r="D205" t="s">
        <v>101</v>
      </c>
      <c r="E205" t="s">
        <v>101</v>
      </c>
      <c r="F205">
        <v>0</v>
      </c>
    </row>
    <row r="206" spans="1:6" x14ac:dyDescent="0.2">
      <c r="A206" s="1">
        <v>44469</v>
      </c>
      <c r="B206" t="s">
        <v>17</v>
      </c>
      <c r="C206">
        <v>5</v>
      </c>
      <c r="D206" t="s">
        <v>101</v>
      </c>
      <c r="E206" t="s">
        <v>101</v>
      </c>
      <c r="F206">
        <v>0</v>
      </c>
    </row>
    <row r="207" spans="1:6" x14ac:dyDescent="0.2">
      <c r="A207" s="1">
        <v>44470</v>
      </c>
      <c r="B207" t="s">
        <v>65</v>
      </c>
      <c r="C207">
        <v>14</v>
      </c>
      <c r="D207" t="s">
        <v>101</v>
      </c>
      <c r="E207" t="s">
        <v>102</v>
      </c>
      <c r="F207">
        <v>0</v>
      </c>
    </row>
    <row r="208" spans="1:6" x14ac:dyDescent="0.2">
      <c r="A208" s="1">
        <v>44471</v>
      </c>
      <c r="B208" t="s">
        <v>33</v>
      </c>
      <c r="C208">
        <v>15</v>
      </c>
      <c r="D208" t="s">
        <v>103</v>
      </c>
      <c r="E208" t="s">
        <v>101</v>
      </c>
      <c r="F208">
        <v>0</v>
      </c>
    </row>
    <row r="209" spans="1:6" x14ac:dyDescent="0.2">
      <c r="A209" s="1">
        <v>44472</v>
      </c>
      <c r="B209" t="s">
        <v>43</v>
      </c>
      <c r="C209">
        <v>9</v>
      </c>
      <c r="D209" t="s">
        <v>103</v>
      </c>
      <c r="E209" t="s">
        <v>101</v>
      </c>
      <c r="F209">
        <v>0</v>
      </c>
    </row>
    <row r="210" spans="1:6" x14ac:dyDescent="0.2">
      <c r="A210" s="1">
        <v>44475</v>
      </c>
      <c r="B210" t="s">
        <v>75</v>
      </c>
      <c r="C210">
        <v>1</v>
      </c>
      <c r="D210" t="s">
        <v>103</v>
      </c>
      <c r="E210" t="s">
        <v>101</v>
      </c>
      <c r="F210">
        <v>0</v>
      </c>
    </row>
    <row r="211" spans="1:6" x14ac:dyDescent="0.2">
      <c r="A211" s="1">
        <v>44475</v>
      </c>
      <c r="B211" t="s">
        <v>77</v>
      </c>
      <c r="C211">
        <v>12</v>
      </c>
      <c r="D211" t="s">
        <v>101</v>
      </c>
      <c r="E211" t="s">
        <v>101</v>
      </c>
      <c r="F211">
        <v>0</v>
      </c>
    </row>
    <row r="212" spans="1:6" x14ac:dyDescent="0.2">
      <c r="A212" s="1">
        <v>44476</v>
      </c>
      <c r="B212" t="s">
        <v>57</v>
      </c>
      <c r="C212">
        <v>6</v>
      </c>
      <c r="D212" t="s">
        <v>103</v>
      </c>
      <c r="E212" t="s">
        <v>102</v>
      </c>
      <c r="F212">
        <v>0</v>
      </c>
    </row>
    <row r="213" spans="1:6" x14ac:dyDescent="0.2">
      <c r="A213" s="1">
        <v>44478</v>
      </c>
      <c r="B213" t="s">
        <v>81</v>
      </c>
      <c r="C213">
        <v>5</v>
      </c>
      <c r="D213" t="s">
        <v>103</v>
      </c>
      <c r="E213" t="s">
        <v>102</v>
      </c>
      <c r="F213">
        <v>0</v>
      </c>
    </row>
    <row r="214" spans="1:6" x14ac:dyDescent="0.2">
      <c r="A214" s="1">
        <v>44478</v>
      </c>
      <c r="B214" t="s">
        <v>69</v>
      </c>
      <c r="C214">
        <v>11</v>
      </c>
      <c r="D214" t="s">
        <v>101</v>
      </c>
      <c r="E214" t="s">
        <v>102</v>
      </c>
      <c r="F214">
        <v>0</v>
      </c>
    </row>
    <row r="215" spans="1:6" x14ac:dyDescent="0.2">
      <c r="A215" s="1">
        <v>44479</v>
      </c>
      <c r="B215" t="s">
        <v>75</v>
      </c>
      <c r="C215">
        <v>14</v>
      </c>
      <c r="D215" t="s">
        <v>103</v>
      </c>
      <c r="E215" t="s">
        <v>102</v>
      </c>
      <c r="F215">
        <v>0</v>
      </c>
    </row>
    <row r="216" spans="1:6" x14ac:dyDescent="0.2">
      <c r="A216" s="1">
        <v>44480</v>
      </c>
      <c r="B216" t="s">
        <v>27</v>
      </c>
      <c r="C216">
        <v>15</v>
      </c>
      <c r="D216" t="s">
        <v>103</v>
      </c>
      <c r="E216" t="s">
        <v>102</v>
      </c>
      <c r="F216">
        <v>0</v>
      </c>
    </row>
    <row r="217" spans="1:6" x14ac:dyDescent="0.2">
      <c r="A217" s="1">
        <v>44481</v>
      </c>
      <c r="B217" t="s">
        <v>59</v>
      </c>
      <c r="C217">
        <v>8</v>
      </c>
      <c r="D217" t="s">
        <v>101</v>
      </c>
      <c r="E217" t="s">
        <v>101</v>
      </c>
      <c r="F217">
        <v>0</v>
      </c>
    </row>
    <row r="218" spans="1:6" x14ac:dyDescent="0.2">
      <c r="A218" s="1">
        <v>44486</v>
      </c>
      <c r="B218" t="s">
        <v>6</v>
      </c>
      <c r="C218">
        <v>13</v>
      </c>
      <c r="D218" t="s">
        <v>103</v>
      </c>
      <c r="E218" t="s">
        <v>101</v>
      </c>
      <c r="F218">
        <v>0</v>
      </c>
    </row>
    <row r="219" spans="1:6" x14ac:dyDescent="0.2">
      <c r="A219" s="1">
        <v>44487</v>
      </c>
      <c r="B219" t="s">
        <v>55</v>
      </c>
      <c r="C219">
        <v>6</v>
      </c>
      <c r="D219" t="s">
        <v>101</v>
      </c>
      <c r="E219" t="s">
        <v>102</v>
      </c>
      <c r="F219">
        <v>0</v>
      </c>
    </row>
    <row r="220" spans="1:6" x14ac:dyDescent="0.2">
      <c r="A220" s="1">
        <v>44487</v>
      </c>
      <c r="B220" t="s">
        <v>47</v>
      </c>
      <c r="C220">
        <v>13</v>
      </c>
      <c r="D220" t="s">
        <v>101</v>
      </c>
      <c r="E220" t="s">
        <v>102</v>
      </c>
      <c r="F220">
        <v>0</v>
      </c>
    </row>
    <row r="221" spans="1:6" x14ac:dyDescent="0.2">
      <c r="A221" s="1">
        <v>44491</v>
      </c>
      <c r="B221" t="s">
        <v>27</v>
      </c>
      <c r="C221">
        <v>7</v>
      </c>
      <c r="D221" t="s">
        <v>103</v>
      </c>
      <c r="E221" t="s">
        <v>102</v>
      </c>
      <c r="F221">
        <v>0</v>
      </c>
    </row>
    <row r="222" spans="1:6" x14ac:dyDescent="0.2">
      <c r="A222" s="1">
        <v>44491</v>
      </c>
      <c r="B222" t="s">
        <v>53</v>
      </c>
      <c r="C222">
        <v>13</v>
      </c>
      <c r="D222" t="s">
        <v>101</v>
      </c>
      <c r="E222" t="s">
        <v>102</v>
      </c>
      <c r="F222">
        <v>0</v>
      </c>
    </row>
    <row r="223" spans="1:6" x14ac:dyDescent="0.2">
      <c r="A223" s="1">
        <v>44491</v>
      </c>
      <c r="B223" t="s">
        <v>23</v>
      </c>
      <c r="C223">
        <v>1</v>
      </c>
      <c r="D223" t="s">
        <v>103</v>
      </c>
      <c r="E223" t="s">
        <v>102</v>
      </c>
      <c r="F223">
        <v>0</v>
      </c>
    </row>
    <row r="224" spans="1:6" x14ac:dyDescent="0.2">
      <c r="A224" s="1">
        <v>44493</v>
      </c>
      <c r="B224" t="s">
        <v>27</v>
      </c>
      <c r="C224">
        <v>3</v>
      </c>
      <c r="D224" t="s">
        <v>100</v>
      </c>
      <c r="E224" t="s">
        <v>102</v>
      </c>
      <c r="F224">
        <v>0</v>
      </c>
    </row>
    <row r="225" spans="1:6" x14ac:dyDescent="0.2">
      <c r="A225" s="1">
        <v>44494</v>
      </c>
      <c r="B225" t="s">
        <v>93</v>
      </c>
      <c r="C225">
        <v>9</v>
      </c>
      <c r="D225" t="s">
        <v>101</v>
      </c>
      <c r="E225" t="s">
        <v>102</v>
      </c>
      <c r="F225">
        <v>0</v>
      </c>
    </row>
    <row r="226" spans="1:6" x14ac:dyDescent="0.2">
      <c r="A226" s="1">
        <v>44495</v>
      </c>
      <c r="B226" t="s">
        <v>13</v>
      </c>
      <c r="C226">
        <v>6</v>
      </c>
      <c r="D226" t="s">
        <v>100</v>
      </c>
      <c r="E226" t="s">
        <v>102</v>
      </c>
      <c r="F226">
        <v>0</v>
      </c>
    </row>
    <row r="227" spans="1:6" x14ac:dyDescent="0.2">
      <c r="A227" s="1">
        <v>44497</v>
      </c>
      <c r="B227" t="s">
        <v>21</v>
      </c>
      <c r="C227">
        <v>1</v>
      </c>
      <c r="D227" t="s">
        <v>103</v>
      </c>
      <c r="E227" t="s">
        <v>102</v>
      </c>
      <c r="F227">
        <v>0</v>
      </c>
    </row>
    <row r="228" spans="1:6" x14ac:dyDescent="0.2">
      <c r="A228" s="1">
        <v>44498</v>
      </c>
      <c r="B228" t="s">
        <v>81</v>
      </c>
      <c r="C228">
        <v>14</v>
      </c>
      <c r="D228" t="s">
        <v>101</v>
      </c>
      <c r="E228" t="s">
        <v>101</v>
      </c>
      <c r="F228">
        <v>0</v>
      </c>
    </row>
    <row r="229" spans="1:6" x14ac:dyDescent="0.2">
      <c r="A229" s="1">
        <v>44500</v>
      </c>
      <c r="B229" t="s">
        <v>47</v>
      </c>
      <c r="C229">
        <v>6</v>
      </c>
      <c r="D229" t="s">
        <v>101</v>
      </c>
      <c r="E229" t="s">
        <v>102</v>
      </c>
      <c r="F229">
        <v>0</v>
      </c>
    </row>
    <row r="230" spans="1:6" x14ac:dyDescent="0.2">
      <c r="A230" s="1">
        <v>44503</v>
      </c>
      <c r="B230" t="s">
        <v>31</v>
      </c>
      <c r="C230">
        <v>12</v>
      </c>
      <c r="D230" t="s">
        <v>103</v>
      </c>
      <c r="E230" t="s">
        <v>102</v>
      </c>
      <c r="F230">
        <v>0</v>
      </c>
    </row>
    <row r="231" spans="1:6" x14ac:dyDescent="0.2">
      <c r="A231" s="1">
        <v>44506</v>
      </c>
      <c r="B231" t="s">
        <v>77</v>
      </c>
      <c r="C231">
        <v>10</v>
      </c>
      <c r="D231" t="s">
        <v>103</v>
      </c>
      <c r="E231" t="s">
        <v>101</v>
      </c>
      <c r="F231">
        <v>0</v>
      </c>
    </row>
    <row r="232" spans="1:6" x14ac:dyDescent="0.2">
      <c r="A232" s="1">
        <v>44508</v>
      </c>
      <c r="B232" t="s">
        <v>19</v>
      </c>
      <c r="C232">
        <v>15</v>
      </c>
      <c r="D232" t="s">
        <v>103</v>
      </c>
      <c r="E232" t="s">
        <v>101</v>
      </c>
      <c r="F232">
        <v>0</v>
      </c>
    </row>
    <row r="233" spans="1:6" x14ac:dyDescent="0.2">
      <c r="A233" s="1">
        <v>44510</v>
      </c>
      <c r="B233" t="s">
        <v>89</v>
      </c>
      <c r="C233">
        <v>6</v>
      </c>
      <c r="D233" t="s">
        <v>101</v>
      </c>
      <c r="E233" t="s">
        <v>102</v>
      </c>
      <c r="F233">
        <v>0</v>
      </c>
    </row>
    <row r="234" spans="1:6" x14ac:dyDescent="0.2">
      <c r="A234" s="1">
        <v>44511</v>
      </c>
      <c r="B234" t="s">
        <v>85</v>
      </c>
      <c r="C234">
        <v>12</v>
      </c>
      <c r="D234" t="s">
        <v>100</v>
      </c>
      <c r="E234" t="s">
        <v>101</v>
      </c>
      <c r="F234">
        <v>0</v>
      </c>
    </row>
    <row r="235" spans="1:6" x14ac:dyDescent="0.2">
      <c r="A235" s="1">
        <v>44512</v>
      </c>
      <c r="B235" t="s">
        <v>25</v>
      </c>
      <c r="C235">
        <v>3</v>
      </c>
      <c r="D235" t="s">
        <v>101</v>
      </c>
      <c r="E235" t="s">
        <v>102</v>
      </c>
      <c r="F235">
        <v>0</v>
      </c>
    </row>
    <row r="236" spans="1:6" x14ac:dyDescent="0.2">
      <c r="A236" s="1">
        <v>44520</v>
      </c>
      <c r="B236" t="s">
        <v>73</v>
      </c>
      <c r="C236">
        <v>14</v>
      </c>
      <c r="D236" t="s">
        <v>101</v>
      </c>
      <c r="E236" t="s">
        <v>101</v>
      </c>
      <c r="F236">
        <v>0</v>
      </c>
    </row>
    <row r="237" spans="1:6" x14ac:dyDescent="0.2">
      <c r="A237" s="1">
        <v>44520</v>
      </c>
      <c r="B237" t="s">
        <v>21</v>
      </c>
      <c r="C237">
        <v>11</v>
      </c>
      <c r="D237" t="s">
        <v>101</v>
      </c>
      <c r="E237" t="s">
        <v>102</v>
      </c>
      <c r="F237">
        <v>0</v>
      </c>
    </row>
    <row r="238" spans="1:6" x14ac:dyDescent="0.2">
      <c r="A238" s="1">
        <v>44521</v>
      </c>
      <c r="B238" t="s">
        <v>33</v>
      </c>
      <c r="C238">
        <v>1</v>
      </c>
      <c r="D238" t="s">
        <v>100</v>
      </c>
      <c r="E238" t="s">
        <v>101</v>
      </c>
      <c r="F238">
        <v>0</v>
      </c>
    </row>
    <row r="239" spans="1:6" x14ac:dyDescent="0.2">
      <c r="A239" s="1">
        <v>44521</v>
      </c>
      <c r="B239" t="s">
        <v>17</v>
      </c>
      <c r="C239">
        <v>1</v>
      </c>
      <c r="D239" t="s">
        <v>101</v>
      </c>
      <c r="E239" t="s">
        <v>102</v>
      </c>
      <c r="F239">
        <v>0</v>
      </c>
    </row>
    <row r="240" spans="1:6" x14ac:dyDescent="0.2">
      <c r="A240" s="1">
        <v>44527</v>
      </c>
      <c r="B240" t="s">
        <v>29</v>
      </c>
      <c r="C240">
        <v>8</v>
      </c>
      <c r="D240" t="s">
        <v>101</v>
      </c>
      <c r="E240" t="s">
        <v>101</v>
      </c>
      <c r="F240">
        <v>0</v>
      </c>
    </row>
    <row r="241" spans="1:6" x14ac:dyDescent="0.2">
      <c r="A241" s="1">
        <v>44528</v>
      </c>
      <c r="B241" t="s">
        <v>85</v>
      </c>
      <c r="C241">
        <v>2</v>
      </c>
      <c r="D241" t="s">
        <v>103</v>
      </c>
      <c r="E241" t="s">
        <v>102</v>
      </c>
      <c r="F241">
        <v>0</v>
      </c>
    </row>
    <row r="242" spans="1:6" x14ac:dyDescent="0.2">
      <c r="A242" s="1">
        <v>44530</v>
      </c>
      <c r="B242" t="s">
        <v>83</v>
      </c>
      <c r="C242">
        <v>15</v>
      </c>
      <c r="D242" t="s">
        <v>103</v>
      </c>
      <c r="E242" t="s">
        <v>101</v>
      </c>
      <c r="F242">
        <v>0</v>
      </c>
    </row>
    <row r="243" spans="1:6" x14ac:dyDescent="0.2">
      <c r="A243" s="1">
        <v>44532</v>
      </c>
      <c r="B243" t="s">
        <v>37</v>
      </c>
      <c r="C243">
        <v>10</v>
      </c>
      <c r="D243" t="s">
        <v>103</v>
      </c>
      <c r="E243" t="s">
        <v>102</v>
      </c>
      <c r="F243">
        <v>0</v>
      </c>
    </row>
    <row r="244" spans="1:6" x14ac:dyDescent="0.2">
      <c r="A244" s="1">
        <v>44533</v>
      </c>
      <c r="B244" t="s">
        <v>73</v>
      </c>
      <c r="C244">
        <v>2</v>
      </c>
      <c r="D244" t="s">
        <v>101</v>
      </c>
      <c r="E244" t="s">
        <v>102</v>
      </c>
      <c r="F244">
        <v>0</v>
      </c>
    </row>
    <row r="245" spans="1:6" x14ac:dyDescent="0.2">
      <c r="A245" s="1">
        <v>44533</v>
      </c>
      <c r="B245" t="s">
        <v>43</v>
      </c>
      <c r="C245">
        <v>8</v>
      </c>
      <c r="D245" t="s">
        <v>101</v>
      </c>
      <c r="E245" t="s">
        <v>101</v>
      </c>
      <c r="F245">
        <v>0</v>
      </c>
    </row>
    <row r="246" spans="1:6" x14ac:dyDescent="0.2">
      <c r="A246" s="1">
        <v>44535</v>
      </c>
      <c r="B246" t="s">
        <v>13</v>
      </c>
      <c r="C246">
        <v>15</v>
      </c>
      <c r="D246" t="s">
        <v>103</v>
      </c>
      <c r="E246" t="s">
        <v>102</v>
      </c>
      <c r="F246">
        <v>0</v>
      </c>
    </row>
    <row r="247" spans="1:6" x14ac:dyDescent="0.2">
      <c r="A247" s="1">
        <v>44535</v>
      </c>
      <c r="B247" t="s">
        <v>25</v>
      </c>
      <c r="C247">
        <v>1</v>
      </c>
      <c r="D247" t="s">
        <v>103</v>
      </c>
      <c r="E247" t="s">
        <v>101</v>
      </c>
      <c r="F247">
        <v>0</v>
      </c>
    </row>
    <row r="248" spans="1:6" x14ac:dyDescent="0.2">
      <c r="A248" s="1">
        <v>44537</v>
      </c>
      <c r="B248" t="s">
        <v>31</v>
      </c>
      <c r="C248">
        <v>8</v>
      </c>
      <c r="D248" t="s">
        <v>103</v>
      </c>
      <c r="E248" t="s">
        <v>101</v>
      </c>
      <c r="F248">
        <v>0</v>
      </c>
    </row>
    <row r="249" spans="1:6" x14ac:dyDescent="0.2">
      <c r="A249" s="1">
        <v>44538</v>
      </c>
      <c r="B249" t="s">
        <v>93</v>
      </c>
      <c r="C249">
        <v>14</v>
      </c>
      <c r="D249" t="s">
        <v>103</v>
      </c>
      <c r="E249" t="s">
        <v>101</v>
      </c>
      <c r="F249">
        <v>0</v>
      </c>
    </row>
    <row r="250" spans="1:6" x14ac:dyDescent="0.2">
      <c r="A250" s="1">
        <v>44544</v>
      </c>
      <c r="B250" t="s">
        <v>89</v>
      </c>
      <c r="C250">
        <v>4</v>
      </c>
      <c r="D250" t="s">
        <v>103</v>
      </c>
      <c r="E250" t="s">
        <v>101</v>
      </c>
      <c r="F250">
        <v>0</v>
      </c>
    </row>
    <row r="251" spans="1:6" x14ac:dyDescent="0.2">
      <c r="A251" s="1">
        <v>44548</v>
      </c>
      <c r="B251" t="s">
        <v>11</v>
      </c>
      <c r="C251">
        <v>2</v>
      </c>
      <c r="D251" t="s">
        <v>103</v>
      </c>
      <c r="E251" t="s">
        <v>102</v>
      </c>
      <c r="F251">
        <v>0</v>
      </c>
    </row>
    <row r="252" spans="1:6" x14ac:dyDescent="0.2">
      <c r="A252" s="1">
        <v>44548</v>
      </c>
      <c r="B252" t="s">
        <v>49</v>
      </c>
      <c r="C252">
        <v>8</v>
      </c>
      <c r="D252" t="s">
        <v>101</v>
      </c>
      <c r="E252" t="s">
        <v>102</v>
      </c>
      <c r="F252">
        <v>0</v>
      </c>
    </row>
    <row r="253" spans="1:6" x14ac:dyDescent="0.2">
      <c r="A253" s="1">
        <v>44549</v>
      </c>
      <c r="B253" t="s">
        <v>51</v>
      </c>
      <c r="C253">
        <v>12</v>
      </c>
      <c r="D253" t="s">
        <v>103</v>
      </c>
      <c r="E253" t="s">
        <v>101</v>
      </c>
      <c r="F253">
        <v>0</v>
      </c>
    </row>
    <row r="254" spans="1:6" x14ac:dyDescent="0.2">
      <c r="A254" s="1">
        <v>44549</v>
      </c>
      <c r="B254" t="s">
        <v>63</v>
      </c>
      <c r="C254">
        <v>3</v>
      </c>
      <c r="D254" t="s">
        <v>100</v>
      </c>
      <c r="E254" t="s">
        <v>101</v>
      </c>
      <c r="F254">
        <v>0</v>
      </c>
    </row>
    <row r="255" spans="1:6" x14ac:dyDescent="0.2">
      <c r="A255" s="1">
        <v>44549</v>
      </c>
      <c r="B255" t="s">
        <v>27</v>
      </c>
      <c r="C255">
        <v>10</v>
      </c>
      <c r="D255" t="s">
        <v>101</v>
      </c>
      <c r="E255" t="s">
        <v>101</v>
      </c>
      <c r="F255">
        <v>0</v>
      </c>
    </row>
    <row r="256" spans="1:6" x14ac:dyDescent="0.2">
      <c r="A256" s="1">
        <v>44550</v>
      </c>
      <c r="B256" t="s">
        <v>29</v>
      </c>
      <c r="C256">
        <v>14</v>
      </c>
      <c r="D256" t="s">
        <v>103</v>
      </c>
      <c r="E256" t="s">
        <v>101</v>
      </c>
      <c r="F256">
        <v>0</v>
      </c>
    </row>
    <row r="257" spans="1:6" x14ac:dyDescent="0.2">
      <c r="A257" s="1">
        <v>44551</v>
      </c>
      <c r="B257" t="s">
        <v>57</v>
      </c>
      <c r="C257">
        <v>10</v>
      </c>
      <c r="D257" t="s">
        <v>101</v>
      </c>
      <c r="E257" t="s">
        <v>102</v>
      </c>
      <c r="F257">
        <v>0</v>
      </c>
    </row>
    <row r="258" spans="1:6" x14ac:dyDescent="0.2">
      <c r="A258" s="1">
        <v>44554</v>
      </c>
      <c r="B258" t="s">
        <v>89</v>
      </c>
      <c r="C258">
        <v>8</v>
      </c>
      <c r="D258" t="s">
        <v>100</v>
      </c>
      <c r="E258" t="s">
        <v>102</v>
      </c>
      <c r="F258">
        <v>0</v>
      </c>
    </row>
    <row r="259" spans="1:6" x14ac:dyDescent="0.2">
      <c r="A259" s="1">
        <v>44554</v>
      </c>
      <c r="B259" t="s">
        <v>77</v>
      </c>
      <c r="C259">
        <v>8</v>
      </c>
      <c r="D259" t="s">
        <v>100</v>
      </c>
      <c r="E259" t="s">
        <v>101</v>
      </c>
      <c r="F259">
        <v>0</v>
      </c>
    </row>
    <row r="260" spans="1:6" x14ac:dyDescent="0.2">
      <c r="A260" s="1">
        <v>44556</v>
      </c>
      <c r="B260" t="s">
        <v>87</v>
      </c>
      <c r="C260">
        <v>14</v>
      </c>
      <c r="D260" t="s">
        <v>101</v>
      </c>
      <c r="E260" t="s">
        <v>102</v>
      </c>
      <c r="F260">
        <v>0</v>
      </c>
    </row>
    <row r="261" spans="1:6" x14ac:dyDescent="0.2">
      <c r="A261" s="1">
        <v>44557</v>
      </c>
      <c r="B261" t="s">
        <v>63</v>
      </c>
      <c r="C261">
        <v>14</v>
      </c>
      <c r="D261" t="s">
        <v>103</v>
      </c>
      <c r="E261" t="s">
        <v>102</v>
      </c>
      <c r="F261">
        <v>0</v>
      </c>
    </row>
    <row r="262" spans="1:6" x14ac:dyDescent="0.2">
      <c r="A262" s="1">
        <v>44558</v>
      </c>
      <c r="B262" t="s">
        <v>63</v>
      </c>
      <c r="C262">
        <v>6</v>
      </c>
      <c r="D262" t="s">
        <v>103</v>
      </c>
      <c r="E262" t="s">
        <v>102</v>
      </c>
      <c r="F262">
        <v>0</v>
      </c>
    </row>
    <row r="263" spans="1:6" x14ac:dyDescent="0.2">
      <c r="A263" s="1">
        <v>44560</v>
      </c>
      <c r="B263" t="s">
        <v>25</v>
      </c>
      <c r="C263">
        <v>13</v>
      </c>
      <c r="D263" t="s">
        <v>101</v>
      </c>
      <c r="E263" t="s">
        <v>101</v>
      </c>
      <c r="F263">
        <v>0</v>
      </c>
    </row>
    <row r="264" spans="1:6" x14ac:dyDescent="0.2">
      <c r="A264" s="1">
        <v>44562</v>
      </c>
      <c r="B264" t="s">
        <v>49</v>
      </c>
      <c r="C264">
        <v>1</v>
      </c>
      <c r="D264" t="s">
        <v>100</v>
      </c>
      <c r="E264" t="s">
        <v>102</v>
      </c>
      <c r="F264">
        <v>0</v>
      </c>
    </row>
    <row r="265" spans="1:6" x14ac:dyDescent="0.2">
      <c r="A265" s="1">
        <v>44563</v>
      </c>
      <c r="B265" t="s">
        <v>25</v>
      </c>
      <c r="C265">
        <v>7</v>
      </c>
      <c r="D265" t="s">
        <v>103</v>
      </c>
      <c r="E265" t="s">
        <v>102</v>
      </c>
      <c r="F265">
        <v>0</v>
      </c>
    </row>
    <row r="266" spans="1:6" x14ac:dyDescent="0.2">
      <c r="A266" s="1">
        <v>44563</v>
      </c>
      <c r="B266" t="s">
        <v>35</v>
      </c>
      <c r="C266">
        <v>2</v>
      </c>
      <c r="D266" t="s">
        <v>101</v>
      </c>
      <c r="E266" t="s">
        <v>102</v>
      </c>
      <c r="F266">
        <v>0</v>
      </c>
    </row>
    <row r="267" spans="1:6" x14ac:dyDescent="0.2">
      <c r="A267" s="1">
        <v>44563</v>
      </c>
      <c r="B267" t="s">
        <v>71</v>
      </c>
      <c r="C267">
        <v>1</v>
      </c>
      <c r="D267" t="s">
        <v>103</v>
      </c>
      <c r="E267" t="s">
        <v>102</v>
      </c>
      <c r="F267">
        <v>0</v>
      </c>
    </row>
    <row r="268" spans="1:6" x14ac:dyDescent="0.2">
      <c r="A268" s="1">
        <v>44564</v>
      </c>
      <c r="B268" t="s">
        <v>91</v>
      </c>
      <c r="C268">
        <v>9</v>
      </c>
      <c r="D268" t="s">
        <v>103</v>
      </c>
      <c r="E268" t="s">
        <v>102</v>
      </c>
      <c r="F268">
        <v>0</v>
      </c>
    </row>
    <row r="269" spans="1:6" x14ac:dyDescent="0.2">
      <c r="A269" s="1">
        <v>44565</v>
      </c>
      <c r="B269" t="s">
        <v>29</v>
      </c>
      <c r="C269">
        <v>8</v>
      </c>
      <c r="D269" t="s">
        <v>103</v>
      </c>
      <c r="E269" t="s">
        <v>101</v>
      </c>
      <c r="F269">
        <v>0</v>
      </c>
    </row>
    <row r="270" spans="1:6" x14ac:dyDescent="0.2">
      <c r="A270" s="1">
        <v>44565</v>
      </c>
      <c r="B270" t="s">
        <v>63</v>
      </c>
      <c r="C270">
        <v>1</v>
      </c>
      <c r="D270" t="s">
        <v>101</v>
      </c>
      <c r="E270" t="s">
        <v>101</v>
      </c>
      <c r="F270">
        <v>0</v>
      </c>
    </row>
    <row r="271" spans="1:6" x14ac:dyDescent="0.2">
      <c r="A271" s="1">
        <v>44570</v>
      </c>
      <c r="B271" t="s">
        <v>69</v>
      </c>
      <c r="C271">
        <v>12</v>
      </c>
      <c r="D271" t="s">
        <v>103</v>
      </c>
      <c r="E271" t="s">
        <v>101</v>
      </c>
      <c r="F271">
        <v>0</v>
      </c>
    </row>
    <row r="272" spans="1:6" x14ac:dyDescent="0.2">
      <c r="A272" s="1">
        <v>44571</v>
      </c>
      <c r="B272" t="s">
        <v>73</v>
      </c>
      <c r="C272">
        <v>14</v>
      </c>
      <c r="D272" t="s">
        <v>101</v>
      </c>
      <c r="E272" t="s">
        <v>101</v>
      </c>
      <c r="F272">
        <v>0</v>
      </c>
    </row>
    <row r="273" spans="1:6" x14ac:dyDescent="0.2">
      <c r="A273" s="1">
        <v>44572</v>
      </c>
      <c r="B273" t="s">
        <v>69</v>
      </c>
      <c r="C273">
        <v>2</v>
      </c>
      <c r="D273" t="s">
        <v>103</v>
      </c>
      <c r="E273" t="s">
        <v>101</v>
      </c>
      <c r="F273">
        <v>0</v>
      </c>
    </row>
    <row r="274" spans="1:6" x14ac:dyDescent="0.2">
      <c r="A274" s="1">
        <v>44574</v>
      </c>
      <c r="B274" t="s">
        <v>43</v>
      </c>
      <c r="C274">
        <v>6</v>
      </c>
      <c r="D274" t="s">
        <v>101</v>
      </c>
      <c r="E274" t="s">
        <v>101</v>
      </c>
      <c r="F274">
        <v>0</v>
      </c>
    </row>
    <row r="275" spans="1:6" x14ac:dyDescent="0.2">
      <c r="A275" s="1">
        <v>44575</v>
      </c>
      <c r="B275" t="s">
        <v>27</v>
      </c>
      <c r="C275">
        <v>14</v>
      </c>
      <c r="D275" t="s">
        <v>103</v>
      </c>
      <c r="E275" t="s">
        <v>101</v>
      </c>
      <c r="F275">
        <v>0</v>
      </c>
    </row>
    <row r="276" spans="1:6" x14ac:dyDescent="0.2">
      <c r="A276" s="1">
        <v>44576</v>
      </c>
      <c r="B276" t="s">
        <v>49</v>
      </c>
      <c r="C276">
        <v>10</v>
      </c>
      <c r="D276" t="s">
        <v>103</v>
      </c>
      <c r="E276" t="s">
        <v>102</v>
      </c>
      <c r="F276">
        <v>0</v>
      </c>
    </row>
    <row r="277" spans="1:6" x14ac:dyDescent="0.2">
      <c r="A277" s="1">
        <v>44577</v>
      </c>
      <c r="B277" t="s">
        <v>33</v>
      </c>
      <c r="C277">
        <v>11</v>
      </c>
      <c r="D277" t="s">
        <v>101</v>
      </c>
      <c r="E277" t="s">
        <v>102</v>
      </c>
      <c r="F277">
        <v>0</v>
      </c>
    </row>
    <row r="278" spans="1:6" x14ac:dyDescent="0.2">
      <c r="A278" s="1">
        <v>44578</v>
      </c>
      <c r="B278" t="s">
        <v>85</v>
      </c>
      <c r="C278">
        <v>4</v>
      </c>
      <c r="D278" t="s">
        <v>101</v>
      </c>
      <c r="E278" t="s">
        <v>101</v>
      </c>
      <c r="F278">
        <v>0</v>
      </c>
    </row>
    <row r="279" spans="1:6" x14ac:dyDescent="0.2">
      <c r="A279" s="1">
        <v>44579</v>
      </c>
      <c r="B279" t="s">
        <v>21</v>
      </c>
      <c r="C279">
        <v>9</v>
      </c>
      <c r="D279" t="s">
        <v>100</v>
      </c>
      <c r="E279" t="s">
        <v>102</v>
      </c>
      <c r="F279">
        <v>0</v>
      </c>
    </row>
    <row r="280" spans="1:6" x14ac:dyDescent="0.2">
      <c r="A280" s="1">
        <v>44581</v>
      </c>
      <c r="B280" t="s">
        <v>47</v>
      </c>
      <c r="C280">
        <v>2</v>
      </c>
      <c r="D280" t="s">
        <v>103</v>
      </c>
      <c r="E280" t="s">
        <v>102</v>
      </c>
      <c r="F280">
        <v>0</v>
      </c>
    </row>
    <row r="281" spans="1:6" x14ac:dyDescent="0.2">
      <c r="A281" s="1">
        <v>44581</v>
      </c>
      <c r="B281" t="s">
        <v>33</v>
      </c>
      <c r="C281">
        <v>7</v>
      </c>
      <c r="D281" t="s">
        <v>101</v>
      </c>
      <c r="E281" t="s">
        <v>101</v>
      </c>
      <c r="F281">
        <v>0</v>
      </c>
    </row>
    <row r="282" spans="1:6" x14ac:dyDescent="0.2">
      <c r="A282" s="1">
        <v>44583</v>
      </c>
      <c r="B282" t="s">
        <v>6</v>
      </c>
      <c r="C282">
        <v>6</v>
      </c>
      <c r="D282" t="s">
        <v>101</v>
      </c>
      <c r="E282" t="s">
        <v>102</v>
      </c>
      <c r="F282">
        <v>0</v>
      </c>
    </row>
    <row r="283" spans="1:6" x14ac:dyDescent="0.2">
      <c r="A283" s="1">
        <v>44584</v>
      </c>
      <c r="B283" t="s">
        <v>9</v>
      </c>
      <c r="C283">
        <v>5</v>
      </c>
      <c r="D283" t="s">
        <v>100</v>
      </c>
      <c r="E283" t="s">
        <v>102</v>
      </c>
      <c r="F283">
        <v>0</v>
      </c>
    </row>
    <row r="284" spans="1:6" x14ac:dyDescent="0.2">
      <c r="A284" s="1">
        <v>44584</v>
      </c>
      <c r="B284" t="s">
        <v>89</v>
      </c>
      <c r="C284">
        <v>8</v>
      </c>
      <c r="D284" t="s">
        <v>103</v>
      </c>
      <c r="E284" t="s">
        <v>101</v>
      </c>
      <c r="F284">
        <v>0</v>
      </c>
    </row>
    <row r="285" spans="1:6" x14ac:dyDescent="0.2">
      <c r="A285" s="1">
        <v>44585</v>
      </c>
      <c r="B285" t="s">
        <v>65</v>
      </c>
      <c r="C285">
        <v>15</v>
      </c>
      <c r="D285" t="s">
        <v>101</v>
      </c>
      <c r="E285" t="s">
        <v>101</v>
      </c>
      <c r="F285">
        <v>0</v>
      </c>
    </row>
    <row r="286" spans="1:6" x14ac:dyDescent="0.2">
      <c r="A286" s="1">
        <v>44586</v>
      </c>
      <c r="B286" t="s">
        <v>39</v>
      </c>
      <c r="C286">
        <v>14</v>
      </c>
      <c r="D286" t="s">
        <v>103</v>
      </c>
      <c r="E286" t="s">
        <v>102</v>
      </c>
      <c r="F286">
        <v>0</v>
      </c>
    </row>
    <row r="287" spans="1:6" x14ac:dyDescent="0.2">
      <c r="A287" s="1">
        <v>44589</v>
      </c>
      <c r="B287" t="s">
        <v>37</v>
      </c>
      <c r="C287">
        <v>11</v>
      </c>
      <c r="D287" t="s">
        <v>103</v>
      </c>
      <c r="E287" t="s">
        <v>101</v>
      </c>
      <c r="F287">
        <v>0</v>
      </c>
    </row>
    <row r="288" spans="1:6" x14ac:dyDescent="0.2">
      <c r="A288" s="1">
        <v>44592</v>
      </c>
      <c r="B288" t="s">
        <v>51</v>
      </c>
      <c r="C288">
        <v>6</v>
      </c>
      <c r="D288" t="s">
        <v>101</v>
      </c>
      <c r="E288" t="s">
        <v>102</v>
      </c>
      <c r="F288">
        <v>0</v>
      </c>
    </row>
    <row r="289" spans="1:6" x14ac:dyDescent="0.2">
      <c r="A289" s="1">
        <v>44592</v>
      </c>
      <c r="B289" t="s">
        <v>87</v>
      </c>
      <c r="C289">
        <v>9</v>
      </c>
      <c r="D289" t="s">
        <v>103</v>
      </c>
      <c r="E289" t="s">
        <v>102</v>
      </c>
      <c r="F289">
        <v>0</v>
      </c>
    </row>
    <row r="290" spans="1:6" x14ac:dyDescent="0.2">
      <c r="A290" s="1">
        <v>44593</v>
      </c>
      <c r="B290" t="s">
        <v>15</v>
      </c>
      <c r="C290">
        <v>9</v>
      </c>
      <c r="D290" t="s">
        <v>103</v>
      </c>
      <c r="E290" t="s">
        <v>102</v>
      </c>
      <c r="F290">
        <v>0</v>
      </c>
    </row>
    <row r="291" spans="1:6" x14ac:dyDescent="0.2">
      <c r="A291" s="1">
        <v>44595</v>
      </c>
      <c r="B291" t="s">
        <v>33</v>
      </c>
      <c r="C291">
        <v>8</v>
      </c>
      <c r="D291" t="s">
        <v>103</v>
      </c>
      <c r="E291" t="s">
        <v>101</v>
      </c>
      <c r="F291">
        <v>0</v>
      </c>
    </row>
    <row r="292" spans="1:6" x14ac:dyDescent="0.2">
      <c r="A292" s="1">
        <v>44597</v>
      </c>
      <c r="B292" t="s">
        <v>41</v>
      </c>
      <c r="C292">
        <v>6</v>
      </c>
      <c r="D292" t="s">
        <v>103</v>
      </c>
      <c r="E292" t="s">
        <v>102</v>
      </c>
      <c r="F292">
        <v>0</v>
      </c>
    </row>
    <row r="293" spans="1:6" x14ac:dyDescent="0.2">
      <c r="A293" s="1">
        <v>44598</v>
      </c>
      <c r="B293" t="s">
        <v>9</v>
      </c>
      <c r="C293">
        <v>6</v>
      </c>
      <c r="D293" t="s">
        <v>103</v>
      </c>
      <c r="E293" t="s">
        <v>102</v>
      </c>
      <c r="F293">
        <v>0</v>
      </c>
    </row>
    <row r="294" spans="1:6" x14ac:dyDescent="0.2">
      <c r="A294" s="1">
        <v>44600</v>
      </c>
      <c r="B294" t="s">
        <v>15</v>
      </c>
      <c r="C294">
        <v>11</v>
      </c>
      <c r="D294" t="s">
        <v>101</v>
      </c>
      <c r="E294" t="s">
        <v>102</v>
      </c>
      <c r="F294">
        <v>0</v>
      </c>
    </row>
    <row r="295" spans="1:6" x14ac:dyDescent="0.2">
      <c r="A295" s="1">
        <v>44600</v>
      </c>
      <c r="B295" t="s">
        <v>13</v>
      </c>
      <c r="C295">
        <v>3</v>
      </c>
      <c r="D295" t="s">
        <v>101</v>
      </c>
      <c r="E295" t="s">
        <v>102</v>
      </c>
      <c r="F295">
        <v>0</v>
      </c>
    </row>
    <row r="296" spans="1:6" x14ac:dyDescent="0.2">
      <c r="A296" s="1">
        <v>44601</v>
      </c>
      <c r="B296" t="s">
        <v>69</v>
      </c>
      <c r="C296">
        <v>14</v>
      </c>
      <c r="D296" t="s">
        <v>101</v>
      </c>
      <c r="E296" t="s">
        <v>101</v>
      </c>
      <c r="F296">
        <v>0</v>
      </c>
    </row>
    <row r="297" spans="1:6" x14ac:dyDescent="0.2">
      <c r="A297" s="1">
        <v>44604</v>
      </c>
      <c r="B297" t="s">
        <v>25</v>
      </c>
      <c r="C297">
        <v>13</v>
      </c>
      <c r="D297" t="s">
        <v>103</v>
      </c>
      <c r="E297" t="s">
        <v>102</v>
      </c>
      <c r="F297">
        <v>0</v>
      </c>
    </row>
    <row r="298" spans="1:6" x14ac:dyDescent="0.2">
      <c r="A298" s="1">
        <v>44606</v>
      </c>
      <c r="B298" t="s">
        <v>57</v>
      </c>
      <c r="C298">
        <v>8</v>
      </c>
      <c r="D298" t="s">
        <v>101</v>
      </c>
      <c r="E298" t="s">
        <v>102</v>
      </c>
      <c r="F298">
        <v>0</v>
      </c>
    </row>
    <row r="299" spans="1:6" x14ac:dyDescent="0.2">
      <c r="A299" s="1">
        <v>44606</v>
      </c>
      <c r="B299" t="s">
        <v>61</v>
      </c>
      <c r="C299">
        <v>3</v>
      </c>
      <c r="D299" t="s">
        <v>103</v>
      </c>
      <c r="E299" t="s">
        <v>102</v>
      </c>
      <c r="F299">
        <v>0</v>
      </c>
    </row>
    <row r="300" spans="1:6" x14ac:dyDescent="0.2">
      <c r="A300" s="1">
        <v>44608</v>
      </c>
      <c r="B300" t="s">
        <v>69</v>
      </c>
      <c r="C300">
        <v>1</v>
      </c>
      <c r="D300" t="s">
        <v>101</v>
      </c>
      <c r="E300" t="s">
        <v>102</v>
      </c>
      <c r="F300">
        <v>0</v>
      </c>
    </row>
    <row r="301" spans="1:6" x14ac:dyDescent="0.2">
      <c r="A301" s="1">
        <v>44611</v>
      </c>
      <c r="B301" t="s">
        <v>9</v>
      </c>
      <c r="C301">
        <v>13</v>
      </c>
      <c r="D301" t="s">
        <v>101</v>
      </c>
      <c r="E301" t="s">
        <v>102</v>
      </c>
      <c r="F301">
        <v>0</v>
      </c>
    </row>
    <row r="302" spans="1:6" x14ac:dyDescent="0.2">
      <c r="A302" s="1">
        <v>44612</v>
      </c>
      <c r="B302" t="s">
        <v>29</v>
      </c>
      <c r="C302">
        <v>6</v>
      </c>
      <c r="D302" t="s">
        <v>103</v>
      </c>
      <c r="E302" t="s">
        <v>102</v>
      </c>
      <c r="F302">
        <v>0</v>
      </c>
    </row>
    <row r="303" spans="1:6" x14ac:dyDescent="0.2">
      <c r="A303" s="1">
        <v>44615</v>
      </c>
      <c r="B303" t="s">
        <v>31</v>
      </c>
      <c r="C303">
        <v>6</v>
      </c>
      <c r="D303" t="s">
        <v>101</v>
      </c>
      <c r="E303" t="s">
        <v>101</v>
      </c>
      <c r="F303">
        <v>0</v>
      </c>
    </row>
    <row r="304" spans="1:6" x14ac:dyDescent="0.2">
      <c r="A304" s="1">
        <v>44615</v>
      </c>
      <c r="B304" t="s">
        <v>37</v>
      </c>
      <c r="C304">
        <v>15</v>
      </c>
      <c r="D304" t="s">
        <v>101</v>
      </c>
      <c r="E304" t="s">
        <v>102</v>
      </c>
      <c r="F304">
        <v>0</v>
      </c>
    </row>
    <row r="305" spans="1:6" x14ac:dyDescent="0.2">
      <c r="A305" s="1">
        <v>44615</v>
      </c>
      <c r="B305" t="s">
        <v>77</v>
      </c>
      <c r="C305">
        <v>8</v>
      </c>
      <c r="D305" t="s">
        <v>103</v>
      </c>
      <c r="E305" t="s">
        <v>101</v>
      </c>
      <c r="F305">
        <v>0</v>
      </c>
    </row>
    <row r="306" spans="1:6" x14ac:dyDescent="0.2">
      <c r="A306" s="1">
        <v>44619</v>
      </c>
      <c r="B306" t="s">
        <v>29</v>
      </c>
      <c r="C306">
        <v>7</v>
      </c>
      <c r="D306" t="s">
        <v>103</v>
      </c>
      <c r="E306" t="s">
        <v>102</v>
      </c>
      <c r="F306">
        <v>0</v>
      </c>
    </row>
    <row r="307" spans="1:6" x14ac:dyDescent="0.2">
      <c r="A307" s="1">
        <v>44619</v>
      </c>
      <c r="B307" t="s">
        <v>15</v>
      </c>
      <c r="C307">
        <v>15</v>
      </c>
      <c r="D307" t="s">
        <v>103</v>
      </c>
      <c r="E307" t="s">
        <v>101</v>
      </c>
      <c r="F307">
        <v>0</v>
      </c>
    </row>
    <row r="308" spans="1:6" x14ac:dyDescent="0.2">
      <c r="A308" s="1">
        <v>44620</v>
      </c>
      <c r="B308" t="s">
        <v>79</v>
      </c>
      <c r="C308">
        <v>15</v>
      </c>
      <c r="D308" t="s">
        <v>103</v>
      </c>
      <c r="E308" t="s">
        <v>102</v>
      </c>
      <c r="F308">
        <v>0</v>
      </c>
    </row>
    <row r="309" spans="1:6" x14ac:dyDescent="0.2">
      <c r="A309" s="1">
        <v>44624</v>
      </c>
      <c r="B309" t="s">
        <v>57</v>
      </c>
      <c r="C309">
        <v>13</v>
      </c>
      <c r="D309" t="s">
        <v>100</v>
      </c>
      <c r="E309" t="s">
        <v>101</v>
      </c>
      <c r="F309">
        <v>0</v>
      </c>
    </row>
    <row r="310" spans="1:6" x14ac:dyDescent="0.2">
      <c r="A310" s="1">
        <v>44626</v>
      </c>
      <c r="B310" t="s">
        <v>13</v>
      </c>
      <c r="C310">
        <v>2</v>
      </c>
      <c r="D310" t="s">
        <v>103</v>
      </c>
      <c r="E310" t="s">
        <v>102</v>
      </c>
      <c r="F310">
        <v>0</v>
      </c>
    </row>
    <row r="311" spans="1:6" x14ac:dyDescent="0.2">
      <c r="A311" s="1">
        <v>44627</v>
      </c>
      <c r="B311" t="s">
        <v>11</v>
      </c>
      <c r="C311">
        <v>1</v>
      </c>
      <c r="D311" t="s">
        <v>103</v>
      </c>
      <c r="E311" t="s">
        <v>102</v>
      </c>
      <c r="F311">
        <v>0</v>
      </c>
    </row>
    <row r="312" spans="1:6" x14ac:dyDescent="0.2">
      <c r="A312" s="1">
        <v>44628</v>
      </c>
      <c r="B312" t="s">
        <v>93</v>
      </c>
      <c r="C312">
        <v>6</v>
      </c>
      <c r="D312" t="s">
        <v>103</v>
      </c>
      <c r="E312" t="s">
        <v>101</v>
      </c>
      <c r="F312">
        <v>0</v>
      </c>
    </row>
    <row r="313" spans="1:6" x14ac:dyDescent="0.2">
      <c r="A313" s="1">
        <v>44629</v>
      </c>
      <c r="B313" t="s">
        <v>65</v>
      </c>
      <c r="C313">
        <v>3</v>
      </c>
      <c r="D313" t="s">
        <v>103</v>
      </c>
      <c r="E313" t="s">
        <v>101</v>
      </c>
      <c r="F313">
        <v>0</v>
      </c>
    </row>
    <row r="314" spans="1:6" x14ac:dyDescent="0.2">
      <c r="A314" s="1">
        <v>44629</v>
      </c>
      <c r="B314" t="s">
        <v>13</v>
      </c>
      <c r="C314">
        <v>11</v>
      </c>
      <c r="D314" t="s">
        <v>101</v>
      </c>
      <c r="E314" t="s">
        <v>102</v>
      </c>
      <c r="F314">
        <v>0</v>
      </c>
    </row>
    <row r="315" spans="1:6" x14ac:dyDescent="0.2">
      <c r="A315" s="1">
        <v>44630</v>
      </c>
      <c r="B315" t="s">
        <v>71</v>
      </c>
      <c r="C315">
        <v>12</v>
      </c>
      <c r="D315" t="s">
        <v>100</v>
      </c>
      <c r="E315" t="s">
        <v>101</v>
      </c>
      <c r="F315">
        <v>0</v>
      </c>
    </row>
    <row r="316" spans="1:6" x14ac:dyDescent="0.2">
      <c r="A316" s="1">
        <v>44634</v>
      </c>
      <c r="B316" t="s">
        <v>37</v>
      </c>
      <c r="C316">
        <v>2</v>
      </c>
      <c r="D316" t="s">
        <v>103</v>
      </c>
      <c r="E316" t="s">
        <v>102</v>
      </c>
      <c r="F316">
        <v>0</v>
      </c>
    </row>
    <row r="317" spans="1:6" x14ac:dyDescent="0.2">
      <c r="A317" s="1">
        <v>44634</v>
      </c>
      <c r="B317" t="s">
        <v>57</v>
      </c>
      <c r="C317">
        <v>13</v>
      </c>
      <c r="D317" t="s">
        <v>103</v>
      </c>
      <c r="E317" t="s">
        <v>101</v>
      </c>
      <c r="F317">
        <v>0</v>
      </c>
    </row>
    <row r="318" spans="1:6" x14ac:dyDescent="0.2">
      <c r="A318" s="1">
        <v>44638</v>
      </c>
      <c r="B318" t="s">
        <v>43</v>
      </c>
      <c r="C318">
        <v>2</v>
      </c>
      <c r="D318" t="s">
        <v>101</v>
      </c>
      <c r="E318" t="s">
        <v>102</v>
      </c>
      <c r="F318">
        <v>0</v>
      </c>
    </row>
    <row r="319" spans="1:6" x14ac:dyDescent="0.2">
      <c r="A319" s="1">
        <v>44638</v>
      </c>
      <c r="B319" t="s">
        <v>59</v>
      </c>
      <c r="C319">
        <v>10</v>
      </c>
      <c r="D319" t="s">
        <v>103</v>
      </c>
      <c r="E319" t="s">
        <v>102</v>
      </c>
      <c r="F319">
        <v>0</v>
      </c>
    </row>
    <row r="320" spans="1:6" x14ac:dyDescent="0.2">
      <c r="A320" s="1">
        <v>44639</v>
      </c>
      <c r="B320" t="s">
        <v>87</v>
      </c>
      <c r="C320">
        <v>6</v>
      </c>
      <c r="D320" t="s">
        <v>100</v>
      </c>
      <c r="E320" t="s">
        <v>102</v>
      </c>
      <c r="F320">
        <v>0</v>
      </c>
    </row>
    <row r="321" spans="1:6" x14ac:dyDescent="0.2">
      <c r="A321" s="1">
        <v>44643</v>
      </c>
      <c r="B321" t="s">
        <v>69</v>
      </c>
      <c r="C321">
        <v>9</v>
      </c>
      <c r="D321" t="s">
        <v>103</v>
      </c>
      <c r="E321" t="s">
        <v>102</v>
      </c>
      <c r="F321">
        <v>0</v>
      </c>
    </row>
    <row r="322" spans="1:6" x14ac:dyDescent="0.2">
      <c r="A322" s="1">
        <v>44645</v>
      </c>
      <c r="B322" t="s">
        <v>6</v>
      </c>
      <c r="C322">
        <v>2</v>
      </c>
      <c r="D322" t="s">
        <v>100</v>
      </c>
      <c r="E322" t="s">
        <v>101</v>
      </c>
      <c r="F322">
        <v>0</v>
      </c>
    </row>
    <row r="323" spans="1:6" x14ac:dyDescent="0.2">
      <c r="A323" s="1">
        <v>44645</v>
      </c>
      <c r="B323" t="s">
        <v>65</v>
      </c>
      <c r="C323">
        <v>11</v>
      </c>
      <c r="D323" t="s">
        <v>103</v>
      </c>
      <c r="E323" t="s">
        <v>101</v>
      </c>
      <c r="F323">
        <v>0</v>
      </c>
    </row>
    <row r="324" spans="1:6" x14ac:dyDescent="0.2">
      <c r="A324" s="1">
        <v>44649</v>
      </c>
      <c r="B324" t="s">
        <v>69</v>
      </c>
      <c r="C324">
        <v>12</v>
      </c>
      <c r="D324" t="s">
        <v>101</v>
      </c>
      <c r="E324" t="s">
        <v>101</v>
      </c>
      <c r="F324">
        <v>0</v>
      </c>
    </row>
    <row r="325" spans="1:6" x14ac:dyDescent="0.2">
      <c r="A325" s="1">
        <v>44650</v>
      </c>
      <c r="B325" t="s">
        <v>6</v>
      </c>
      <c r="C325">
        <v>13</v>
      </c>
      <c r="D325" t="s">
        <v>101</v>
      </c>
      <c r="E325" t="s">
        <v>102</v>
      </c>
      <c r="F325">
        <v>0</v>
      </c>
    </row>
    <row r="326" spans="1:6" x14ac:dyDescent="0.2">
      <c r="A326" s="1">
        <v>44652</v>
      </c>
      <c r="B326" t="s">
        <v>9</v>
      </c>
      <c r="C326">
        <v>2</v>
      </c>
      <c r="D326" t="s">
        <v>101</v>
      </c>
      <c r="E326" t="s">
        <v>102</v>
      </c>
      <c r="F326">
        <v>0</v>
      </c>
    </row>
    <row r="327" spans="1:6" x14ac:dyDescent="0.2">
      <c r="A327" s="1">
        <v>44653</v>
      </c>
      <c r="B327" t="s">
        <v>9</v>
      </c>
      <c r="C327">
        <v>3</v>
      </c>
      <c r="D327" t="s">
        <v>103</v>
      </c>
      <c r="E327" t="s">
        <v>102</v>
      </c>
      <c r="F327">
        <v>0</v>
      </c>
    </row>
    <row r="328" spans="1:6" x14ac:dyDescent="0.2">
      <c r="A328" s="1">
        <v>44657</v>
      </c>
      <c r="B328" t="s">
        <v>85</v>
      </c>
      <c r="C328">
        <v>2</v>
      </c>
      <c r="D328" t="s">
        <v>100</v>
      </c>
      <c r="E328" t="s">
        <v>102</v>
      </c>
      <c r="F328">
        <v>0</v>
      </c>
    </row>
    <row r="329" spans="1:6" x14ac:dyDescent="0.2">
      <c r="A329" s="1">
        <v>44658</v>
      </c>
      <c r="B329" t="s">
        <v>57</v>
      </c>
      <c r="C329">
        <v>7</v>
      </c>
      <c r="D329" t="s">
        <v>103</v>
      </c>
      <c r="E329" t="s">
        <v>101</v>
      </c>
      <c r="F329">
        <v>0</v>
      </c>
    </row>
    <row r="330" spans="1:6" x14ac:dyDescent="0.2">
      <c r="A330" s="1">
        <v>44660</v>
      </c>
      <c r="B330" t="s">
        <v>83</v>
      </c>
      <c r="C330">
        <v>12</v>
      </c>
      <c r="D330" t="s">
        <v>100</v>
      </c>
      <c r="E330" t="s">
        <v>102</v>
      </c>
      <c r="F330">
        <v>0</v>
      </c>
    </row>
    <row r="331" spans="1:6" x14ac:dyDescent="0.2">
      <c r="A331" s="1">
        <v>44660</v>
      </c>
      <c r="B331" t="s">
        <v>9</v>
      </c>
      <c r="C331">
        <v>9</v>
      </c>
      <c r="D331" t="s">
        <v>101</v>
      </c>
      <c r="E331" t="s">
        <v>101</v>
      </c>
      <c r="F331">
        <v>0</v>
      </c>
    </row>
    <row r="332" spans="1:6" x14ac:dyDescent="0.2">
      <c r="A332" s="1">
        <v>44664</v>
      </c>
      <c r="B332" t="s">
        <v>37</v>
      </c>
      <c r="C332">
        <v>14</v>
      </c>
      <c r="D332" t="s">
        <v>100</v>
      </c>
      <c r="E332" t="s">
        <v>101</v>
      </c>
      <c r="F332">
        <v>0</v>
      </c>
    </row>
    <row r="333" spans="1:6" x14ac:dyDescent="0.2">
      <c r="A333" s="1">
        <v>44669</v>
      </c>
      <c r="B333" t="s">
        <v>87</v>
      </c>
      <c r="C333">
        <v>9</v>
      </c>
      <c r="D333" t="s">
        <v>103</v>
      </c>
      <c r="E333" t="s">
        <v>102</v>
      </c>
      <c r="F333">
        <v>0</v>
      </c>
    </row>
    <row r="334" spans="1:6" x14ac:dyDescent="0.2">
      <c r="A334" s="1">
        <v>44671</v>
      </c>
      <c r="B334" t="s">
        <v>41</v>
      </c>
      <c r="C334">
        <v>2</v>
      </c>
      <c r="D334" t="s">
        <v>100</v>
      </c>
      <c r="E334" t="s">
        <v>101</v>
      </c>
      <c r="F334">
        <v>0</v>
      </c>
    </row>
    <row r="335" spans="1:6" x14ac:dyDescent="0.2">
      <c r="A335" s="1">
        <v>44671</v>
      </c>
      <c r="B335" t="s">
        <v>29</v>
      </c>
      <c r="C335">
        <v>4</v>
      </c>
      <c r="D335" t="s">
        <v>103</v>
      </c>
      <c r="E335" t="s">
        <v>101</v>
      </c>
      <c r="F335">
        <v>0</v>
      </c>
    </row>
    <row r="336" spans="1:6" x14ac:dyDescent="0.2">
      <c r="A336" s="1">
        <v>44672</v>
      </c>
      <c r="B336" t="s">
        <v>65</v>
      </c>
      <c r="C336">
        <v>2</v>
      </c>
      <c r="D336" t="s">
        <v>103</v>
      </c>
      <c r="E336" t="s">
        <v>102</v>
      </c>
      <c r="F336">
        <v>0</v>
      </c>
    </row>
    <row r="337" spans="1:6" x14ac:dyDescent="0.2">
      <c r="A337" s="1">
        <v>44672</v>
      </c>
      <c r="B337" t="s">
        <v>57</v>
      </c>
      <c r="C337">
        <v>14</v>
      </c>
      <c r="D337" t="s">
        <v>101</v>
      </c>
      <c r="E337" t="s">
        <v>101</v>
      </c>
      <c r="F337">
        <v>0</v>
      </c>
    </row>
    <row r="338" spans="1:6" x14ac:dyDescent="0.2">
      <c r="A338" s="1">
        <v>44674</v>
      </c>
      <c r="B338" t="s">
        <v>93</v>
      </c>
      <c r="C338">
        <v>15</v>
      </c>
      <c r="D338" t="s">
        <v>101</v>
      </c>
      <c r="E338" t="s">
        <v>101</v>
      </c>
      <c r="F338">
        <v>0</v>
      </c>
    </row>
    <row r="339" spans="1:6" x14ac:dyDescent="0.2">
      <c r="A339" s="1">
        <v>44675</v>
      </c>
      <c r="B339" t="s">
        <v>73</v>
      </c>
      <c r="C339">
        <v>4</v>
      </c>
      <c r="D339" t="s">
        <v>103</v>
      </c>
      <c r="E339" t="s">
        <v>101</v>
      </c>
      <c r="F339">
        <v>0</v>
      </c>
    </row>
    <row r="340" spans="1:6" x14ac:dyDescent="0.2">
      <c r="A340" s="1">
        <v>44676</v>
      </c>
      <c r="B340" t="s">
        <v>13</v>
      </c>
      <c r="C340">
        <v>9</v>
      </c>
      <c r="D340" t="s">
        <v>103</v>
      </c>
      <c r="E340" t="s">
        <v>102</v>
      </c>
      <c r="F340">
        <v>0</v>
      </c>
    </row>
    <row r="341" spans="1:6" x14ac:dyDescent="0.2">
      <c r="A341" s="1">
        <v>44676</v>
      </c>
      <c r="B341" t="s">
        <v>11</v>
      </c>
      <c r="C341">
        <v>8</v>
      </c>
      <c r="D341" t="s">
        <v>101</v>
      </c>
      <c r="E341" t="s">
        <v>101</v>
      </c>
      <c r="F341">
        <v>0</v>
      </c>
    </row>
    <row r="342" spans="1:6" x14ac:dyDescent="0.2">
      <c r="A342" s="1">
        <v>44677</v>
      </c>
      <c r="B342" t="s">
        <v>59</v>
      </c>
      <c r="C342">
        <v>2</v>
      </c>
      <c r="D342" t="s">
        <v>103</v>
      </c>
      <c r="E342" t="s">
        <v>102</v>
      </c>
      <c r="F342">
        <v>0</v>
      </c>
    </row>
    <row r="343" spans="1:6" x14ac:dyDescent="0.2">
      <c r="A343" s="1">
        <v>44679</v>
      </c>
      <c r="B343" t="s">
        <v>33</v>
      </c>
      <c r="C343">
        <v>14</v>
      </c>
      <c r="D343" t="s">
        <v>103</v>
      </c>
      <c r="E343" t="s">
        <v>102</v>
      </c>
      <c r="F343">
        <v>0</v>
      </c>
    </row>
    <row r="344" spans="1:6" x14ac:dyDescent="0.2">
      <c r="A344" s="1">
        <v>44681</v>
      </c>
      <c r="B344" t="s">
        <v>37</v>
      </c>
      <c r="C344">
        <v>13</v>
      </c>
      <c r="D344" t="s">
        <v>101</v>
      </c>
      <c r="E344" t="s">
        <v>101</v>
      </c>
      <c r="F344">
        <v>0</v>
      </c>
    </row>
    <row r="345" spans="1:6" x14ac:dyDescent="0.2">
      <c r="A345" s="1">
        <v>44681</v>
      </c>
      <c r="B345" t="s">
        <v>59</v>
      </c>
      <c r="C345">
        <v>8</v>
      </c>
      <c r="D345" t="s">
        <v>103</v>
      </c>
      <c r="E345" t="s">
        <v>101</v>
      </c>
      <c r="F345">
        <v>0</v>
      </c>
    </row>
    <row r="346" spans="1:6" x14ac:dyDescent="0.2">
      <c r="A346" s="1">
        <v>44682</v>
      </c>
      <c r="B346" t="s">
        <v>73</v>
      </c>
      <c r="C346">
        <v>9</v>
      </c>
      <c r="D346" t="s">
        <v>100</v>
      </c>
      <c r="E346" t="s">
        <v>101</v>
      </c>
      <c r="F346">
        <v>0</v>
      </c>
    </row>
    <row r="347" spans="1:6" x14ac:dyDescent="0.2">
      <c r="A347" s="1">
        <v>44682</v>
      </c>
      <c r="B347" t="s">
        <v>71</v>
      </c>
      <c r="C347">
        <v>6</v>
      </c>
      <c r="D347" t="s">
        <v>101</v>
      </c>
      <c r="E347" t="s">
        <v>101</v>
      </c>
      <c r="F347">
        <v>0</v>
      </c>
    </row>
    <row r="348" spans="1:6" x14ac:dyDescent="0.2">
      <c r="A348" s="1">
        <v>44683</v>
      </c>
      <c r="B348" t="s">
        <v>31</v>
      </c>
      <c r="C348">
        <v>4</v>
      </c>
      <c r="D348" t="s">
        <v>101</v>
      </c>
      <c r="E348" t="s">
        <v>102</v>
      </c>
      <c r="F348">
        <v>0</v>
      </c>
    </row>
    <row r="349" spans="1:6" x14ac:dyDescent="0.2">
      <c r="A349" s="1">
        <v>44685</v>
      </c>
      <c r="B349" t="s">
        <v>45</v>
      </c>
      <c r="C349">
        <v>10</v>
      </c>
      <c r="D349" t="s">
        <v>103</v>
      </c>
      <c r="E349" t="s">
        <v>101</v>
      </c>
      <c r="F349">
        <v>0</v>
      </c>
    </row>
    <row r="350" spans="1:6" x14ac:dyDescent="0.2">
      <c r="A350" s="1">
        <v>44687</v>
      </c>
      <c r="B350" t="s">
        <v>73</v>
      </c>
      <c r="C350">
        <v>7</v>
      </c>
      <c r="D350" t="s">
        <v>103</v>
      </c>
      <c r="E350" t="s">
        <v>101</v>
      </c>
      <c r="F350">
        <v>0</v>
      </c>
    </row>
    <row r="351" spans="1:6" x14ac:dyDescent="0.2">
      <c r="A351" s="1">
        <v>44688</v>
      </c>
      <c r="B351" t="s">
        <v>35</v>
      </c>
      <c r="C351">
        <v>4</v>
      </c>
      <c r="D351" t="s">
        <v>101</v>
      </c>
      <c r="E351" t="s">
        <v>102</v>
      </c>
      <c r="F351">
        <v>0</v>
      </c>
    </row>
    <row r="352" spans="1:6" x14ac:dyDescent="0.2">
      <c r="A352" s="1">
        <v>44688</v>
      </c>
      <c r="B352" t="s">
        <v>59</v>
      </c>
      <c r="C352">
        <v>1</v>
      </c>
      <c r="D352" t="s">
        <v>101</v>
      </c>
      <c r="E352" t="s">
        <v>101</v>
      </c>
      <c r="F352">
        <v>0</v>
      </c>
    </row>
    <row r="353" spans="1:6" x14ac:dyDescent="0.2">
      <c r="A353" s="1">
        <v>44689</v>
      </c>
      <c r="B353" t="s">
        <v>49</v>
      </c>
      <c r="C353">
        <v>7</v>
      </c>
      <c r="D353" t="s">
        <v>101</v>
      </c>
      <c r="E353" t="s">
        <v>101</v>
      </c>
      <c r="F353">
        <v>0</v>
      </c>
    </row>
    <row r="354" spans="1:6" x14ac:dyDescent="0.2">
      <c r="A354" s="1">
        <v>44690</v>
      </c>
      <c r="B354" t="s">
        <v>39</v>
      </c>
      <c r="C354">
        <v>12</v>
      </c>
      <c r="D354" t="s">
        <v>100</v>
      </c>
      <c r="E354" t="s">
        <v>102</v>
      </c>
      <c r="F354">
        <v>0</v>
      </c>
    </row>
    <row r="355" spans="1:6" x14ac:dyDescent="0.2">
      <c r="A355" s="1">
        <v>44691</v>
      </c>
      <c r="B355" t="s">
        <v>23</v>
      </c>
      <c r="C355">
        <v>6</v>
      </c>
      <c r="D355" t="s">
        <v>103</v>
      </c>
      <c r="E355" t="s">
        <v>101</v>
      </c>
      <c r="F355">
        <v>0</v>
      </c>
    </row>
    <row r="356" spans="1:6" x14ac:dyDescent="0.2">
      <c r="A356" s="1">
        <v>44693</v>
      </c>
      <c r="B356" t="s">
        <v>27</v>
      </c>
      <c r="C356">
        <v>7</v>
      </c>
      <c r="D356" t="s">
        <v>101</v>
      </c>
      <c r="E356" t="s">
        <v>102</v>
      </c>
      <c r="F356">
        <v>0</v>
      </c>
    </row>
    <row r="357" spans="1:6" x14ac:dyDescent="0.2">
      <c r="A357" s="1">
        <v>44694</v>
      </c>
      <c r="B357" t="s">
        <v>29</v>
      </c>
      <c r="C357">
        <v>5</v>
      </c>
      <c r="D357" t="s">
        <v>103</v>
      </c>
      <c r="E357" t="s">
        <v>101</v>
      </c>
      <c r="F357">
        <v>0</v>
      </c>
    </row>
    <row r="358" spans="1:6" x14ac:dyDescent="0.2">
      <c r="A358" s="1">
        <v>44695</v>
      </c>
      <c r="B358" t="s">
        <v>21</v>
      </c>
      <c r="C358">
        <v>14</v>
      </c>
      <c r="D358" t="s">
        <v>103</v>
      </c>
      <c r="E358" t="s">
        <v>102</v>
      </c>
      <c r="F358">
        <v>0</v>
      </c>
    </row>
    <row r="359" spans="1:6" x14ac:dyDescent="0.2">
      <c r="A359" s="1">
        <v>44696</v>
      </c>
      <c r="B359" t="s">
        <v>45</v>
      </c>
      <c r="C359">
        <v>5</v>
      </c>
      <c r="D359" t="s">
        <v>101</v>
      </c>
      <c r="E359" t="s">
        <v>101</v>
      </c>
      <c r="F359">
        <v>0</v>
      </c>
    </row>
    <row r="360" spans="1:6" x14ac:dyDescent="0.2">
      <c r="A360" s="1">
        <v>44697</v>
      </c>
      <c r="B360" t="s">
        <v>25</v>
      </c>
      <c r="C360">
        <v>13</v>
      </c>
      <c r="D360" t="s">
        <v>103</v>
      </c>
      <c r="E360" t="s">
        <v>102</v>
      </c>
      <c r="F360">
        <v>0</v>
      </c>
    </row>
    <row r="361" spans="1:6" x14ac:dyDescent="0.2">
      <c r="A361" s="1">
        <v>44697</v>
      </c>
      <c r="B361" t="s">
        <v>67</v>
      </c>
      <c r="C361">
        <v>13</v>
      </c>
      <c r="D361" t="s">
        <v>101</v>
      </c>
      <c r="E361" t="s">
        <v>101</v>
      </c>
      <c r="F361">
        <v>0</v>
      </c>
    </row>
    <row r="362" spans="1:6" x14ac:dyDescent="0.2">
      <c r="A362" s="1">
        <v>44698</v>
      </c>
      <c r="B362" t="s">
        <v>59</v>
      </c>
      <c r="C362">
        <v>8</v>
      </c>
      <c r="D362" t="s">
        <v>103</v>
      </c>
      <c r="E362" t="s">
        <v>102</v>
      </c>
      <c r="F362">
        <v>0</v>
      </c>
    </row>
    <row r="363" spans="1:6" x14ac:dyDescent="0.2">
      <c r="A363" s="1">
        <v>44699</v>
      </c>
      <c r="B363" t="s">
        <v>59</v>
      </c>
      <c r="C363">
        <v>4</v>
      </c>
      <c r="D363" t="s">
        <v>100</v>
      </c>
      <c r="E363" t="s">
        <v>101</v>
      </c>
      <c r="F363">
        <v>0</v>
      </c>
    </row>
    <row r="364" spans="1:6" x14ac:dyDescent="0.2">
      <c r="A364" s="1">
        <v>44699</v>
      </c>
      <c r="B364" t="s">
        <v>81</v>
      </c>
      <c r="C364">
        <v>8</v>
      </c>
      <c r="D364" t="s">
        <v>100</v>
      </c>
      <c r="E364" t="s">
        <v>101</v>
      </c>
      <c r="F364">
        <v>0</v>
      </c>
    </row>
    <row r="365" spans="1:6" x14ac:dyDescent="0.2">
      <c r="A365" s="1">
        <v>44701</v>
      </c>
      <c r="B365" t="s">
        <v>93</v>
      </c>
      <c r="C365">
        <v>15</v>
      </c>
      <c r="D365" t="s">
        <v>101</v>
      </c>
      <c r="E365" t="s">
        <v>102</v>
      </c>
      <c r="F365">
        <v>0</v>
      </c>
    </row>
    <row r="366" spans="1:6" x14ac:dyDescent="0.2">
      <c r="A366" s="1">
        <v>44703</v>
      </c>
      <c r="B366" t="s">
        <v>35</v>
      </c>
      <c r="C366">
        <v>12</v>
      </c>
      <c r="D366" t="s">
        <v>103</v>
      </c>
      <c r="E366" t="s">
        <v>101</v>
      </c>
      <c r="F366">
        <v>0</v>
      </c>
    </row>
    <row r="367" spans="1:6" x14ac:dyDescent="0.2">
      <c r="A367" s="1">
        <v>44706</v>
      </c>
      <c r="B367" t="s">
        <v>9</v>
      </c>
      <c r="C367">
        <v>7</v>
      </c>
      <c r="D367" t="s">
        <v>101</v>
      </c>
      <c r="E367" t="s">
        <v>101</v>
      </c>
      <c r="F367">
        <v>0</v>
      </c>
    </row>
    <row r="368" spans="1:6" x14ac:dyDescent="0.2">
      <c r="A368" s="1">
        <v>44707</v>
      </c>
      <c r="B368" t="s">
        <v>61</v>
      </c>
      <c r="C368">
        <v>2</v>
      </c>
      <c r="D368" t="s">
        <v>103</v>
      </c>
      <c r="E368" t="s">
        <v>101</v>
      </c>
      <c r="F368">
        <v>0</v>
      </c>
    </row>
    <row r="369" spans="1:6" x14ac:dyDescent="0.2">
      <c r="A369" s="1">
        <v>44707</v>
      </c>
      <c r="B369" t="s">
        <v>59</v>
      </c>
      <c r="C369">
        <v>2</v>
      </c>
      <c r="D369" t="s">
        <v>101</v>
      </c>
      <c r="E369" t="s">
        <v>101</v>
      </c>
      <c r="F369">
        <v>0</v>
      </c>
    </row>
    <row r="370" spans="1:6" x14ac:dyDescent="0.2">
      <c r="A370" s="1">
        <v>44709</v>
      </c>
      <c r="B370" t="s">
        <v>87</v>
      </c>
      <c r="C370">
        <v>10</v>
      </c>
      <c r="D370" t="s">
        <v>100</v>
      </c>
      <c r="E370" t="s">
        <v>102</v>
      </c>
      <c r="F370">
        <v>0</v>
      </c>
    </row>
    <row r="371" spans="1:6" x14ac:dyDescent="0.2">
      <c r="A371" s="1">
        <v>44709</v>
      </c>
      <c r="B371" t="s">
        <v>21</v>
      </c>
      <c r="C371">
        <v>5</v>
      </c>
      <c r="D371" t="s">
        <v>100</v>
      </c>
      <c r="E371" t="s">
        <v>101</v>
      </c>
      <c r="F371">
        <v>0</v>
      </c>
    </row>
    <row r="372" spans="1:6" x14ac:dyDescent="0.2">
      <c r="A372" s="1">
        <v>44709</v>
      </c>
      <c r="B372" t="s">
        <v>25</v>
      </c>
      <c r="C372">
        <v>9</v>
      </c>
      <c r="D372" t="s">
        <v>101</v>
      </c>
      <c r="E372" t="s">
        <v>102</v>
      </c>
      <c r="F372">
        <v>0</v>
      </c>
    </row>
    <row r="373" spans="1:6" x14ac:dyDescent="0.2">
      <c r="A373" s="1">
        <v>44709</v>
      </c>
      <c r="B373" t="s">
        <v>13</v>
      </c>
      <c r="C373">
        <v>12</v>
      </c>
      <c r="D373" t="s">
        <v>101</v>
      </c>
      <c r="E373" t="s">
        <v>101</v>
      </c>
      <c r="F373">
        <v>0</v>
      </c>
    </row>
    <row r="374" spans="1:6" x14ac:dyDescent="0.2">
      <c r="A374" s="1">
        <v>44709</v>
      </c>
      <c r="B374" t="s">
        <v>45</v>
      </c>
      <c r="C374">
        <v>14</v>
      </c>
      <c r="D374" t="s">
        <v>103</v>
      </c>
      <c r="E374" t="s">
        <v>102</v>
      </c>
      <c r="F374">
        <v>0</v>
      </c>
    </row>
    <row r="375" spans="1:6" x14ac:dyDescent="0.2">
      <c r="A375" s="1">
        <v>44711</v>
      </c>
      <c r="B375" t="s">
        <v>93</v>
      </c>
      <c r="C375">
        <v>9</v>
      </c>
      <c r="D375" t="s">
        <v>103</v>
      </c>
      <c r="E375" t="s">
        <v>101</v>
      </c>
      <c r="F375">
        <v>0</v>
      </c>
    </row>
    <row r="376" spans="1:6" x14ac:dyDescent="0.2">
      <c r="A376" s="1">
        <v>44711</v>
      </c>
      <c r="B376" t="s">
        <v>15</v>
      </c>
      <c r="C376">
        <v>4</v>
      </c>
      <c r="D376" t="s">
        <v>100</v>
      </c>
      <c r="E376" t="s">
        <v>102</v>
      </c>
      <c r="F376">
        <v>0</v>
      </c>
    </row>
    <row r="377" spans="1:6" x14ac:dyDescent="0.2">
      <c r="A377" s="1">
        <v>44711</v>
      </c>
      <c r="B377" t="s">
        <v>71</v>
      </c>
      <c r="C377">
        <v>3</v>
      </c>
      <c r="D377" t="s">
        <v>101</v>
      </c>
      <c r="E377" t="s">
        <v>102</v>
      </c>
      <c r="F377">
        <v>0</v>
      </c>
    </row>
    <row r="378" spans="1:6" x14ac:dyDescent="0.2">
      <c r="A378" s="1">
        <v>44715</v>
      </c>
      <c r="B378" t="s">
        <v>21</v>
      </c>
      <c r="C378">
        <v>14</v>
      </c>
      <c r="D378" t="s">
        <v>101</v>
      </c>
      <c r="E378" t="s">
        <v>101</v>
      </c>
      <c r="F378">
        <v>0</v>
      </c>
    </row>
    <row r="379" spans="1:6" x14ac:dyDescent="0.2">
      <c r="A379" s="1">
        <v>44722</v>
      </c>
      <c r="B379" t="s">
        <v>61</v>
      </c>
      <c r="C379">
        <v>8</v>
      </c>
      <c r="D379" t="s">
        <v>100</v>
      </c>
      <c r="E379" t="s">
        <v>101</v>
      </c>
      <c r="F379">
        <v>0</v>
      </c>
    </row>
    <row r="380" spans="1:6" x14ac:dyDescent="0.2">
      <c r="A380" s="1">
        <v>44723</v>
      </c>
      <c r="B380" t="s">
        <v>83</v>
      </c>
      <c r="C380">
        <v>13</v>
      </c>
      <c r="D380" t="s">
        <v>101</v>
      </c>
      <c r="E380" t="s">
        <v>102</v>
      </c>
      <c r="F380">
        <v>0</v>
      </c>
    </row>
    <row r="381" spans="1:6" x14ac:dyDescent="0.2">
      <c r="A381" s="1">
        <v>44723</v>
      </c>
      <c r="B381" t="s">
        <v>47</v>
      </c>
      <c r="C381">
        <v>6</v>
      </c>
      <c r="D381" t="s">
        <v>103</v>
      </c>
      <c r="E381" t="s">
        <v>101</v>
      </c>
      <c r="F381">
        <v>0</v>
      </c>
    </row>
    <row r="382" spans="1:6" x14ac:dyDescent="0.2">
      <c r="A382" s="1">
        <v>44725</v>
      </c>
      <c r="B382" t="s">
        <v>57</v>
      </c>
      <c r="C382">
        <v>6</v>
      </c>
      <c r="D382" t="s">
        <v>103</v>
      </c>
      <c r="E382" t="s">
        <v>102</v>
      </c>
      <c r="F382">
        <v>0</v>
      </c>
    </row>
    <row r="383" spans="1:6" x14ac:dyDescent="0.2">
      <c r="A383" s="1">
        <v>44727</v>
      </c>
      <c r="B383" t="s">
        <v>89</v>
      </c>
      <c r="C383">
        <v>15</v>
      </c>
      <c r="D383" t="s">
        <v>100</v>
      </c>
      <c r="E383" t="s">
        <v>101</v>
      </c>
      <c r="F383">
        <v>0</v>
      </c>
    </row>
    <row r="384" spans="1:6" x14ac:dyDescent="0.2">
      <c r="A384" s="1">
        <v>44728</v>
      </c>
      <c r="B384" t="s">
        <v>63</v>
      </c>
      <c r="C384">
        <v>15</v>
      </c>
      <c r="D384" t="s">
        <v>101</v>
      </c>
      <c r="E384" t="s">
        <v>102</v>
      </c>
      <c r="F384">
        <v>0</v>
      </c>
    </row>
    <row r="385" spans="1:6" x14ac:dyDescent="0.2">
      <c r="A385" s="1">
        <v>44731</v>
      </c>
      <c r="B385" t="s">
        <v>9</v>
      </c>
      <c r="C385">
        <v>8</v>
      </c>
      <c r="D385" t="s">
        <v>103</v>
      </c>
      <c r="E385" t="s">
        <v>102</v>
      </c>
      <c r="F385">
        <v>0</v>
      </c>
    </row>
    <row r="386" spans="1:6" x14ac:dyDescent="0.2">
      <c r="A386" s="1">
        <v>44733</v>
      </c>
      <c r="B386" t="s">
        <v>39</v>
      </c>
      <c r="C386">
        <v>14</v>
      </c>
      <c r="D386" t="s">
        <v>103</v>
      </c>
      <c r="E386" t="s">
        <v>102</v>
      </c>
      <c r="F386">
        <v>0</v>
      </c>
    </row>
    <row r="387" spans="1:6" x14ac:dyDescent="0.2">
      <c r="A387" s="1">
        <v>44734</v>
      </c>
      <c r="B387" t="s">
        <v>85</v>
      </c>
      <c r="C387">
        <v>10</v>
      </c>
      <c r="D387" t="s">
        <v>101</v>
      </c>
      <c r="E387" t="s">
        <v>102</v>
      </c>
      <c r="F387">
        <v>0</v>
      </c>
    </row>
    <row r="388" spans="1:6" x14ac:dyDescent="0.2">
      <c r="A388" s="1">
        <v>44734</v>
      </c>
      <c r="B388" t="s">
        <v>6</v>
      </c>
      <c r="C388">
        <v>4</v>
      </c>
      <c r="D388" t="s">
        <v>103</v>
      </c>
      <c r="E388" t="s">
        <v>102</v>
      </c>
      <c r="F388">
        <v>0</v>
      </c>
    </row>
    <row r="389" spans="1:6" x14ac:dyDescent="0.2">
      <c r="A389" s="1">
        <v>44735</v>
      </c>
      <c r="B389" t="s">
        <v>13</v>
      </c>
      <c r="C389">
        <v>8</v>
      </c>
      <c r="D389" t="s">
        <v>103</v>
      </c>
      <c r="E389" t="s">
        <v>101</v>
      </c>
      <c r="F389">
        <v>0</v>
      </c>
    </row>
    <row r="390" spans="1:6" x14ac:dyDescent="0.2">
      <c r="A390" s="1">
        <v>44736</v>
      </c>
      <c r="B390" t="s">
        <v>41</v>
      </c>
      <c r="C390">
        <v>7</v>
      </c>
      <c r="D390" t="s">
        <v>103</v>
      </c>
      <c r="E390" t="s">
        <v>102</v>
      </c>
      <c r="F390">
        <v>0</v>
      </c>
    </row>
    <row r="391" spans="1:6" x14ac:dyDescent="0.2">
      <c r="A391" s="1">
        <v>44737</v>
      </c>
      <c r="B391" t="s">
        <v>29</v>
      </c>
      <c r="C391">
        <v>7</v>
      </c>
      <c r="D391" t="s">
        <v>101</v>
      </c>
      <c r="E391" t="s">
        <v>101</v>
      </c>
      <c r="F391">
        <v>0</v>
      </c>
    </row>
    <row r="392" spans="1:6" x14ac:dyDescent="0.2">
      <c r="A392" s="1">
        <v>44738</v>
      </c>
      <c r="B392" t="s">
        <v>73</v>
      </c>
      <c r="C392">
        <v>4</v>
      </c>
      <c r="D392" t="s">
        <v>103</v>
      </c>
      <c r="E392" t="s">
        <v>102</v>
      </c>
      <c r="F392">
        <v>0</v>
      </c>
    </row>
    <row r="393" spans="1:6" x14ac:dyDescent="0.2">
      <c r="A393" s="1">
        <v>44738</v>
      </c>
      <c r="B393" t="s">
        <v>91</v>
      </c>
      <c r="C393">
        <v>12</v>
      </c>
      <c r="D393" t="s">
        <v>103</v>
      </c>
      <c r="E393" t="s">
        <v>101</v>
      </c>
      <c r="F393">
        <v>0</v>
      </c>
    </row>
    <row r="394" spans="1:6" x14ac:dyDescent="0.2">
      <c r="A394" s="1">
        <v>44745</v>
      </c>
      <c r="B394" t="s">
        <v>71</v>
      </c>
      <c r="C394">
        <v>15</v>
      </c>
      <c r="D394" t="s">
        <v>103</v>
      </c>
      <c r="E394" t="s">
        <v>102</v>
      </c>
      <c r="F394">
        <v>0</v>
      </c>
    </row>
    <row r="395" spans="1:6" x14ac:dyDescent="0.2">
      <c r="A395" s="1">
        <v>44746</v>
      </c>
      <c r="B395" t="s">
        <v>19</v>
      </c>
      <c r="C395">
        <v>7</v>
      </c>
      <c r="D395" t="s">
        <v>103</v>
      </c>
      <c r="E395" t="s">
        <v>101</v>
      </c>
      <c r="F395">
        <v>0</v>
      </c>
    </row>
    <row r="396" spans="1:6" x14ac:dyDescent="0.2">
      <c r="A396" s="1">
        <v>44747</v>
      </c>
      <c r="B396" t="s">
        <v>55</v>
      </c>
      <c r="C396">
        <v>7</v>
      </c>
      <c r="D396" t="s">
        <v>101</v>
      </c>
      <c r="E396" t="s">
        <v>102</v>
      </c>
      <c r="F396">
        <v>0</v>
      </c>
    </row>
    <row r="397" spans="1:6" x14ac:dyDescent="0.2">
      <c r="A397" s="1">
        <v>44747</v>
      </c>
      <c r="B397" t="s">
        <v>35</v>
      </c>
      <c r="C397">
        <v>8</v>
      </c>
      <c r="D397" t="s">
        <v>103</v>
      </c>
      <c r="E397" t="s">
        <v>101</v>
      </c>
      <c r="F397">
        <v>0</v>
      </c>
    </row>
    <row r="398" spans="1:6" x14ac:dyDescent="0.2">
      <c r="A398" s="1">
        <v>44748</v>
      </c>
      <c r="B398" t="s">
        <v>87</v>
      </c>
      <c r="C398">
        <v>2</v>
      </c>
      <c r="D398" t="s">
        <v>103</v>
      </c>
      <c r="E398" t="s">
        <v>102</v>
      </c>
      <c r="F398">
        <v>0</v>
      </c>
    </row>
    <row r="399" spans="1:6" x14ac:dyDescent="0.2">
      <c r="A399" s="1">
        <v>44750</v>
      </c>
      <c r="B399" t="s">
        <v>41</v>
      </c>
      <c r="C399">
        <v>2</v>
      </c>
      <c r="D399" t="s">
        <v>103</v>
      </c>
      <c r="E399" t="s">
        <v>101</v>
      </c>
      <c r="F399">
        <v>0</v>
      </c>
    </row>
    <row r="400" spans="1:6" x14ac:dyDescent="0.2">
      <c r="A400" s="1">
        <v>44752</v>
      </c>
      <c r="B400" t="s">
        <v>69</v>
      </c>
      <c r="C400">
        <v>12</v>
      </c>
      <c r="D400" t="s">
        <v>101</v>
      </c>
      <c r="E400" t="s">
        <v>102</v>
      </c>
      <c r="F400">
        <v>0</v>
      </c>
    </row>
    <row r="401" spans="1:6" x14ac:dyDescent="0.2">
      <c r="A401" s="1">
        <v>44754</v>
      </c>
      <c r="B401" t="s">
        <v>61</v>
      </c>
      <c r="C401">
        <v>12</v>
      </c>
      <c r="D401" t="s">
        <v>103</v>
      </c>
      <c r="E401" t="s">
        <v>102</v>
      </c>
      <c r="F401">
        <v>0</v>
      </c>
    </row>
    <row r="402" spans="1:6" x14ac:dyDescent="0.2">
      <c r="A402" s="1">
        <v>44755</v>
      </c>
      <c r="B402" t="s">
        <v>55</v>
      </c>
      <c r="C402">
        <v>7</v>
      </c>
      <c r="D402" t="s">
        <v>103</v>
      </c>
      <c r="E402" t="s">
        <v>101</v>
      </c>
      <c r="F402">
        <v>0</v>
      </c>
    </row>
    <row r="403" spans="1:6" x14ac:dyDescent="0.2">
      <c r="A403" s="1">
        <v>44756</v>
      </c>
      <c r="B403" t="s">
        <v>71</v>
      </c>
      <c r="C403">
        <v>9</v>
      </c>
      <c r="D403" t="s">
        <v>103</v>
      </c>
      <c r="E403" t="s">
        <v>101</v>
      </c>
      <c r="F403">
        <v>0</v>
      </c>
    </row>
    <row r="404" spans="1:6" x14ac:dyDescent="0.2">
      <c r="A404" s="1">
        <v>44757</v>
      </c>
      <c r="B404" t="s">
        <v>13</v>
      </c>
      <c r="C404">
        <v>2</v>
      </c>
      <c r="D404" t="s">
        <v>101</v>
      </c>
      <c r="E404" t="s">
        <v>101</v>
      </c>
      <c r="F404">
        <v>0</v>
      </c>
    </row>
    <row r="405" spans="1:6" x14ac:dyDescent="0.2">
      <c r="A405" s="1">
        <v>44759</v>
      </c>
      <c r="B405" t="s">
        <v>87</v>
      </c>
      <c r="C405">
        <v>8</v>
      </c>
      <c r="D405" t="s">
        <v>101</v>
      </c>
      <c r="E405" t="s">
        <v>102</v>
      </c>
      <c r="F405">
        <v>0</v>
      </c>
    </row>
    <row r="406" spans="1:6" x14ac:dyDescent="0.2">
      <c r="A406" s="1">
        <v>44760</v>
      </c>
      <c r="B406" t="s">
        <v>25</v>
      </c>
      <c r="C406">
        <v>12</v>
      </c>
      <c r="D406" t="s">
        <v>103</v>
      </c>
      <c r="E406" t="s">
        <v>101</v>
      </c>
      <c r="F406">
        <v>0</v>
      </c>
    </row>
    <row r="407" spans="1:6" x14ac:dyDescent="0.2">
      <c r="A407" s="1">
        <v>44762</v>
      </c>
      <c r="B407" t="s">
        <v>89</v>
      </c>
      <c r="C407">
        <v>8</v>
      </c>
      <c r="D407" t="s">
        <v>100</v>
      </c>
      <c r="E407" t="s">
        <v>101</v>
      </c>
      <c r="F407">
        <v>0</v>
      </c>
    </row>
    <row r="408" spans="1:6" x14ac:dyDescent="0.2">
      <c r="A408" s="1">
        <v>44764</v>
      </c>
      <c r="B408" t="s">
        <v>73</v>
      </c>
      <c r="C408">
        <v>6</v>
      </c>
      <c r="D408" t="s">
        <v>103</v>
      </c>
      <c r="E408" t="s">
        <v>102</v>
      </c>
      <c r="F408">
        <v>0</v>
      </c>
    </row>
    <row r="409" spans="1:6" x14ac:dyDescent="0.2">
      <c r="A409" s="1">
        <v>44765</v>
      </c>
      <c r="B409" t="s">
        <v>41</v>
      </c>
      <c r="C409">
        <v>2</v>
      </c>
      <c r="D409" t="s">
        <v>101</v>
      </c>
      <c r="E409" t="s">
        <v>101</v>
      </c>
      <c r="F409">
        <v>0</v>
      </c>
    </row>
    <row r="410" spans="1:6" x14ac:dyDescent="0.2">
      <c r="A410" s="1">
        <v>44766</v>
      </c>
      <c r="B410" t="s">
        <v>17</v>
      </c>
      <c r="C410">
        <v>14</v>
      </c>
      <c r="D410" t="s">
        <v>103</v>
      </c>
      <c r="E410" t="s">
        <v>102</v>
      </c>
      <c r="F410">
        <v>0</v>
      </c>
    </row>
    <row r="411" spans="1:6" x14ac:dyDescent="0.2">
      <c r="A411" s="1">
        <v>44766</v>
      </c>
      <c r="B411" t="s">
        <v>59</v>
      </c>
      <c r="C411">
        <v>1</v>
      </c>
      <c r="D411" t="s">
        <v>101</v>
      </c>
      <c r="E411" t="s">
        <v>101</v>
      </c>
      <c r="F411">
        <v>0</v>
      </c>
    </row>
    <row r="412" spans="1:6" x14ac:dyDescent="0.2">
      <c r="A412" s="1">
        <v>44767</v>
      </c>
      <c r="B412" t="s">
        <v>93</v>
      </c>
      <c r="C412">
        <v>2</v>
      </c>
      <c r="D412" t="s">
        <v>103</v>
      </c>
      <c r="E412" t="s">
        <v>102</v>
      </c>
      <c r="F412">
        <v>0</v>
      </c>
    </row>
    <row r="413" spans="1:6" x14ac:dyDescent="0.2">
      <c r="A413" s="1">
        <v>44767</v>
      </c>
      <c r="B413" t="s">
        <v>39</v>
      </c>
      <c r="C413">
        <v>12</v>
      </c>
      <c r="D413" t="s">
        <v>103</v>
      </c>
      <c r="E413" t="s">
        <v>102</v>
      </c>
      <c r="F413">
        <v>0</v>
      </c>
    </row>
    <row r="414" spans="1:6" x14ac:dyDescent="0.2">
      <c r="A414" s="1">
        <v>44767</v>
      </c>
      <c r="B414" t="s">
        <v>11</v>
      </c>
      <c r="C414">
        <v>13</v>
      </c>
      <c r="D414" t="s">
        <v>101</v>
      </c>
      <c r="E414" t="s">
        <v>102</v>
      </c>
      <c r="F414">
        <v>0</v>
      </c>
    </row>
    <row r="415" spans="1:6" x14ac:dyDescent="0.2">
      <c r="A415" s="1">
        <v>44768</v>
      </c>
      <c r="B415" t="s">
        <v>11</v>
      </c>
      <c r="C415">
        <v>10</v>
      </c>
      <c r="D415" t="s">
        <v>101</v>
      </c>
      <c r="E415" t="s">
        <v>101</v>
      </c>
      <c r="F415">
        <v>0</v>
      </c>
    </row>
    <row r="416" spans="1:6" x14ac:dyDescent="0.2">
      <c r="A416" s="1">
        <v>44768</v>
      </c>
      <c r="B416" t="s">
        <v>57</v>
      </c>
      <c r="C416">
        <v>1</v>
      </c>
      <c r="D416" t="s">
        <v>101</v>
      </c>
      <c r="E416" t="s">
        <v>102</v>
      </c>
      <c r="F416">
        <v>0</v>
      </c>
    </row>
    <row r="417" spans="1:6" x14ac:dyDescent="0.2">
      <c r="A417" s="1">
        <v>44776</v>
      </c>
      <c r="B417" t="s">
        <v>29</v>
      </c>
      <c r="C417">
        <v>5</v>
      </c>
      <c r="D417" t="s">
        <v>103</v>
      </c>
      <c r="E417" t="s">
        <v>102</v>
      </c>
      <c r="F417">
        <v>0</v>
      </c>
    </row>
    <row r="418" spans="1:6" x14ac:dyDescent="0.2">
      <c r="A418" s="1">
        <v>44779</v>
      </c>
      <c r="B418" t="s">
        <v>37</v>
      </c>
      <c r="C418">
        <v>9</v>
      </c>
      <c r="D418" t="s">
        <v>101</v>
      </c>
      <c r="E418" t="s">
        <v>101</v>
      </c>
      <c r="F418">
        <v>0</v>
      </c>
    </row>
    <row r="419" spans="1:6" x14ac:dyDescent="0.2">
      <c r="A419" s="1">
        <v>44781</v>
      </c>
      <c r="B419" t="s">
        <v>37</v>
      </c>
      <c r="C419">
        <v>2</v>
      </c>
      <c r="D419" t="s">
        <v>103</v>
      </c>
      <c r="E419" t="s">
        <v>101</v>
      </c>
      <c r="F419">
        <v>0</v>
      </c>
    </row>
    <row r="420" spans="1:6" x14ac:dyDescent="0.2">
      <c r="A420" s="1">
        <v>44781</v>
      </c>
      <c r="B420" t="s">
        <v>69</v>
      </c>
      <c r="C420">
        <v>12</v>
      </c>
      <c r="D420" t="s">
        <v>103</v>
      </c>
      <c r="E420" t="s">
        <v>102</v>
      </c>
      <c r="F420">
        <v>0</v>
      </c>
    </row>
    <row r="421" spans="1:6" x14ac:dyDescent="0.2">
      <c r="A421" s="1">
        <v>44781</v>
      </c>
      <c r="B421" t="s">
        <v>47</v>
      </c>
      <c r="C421">
        <v>11</v>
      </c>
      <c r="D421" t="s">
        <v>103</v>
      </c>
      <c r="E421" t="s">
        <v>102</v>
      </c>
      <c r="F421">
        <v>0</v>
      </c>
    </row>
    <row r="422" spans="1:6" x14ac:dyDescent="0.2">
      <c r="A422" s="1">
        <v>44787</v>
      </c>
      <c r="B422" t="s">
        <v>65</v>
      </c>
      <c r="C422">
        <v>14</v>
      </c>
      <c r="D422" t="s">
        <v>103</v>
      </c>
      <c r="E422" t="s">
        <v>102</v>
      </c>
      <c r="F422">
        <v>0</v>
      </c>
    </row>
    <row r="423" spans="1:6" x14ac:dyDescent="0.2">
      <c r="A423" s="1">
        <v>44788</v>
      </c>
      <c r="B423" t="s">
        <v>27</v>
      </c>
      <c r="C423">
        <v>10</v>
      </c>
      <c r="D423" t="s">
        <v>100</v>
      </c>
      <c r="E423" t="s">
        <v>102</v>
      </c>
      <c r="F423">
        <v>0</v>
      </c>
    </row>
    <row r="424" spans="1:6" x14ac:dyDescent="0.2">
      <c r="A424" s="1">
        <v>44788</v>
      </c>
      <c r="B424" t="s">
        <v>35</v>
      </c>
      <c r="C424">
        <v>7</v>
      </c>
      <c r="D424" t="s">
        <v>103</v>
      </c>
      <c r="E424" t="s">
        <v>101</v>
      </c>
      <c r="F424">
        <v>0</v>
      </c>
    </row>
    <row r="425" spans="1:6" x14ac:dyDescent="0.2">
      <c r="A425" s="1">
        <v>44791</v>
      </c>
      <c r="B425" t="s">
        <v>63</v>
      </c>
      <c r="C425">
        <v>8</v>
      </c>
      <c r="D425" t="s">
        <v>101</v>
      </c>
      <c r="E425" t="s">
        <v>101</v>
      </c>
      <c r="F425">
        <v>0</v>
      </c>
    </row>
    <row r="426" spans="1:6" x14ac:dyDescent="0.2">
      <c r="A426" s="1">
        <v>44791</v>
      </c>
      <c r="B426" t="s">
        <v>25</v>
      </c>
      <c r="C426">
        <v>2</v>
      </c>
      <c r="D426" t="s">
        <v>101</v>
      </c>
      <c r="E426" t="s">
        <v>102</v>
      </c>
      <c r="F426">
        <v>0</v>
      </c>
    </row>
    <row r="427" spans="1:6" x14ac:dyDescent="0.2">
      <c r="A427" s="1">
        <v>44792</v>
      </c>
      <c r="B427" t="s">
        <v>19</v>
      </c>
      <c r="C427">
        <v>3</v>
      </c>
      <c r="D427" t="s">
        <v>101</v>
      </c>
      <c r="E427" t="s">
        <v>101</v>
      </c>
      <c r="F427">
        <v>0</v>
      </c>
    </row>
    <row r="428" spans="1:6" x14ac:dyDescent="0.2">
      <c r="A428" s="1">
        <v>44793</v>
      </c>
      <c r="B428" t="s">
        <v>51</v>
      </c>
      <c r="C428">
        <v>13</v>
      </c>
      <c r="D428" t="s">
        <v>103</v>
      </c>
      <c r="E428" t="s">
        <v>101</v>
      </c>
      <c r="F428">
        <v>0</v>
      </c>
    </row>
    <row r="429" spans="1:6" x14ac:dyDescent="0.2">
      <c r="A429" s="1">
        <v>44793</v>
      </c>
      <c r="B429" t="s">
        <v>71</v>
      </c>
      <c r="C429">
        <v>14</v>
      </c>
      <c r="D429" t="s">
        <v>103</v>
      </c>
      <c r="E429" t="s">
        <v>101</v>
      </c>
      <c r="F429">
        <v>0</v>
      </c>
    </row>
    <row r="430" spans="1:6" x14ac:dyDescent="0.2">
      <c r="A430" s="1">
        <v>44794</v>
      </c>
      <c r="B430" t="s">
        <v>37</v>
      </c>
      <c r="C430">
        <v>4</v>
      </c>
      <c r="D430" t="s">
        <v>103</v>
      </c>
      <c r="E430" t="s">
        <v>101</v>
      </c>
      <c r="F430">
        <v>0</v>
      </c>
    </row>
    <row r="431" spans="1:6" x14ac:dyDescent="0.2">
      <c r="A431" s="1">
        <v>44796</v>
      </c>
      <c r="B431" t="s">
        <v>93</v>
      </c>
      <c r="C431">
        <v>11</v>
      </c>
      <c r="D431" t="s">
        <v>101</v>
      </c>
      <c r="E431" t="s">
        <v>101</v>
      </c>
      <c r="F431">
        <v>0</v>
      </c>
    </row>
    <row r="432" spans="1:6" x14ac:dyDescent="0.2">
      <c r="A432" s="1">
        <v>44796</v>
      </c>
      <c r="B432" t="s">
        <v>63</v>
      </c>
      <c r="C432">
        <v>14</v>
      </c>
      <c r="D432" t="s">
        <v>103</v>
      </c>
      <c r="E432" t="s">
        <v>102</v>
      </c>
      <c r="F432">
        <v>0</v>
      </c>
    </row>
    <row r="433" spans="1:6" x14ac:dyDescent="0.2">
      <c r="A433" s="1">
        <v>44797</v>
      </c>
      <c r="B433" t="s">
        <v>15</v>
      </c>
      <c r="C433">
        <v>5</v>
      </c>
      <c r="D433" t="s">
        <v>103</v>
      </c>
      <c r="E433" t="s">
        <v>102</v>
      </c>
      <c r="F433">
        <v>0</v>
      </c>
    </row>
    <row r="434" spans="1:6" x14ac:dyDescent="0.2">
      <c r="A434" s="1">
        <v>44799</v>
      </c>
      <c r="B434" t="s">
        <v>43</v>
      </c>
      <c r="C434">
        <v>13</v>
      </c>
      <c r="D434" t="s">
        <v>100</v>
      </c>
      <c r="E434" t="s">
        <v>102</v>
      </c>
      <c r="F434">
        <v>0</v>
      </c>
    </row>
    <row r="435" spans="1:6" x14ac:dyDescent="0.2">
      <c r="A435" s="1">
        <v>44799</v>
      </c>
      <c r="B435" t="s">
        <v>79</v>
      </c>
      <c r="C435">
        <v>8</v>
      </c>
      <c r="D435" t="s">
        <v>101</v>
      </c>
      <c r="E435" t="s">
        <v>101</v>
      </c>
      <c r="F435">
        <v>0</v>
      </c>
    </row>
    <row r="436" spans="1:6" x14ac:dyDescent="0.2">
      <c r="A436" s="1">
        <v>44800</v>
      </c>
      <c r="B436" t="s">
        <v>83</v>
      </c>
      <c r="C436">
        <v>15</v>
      </c>
      <c r="D436" t="s">
        <v>100</v>
      </c>
      <c r="E436" t="s">
        <v>101</v>
      </c>
      <c r="F436">
        <v>0</v>
      </c>
    </row>
    <row r="437" spans="1:6" x14ac:dyDescent="0.2">
      <c r="A437" s="1">
        <v>44801</v>
      </c>
      <c r="B437" t="s">
        <v>15</v>
      </c>
      <c r="C437">
        <v>9</v>
      </c>
      <c r="D437" t="s">
        <v>101</v>
      </c>
      <c r="E437" t="s">
        <v>101</v>
      </c>
      <c r="F437">
        <v>0</v>
      </c>
    </row>
    <row r="438" spans="1:6" x14ac:dyDescent="0.2">
      <c r="A438" s="1">
        <v>44801</v>
      </c>
      <c r="B438" t="s">
        <v>83</v>
      </c>
      <c r="C438">
        <v>5</v>
      </c>
      <c r="D438" t="s">
        <v>103</v>
      </c>
      <c r="E438" t="s">
        <v>101</v>
      </c>
      <c r="F438">
        <v>0</v>
      </c>
    </row>
    <row r="439" spans="1:6" x14ac:dyDescent="0.2">
      <c r="A439" s="1">
        <v>44803</v>
      </c>
      <c r="B439" t="s">
        <v>17</v>
      </c>
      <c r="C439">
        <v>6</v>
      </c>
      <c r="D439" t="s">
        <v>101</v>
      </c>
      <c r="E439" t="s">
        <v>102</v>
      </c>
      <c r="F439">
        <v>0</v>
      </c>
    </row>
    <row r="440" spans="1:6" x14ac:dyDescent="0.2">
      <c r="A440" s="1">
        <v>44803</v>
      </c>
      <c r="B440" t="s">
        <v>91</v>
      </c>
      <c r="C440">
        <v>6</v>
      </c>
      <c r="D440" t="s">
        <v>103</v>
      </c>
      <c r="E440" t="s">
        <v>102</v>
      </c>
      <c r="F440">
        <v>0</v>
      </c>
    </row>
    <row r="441" spans="1:6" x14ac:dyDescent="0.2">
      <c r="A441" s="1">
        <v>44803</v>
      </c>
      <c r="B441" t="s">
        <v>55</v>
      </c>
      <c r="C441">
        <v>5</v>
      </c>
      <c r="D441" t="s">
        <v>103</v>
      </c>
      <c r="E441" t="s">
        <v>102</v>
      </c>
      <c r="F441">
        <v>0</v>
      </c>
    </row>
    <row r="442" spans="1:6" x14ac:dyDescent="0.2">
      <c r="A442" s="1">
        <v>44804</v>
      </c>
      <c r="B442" t="s">
        <v>35</v>
      </c>
      <c r="C442">
        <v>13</v>
      </c>
      <c r="D442" t="s">
        <v>103</v>
      </c>
      <c r="E442" t="s">
        <v>102</v>
      </c>
      <c r="F442">
        <v>0</v>
      </c>
    </row>
    <row r="443" spans="1:6" x14ac:dyDescent="0.2">
      <c r="A443" s="1">
        <v>44808</v>
      </c>
      <c r="B443" t="s">
        <v>9</v>
      </c>
      <c r="C443">
        <v>1</v>
      </c>
      <c r="D443" t="s">
        <v>103</v>
      </c>
      <c r="E443" t="s">
        <v>102</v>
      </c>
      <c r="F443">
        <v>0</v>
      </c>
    </row>
    <row r="444" spans="1:6" x14ac:dyDescent="0.2">
      <c r="A444" s="1">
        <v>44810</v>
      </c>
      <c r="B444" t="s">
        <v>15</v>
      </c>
      <c r="C444">
        <v>12</v>
      </c>
      <c r="D444" t="s">
        <v>100</v>
      </c>
      <c r="E444" t="s">
        <v>101</v>
      </c>
      <c r="F444">
        <v>0</v>
      </c>
    </row>
    <row r="445" spans="1:6" x14ac:dyDescent="0.2">
      <c r="A445" s="1">
        <v>44813</v>
      </c>
      <c r="B445" t="s">
        <v>87</v>
      </c>
      <c r="C445">
        <v>9</v>
      </c>
      <c r="D445" t="s">
        <v>103</v>
      </c>
      <c r="E445" t="s">
        <v>101</v>
      </c>
      <c r="F445">
        <v>0</v>
      </c>
    </row>
    <row r="446" spans="1:6" x14ac:dyDescent="0.2">
      <c r="A446" s="1">
        <v>44813</v>
      </c>
      <c r="B446" t="s">
        <v>11</v>
      </c>
      <c r="C446">
        <v>3</v>
      </c>
      <c r="D446" t="s">
        <v>103</v>
      </c>
      <c r="E446" t="s">
        <v>101</v>
      </c>
      <c r="F446">
        <v>0</v>
      </c>
    </row>
    <row r="447" spans="1:6" x14ac:dyDescent="0.2">
      <c r="A447" s="1">
        <v>44814</v>
      </c>
      <c r="B447" t="s">
        <v>75</v>
      </c>
      <c r="C447">
        <v>15</v>
      </c>
      <c r="D447" t="s">
        <v>101</v>
      </c>
      <c r="E447" t="s">
        <v>102</v>
      </c>
      <c r="F447">
        <v>0</v>
      </c>
    </row>
    <row r="448" spans="1:6" x14ac:dyDescent="0.2">
      <c r="A448" s="1">
        <v>44814</v>
      </c>
      <c r="B448" t="s">
        <v>81</v>
      </c>
      <c r="C448">
        <v>4</v>
      </c>
      <c r="D448" t="s">
        <v>103</v>
      </c>
      <c r="E448" t="s">
        <v>102</v>
      </c>
      <c r="F448">
        <v>0</v>
      </c>
    </row>
    <row r="449" spans="1:6" x14ac:dyDescent="0.2">
      <c r="A449" s="1">
        <v>44818</v>
      </c>
      <c r="B449" t="s">
        <v>63</v>
      </c>
      <c r="C449">
        <v>3</v>
      </c>
      <c r="D449" t="s">
        <v>103</v>
      </c>
      <c r="E449" t="s">
        <v>102</v>
      </c>
      <c r="F449">
        <v>0</v>
      </c>
    </row>
    <row r="450" spans="1:6" x14ac:dyDescent="0.2">
      <c r="A450" s="1">
        <v>44819</v>
      </c>
      <c r="B450" t="s">
        <v>79</v>
      </c>
      <c r="C450">
        <v>15</v>
      </c>
      <c r="D450" t="s">
        <v>101</v>
      </c>
      <c r="E450" t="s">
        <v>101</v>
      </c>
      <c r="F450">
        <v>0</v>
      </c>
    </row>
    <row r="451" spans="1:6" x14ac:dyDescent="0.2">
      <c r="A451" s="1">
        <v>44822</v>
      </c>
      <c r="B451" t="s">
        <v>57</v>
      </c>
      <c r="C451">
        <v>14</v>
      </c>
      <c r="D451" t="s">
        <v>101</v>
      </c>
      <c r="E451" t="s">
        <v>102</v>
      </c>
      <c r="F451">
        <v>0</v>
      </c>
    </row>
    <row r="452" spans="1:6" x14ac:dyDescent="0.2">
      <c r="A452" s="1">
        <v>44823</v>
      </c>
      <c r="B452" t="s">
        <v>71</v>
      </c>
      <c r="C452">
        <v>8</v>
      </c>
      <c r="D452" t="s">
        <v>100</v>
      </c>
      <c r="E452" t="s">
        <v>102</v>
      </c>
      <c r="F452">
        <v>0</v>
      </c>
    </row>
    <row r="453" spans="1:6" x14ac:dyDescent="0.2">
      <c r="A453" s="1">
        <v>44824</v>
      </c>
      <c r="B453" t="s">
        <v>71</v>
      </c>
      <c r="C453">
        <v>6</v>
      </c>
      <c r="D453" t="s">
        <v>103</v>
      </c>
      <c r="E453" t="s">
        <v>101</v>
      </c>
      <c r="F453">
        <v>0</v>
      </c>
    </row>
    <row r="454" spans="1:6" x14ac:dyDescent="0.2">
      <c r="A454" s="1">
        <v>44824</v>
      </c>
      <c r="B454" t="s">
        <v>6</v>
      </c>
      <c r="C454">
        <v>10</v>
      </c>
      <c r="D454" t="s">
        <v>103</v>
      </c>
      <c r="E454" t="s">
        <v>101</v>
      </c>
      <c r="F454">
        <v>0</v>
      </c>
    </row>
    <row r="455" spans="1:6" x14ac:dyDescent="0.2">
      <c r="A455" s="1">
        <v>44825</v>
      </c>
      <c r="B455" t="s">
        <v>41</v>
      </c>
      <c r="C455">
        <v>14</v>
      </c>
      <c r="D455" t="s">
        <v>101</v>
      </c>
      <c r="E455" t="s">
        <v>101</v>
      </c>
      <c r="F455">
        <v>0</v>
      </c>
    </row>
    <row r="456" spans="1:6" x14ac:dyDescent="0.2">
      <c r="A456" s="1">
        <v>44825</v>
      </c>
      <c r="B456" t="s">
        <v>57</v>
      </c>
      <c r="C456">
        <v>5</v>
      </c>
      <c r="D456" t="s">
        <v>103</v>
      </c>
      <c r="E456" t="s">
        <v>102</v>
      </c>
      <c r="F456">
        <v>0</v>
      </c>
    </row>
    <row r="457" spans="1:6" x14ac:dyDescent="0.2">
      <c r="A457" s="1">
        <v>44826</v>
      </c>
      <c r="B457" t="s">
        <v>91</v>
      </c>
      <c r="C457">
        <v>12</v>
      </c>
      <c r="D457" t="s">
        <v>101</v>
      </c>
      <c r="E457" t="s">
        <v>101</v>
      </c>
      <c r="F457">
        <v>0</v>
      </c>
    </row>
    <row r="458" spans="1:6" x14ac:dyDescent="0.2">
      <c r="A458" s="1">
        <v>44827</v>
      </c>
      <c r="B458" t="s">
        <v>29</v>
      </c>
      <c r="C458">
        <v>12</v>
      </c>
      <c r="D458" t="s">
        <v>103</v>
      </c>
      <c r="E458" t="s">
        <v>101</v>
      </c>
      <c r="F458">
        <v>0</v>
      </c>
    </row>
    <row r="459" spans="1:6" x14ac:dyDescent="0.2">
      <c r="A459" s="1">
        <v>44828</v>
      </c>
      <c r="B459" t="s">
        <v>69</v>
      </c>
      <c r="C459">
        <v>14</v>
      </c>
      <c r="D459" t="s">
        <v>103</v>
      </c>
      <c r="E459" t="s">
        <v>101</v>
      </c>
      <c r="F459">
        <v>0</v>
      </c>
    </row>
    <row r="460" spans="1:6" x14ac:dyDescent="0.2">
      <c r="A460" s="1">
        <v>44828</v>
      </c>
      <c r="B460" t="s">
        <v>69</v>
      </c>
      <c r="C460">
        <v>8</v>
      </c>
      <c r="D460" t="s">
        <v>103</v>
      </c>
      <c r="E460" t="s">
        <v>102</v>
      </c>
      <c r="F460">
        <v>0</v>
      </c>
    </row>
    <row r="461" spans="1:6" x14ac:dyDescent="0.2">
      <c r="A461" s="1">
        <v>44831</v>
      </c>
      <c r="B461" t="s">
        <v>77</v>
      </c>
      <c r="C461">
        <v>4</v>
      </c>
      <c r="D461" t="s">
        <v>103</v>
      </c>
      <c r="E461" t="s">
        <v>102</v>
      </c>
      <c r="F461">
        <v>0</v>
      </c>
    </row>
    <row r="462" spans="1:6" x14ac:dyDescent="0.2">
      <c r="A462" s="1">
        <v>44831</v>
      </c>
      <c r="B462" t="s">
        <v>93</v>
      </c>
      <c r="C462">
        <v>9</v>
      </c>
      <c r="D462" t="s">
        <v>103</v>
      </c>
      <c r="E462" t="s">
        <v>102</v>
      </c>
      <c r="F462">
        <v>0</v>
      </c>
    </row>
    <row r="463" spans="1:6" x14ac:dyDescent="0.2">
      <c r="A463" s="1">
        <v>44831</v>
      </c>
      <c r="B463" t="s">
        <v>81</v>
      </c>
      <c r="C463">
        <v>3</v>
      </c>
      <c r="D463" t="s">
        <v>100</v>
      </c>
      <c r="E463" t="s">
        <v>102</v>
      </c>
      <c r="F463">
        <v>0</v>
      </c>
    </row>
    <row r="464" spans="1:6" x14ac:dyDescent="0.2">
      <c r="A464" s="1">
        <v>44833</v>
      </c>
      <c r="B464" t="s">
        <v>73</v>
      </c>
      <c r="C464">
        <v>13</v>
      </c>
      <c r="D464" t="s">
        <v>103</v>
      </c>
      <c r="E464" t="s">
        <v>101</v>
      </c>
      <c r="F464">
        <v>0</v>
      </c>
    </row>
    <row r="465" spans="1:6" x14ac:dyDescent="0.2">
      <c r="A465" s="1">
        <v>44837</v>
      </c>
      <c r="B465" t="s">
        <v>27</v>
      </c>
      <c r="C465">
        <v>5</v>
      </c>
      <c r="D465" t="s">
        <v>103</v>
      </c>
      <c r="E465" t="s">
        <v>102</v>
      </c>
      <c r="F465">
        <v>0</v>
      </c>
    </row>
    <row r="466" spans="1:6" x14ac:dyDescent="0.2">
      <c r="A466" s="1">
        <v>44838</v>
      </c>
      <c r="B466" t="s">
        <v>19</v>
      </c>
      <c r="C466">
        <v>15</v>
      </c>
      <c r="D466" t="s">
        <v>103</v>
      </c>
      <c r="E466" t="s">
        <v>101</v>
      </c>
      <c r="F466">
        <v>0</v>
      </c>
    </row>
    <row r="467" spans="1:6" x14ac:dyDescent="0.2">
      <c r="A467" s="1">
        <v>44840</v>
      </c>
      <c r="B467" t="s">
        <v>75</v>
      </c>
      <c r="C467">
        <v>1</v>
      </c>
      <c r="D467" t="s">
        <v>103</v>
      </c>
      <c r="E467" t="s">
        <v>101</v>
      </c>
      <c r="F467">
        <v>0</v>
      </c>
    </row>
    <row r="468" spans="1:6" x14ac:dyDescent="0.2">
      <c r="A468" s="1">
        <v>44843</v>
      </c>
      <c r="B468" t="s">
        <v>81</v>
      </c>
      <c r="C468">
        <v>14</v>
      </c>
      <c r="D468" t="s">
        <v>101</v>
      </c>
      <c r="E468" t="s">
        <v>101</v>
      </c>
      <c r="F468">
        <v>0</v>
      </c>
    </row>
    <row r="469" spans="1:6" x14ac:dyDescent="0.2">
      <c r="A469" s="1">
        <v>44844</v>
      </c>
      <c r="B469" t="s">
        <v>43</v>
      </c>
      <c r="C469">
        <v>9</v>
      </c>
      <c r="D469" t="s">
        <v>103</v>
      </c>
      <c r="E469" t="s">
        <v>101</v>
      </c>
      <c r="F469">
        <v>0</v>
      </c>
    </row>
    <row r="470" spans="1:6" x14ac:dyDescent="0.2">
      <c r="A470" s="1">
        <v>44844</v>
      </c>
      <c r="B470" t="s">
        <v>93</v>
      </c>
      <c r="C470">
        <v>12</v>
      </c>
      <c r="D470" t="s">
        <v>101</v>
      </c>
      <c r="E470" t="s">
        <v>101</v>
      </c>
      <c r="F470">
        <v>0</v>
      </c>
    </row>
    <row r="471" spans="1:6" x14ac:dyDescent="0.2">
      <c r="A471" s="1">
        <v>44845</v>
      </c>
      <c r="B471" t="s">
        <v>21</v>
      </c>
      <c r="C471">
        <v>10</v>
      </c>
      <c r="D471" t="s">
        <v>103</v>
      </c>
      <c r="E471" t="s">
        <v>101</v>
      </c>
      <c r="F471">
        <v>0</v>
      </c>
    </row>
    <row r="472" spans="1:6" x14ac:dyDescent="0.2">
      <c r="A472" s="1">
        <v>44847</v>
      </c>
      <c r="B472" t="s">
        <v>9</v>
      </c>
      <c r="C472">
        <v>15</v>
      </c>
      <c r="D472" t="s">
        <v>101</v>
      </c>
      <c r="E472" t="s">
        <v>101</v>
      </c>
      <c r="F472">
        <v>0</v>
      </c>
    </row>
    <row r="473" spans="1:6" x14ac:dyDescent="0.2">
      <c r="A473" s="1">
        <v>44848</v>
      </c>
      <c r="B473" t="s">
        <v>93</v>
      </c>
      <c r="C473">
        <v>15</v>
      </c>
      <c r="D473" t="s">
        <v>100</v>
      </c>
      <c r="E473" t="s">
        <v>101</v>
      </c>
      <c r="F473">
        <v>0</v>
      </c>
    </row>
    <row r="474" spans="1:6" x14ac:dyDescent="0.2">
      <c r="A474" s="1">
        <v>44849</v>
      </c>
      <c r="B474" t="s">
        <v>35</v>
      </c>
      <c r="C474">
        <v>10</v>
      </c>
      <c r="D474" t="s">
        <v>103</v>
      </c>
      <c r="E474" t="s">
        <v>102</v>
      </c>
      <c r="F474">
        <v>0</v>
      </c>
    </row>
    <row r="475" spans="1:6" x14ac:dyDescent="0.2">
      <c r="A475" s="1">
        <v>44850</v>
      </c>
      <c r="B475" t="s">
        <v>77</v>
      </c>
      <c r="C475">
        <v>3</v>
      </c>
      <c r="D475" t="s">
        <v>101</v>
      </c>
      <c r="E475" t="s">
        <v>101</v>
      </c>
      <c r="F475">
        <v>0</v>
      </c>
    </row>
    <row r="476" spans="1:6" x14ac:dyDescent="0.2">
      <c r="A476" s="1">
        <v>44857</v>
      </c>
      <c r="B476" t="s">
        <v>53</v>
      </c>
      <c r="C476">
        <v>14</v>
      </c>
      <c r="D476" t="s">
        <v>101</v>
      </c>
      <c r="E476" t="s">
        <v>102</v>
      </c>
      <c r="F476">
        <v>0</v>
      </c>
    </row>
    <row r="477" spans="1:6" x14ac:dyDescent="0.2">
      <c r="A477" s="1">
        <v>44864</v>
      </c>
      <c r="B477" t="s">
        <v>89</v>
      </c>
      <c r="C477">
        <v>3</v>
      </c>
      <c r="D477" t="s">
        <v>103</v>
      </c>
      <c r="E477" t="s">
        <v>102</v>
      </c>
      <c r="F477">
        <v>0</v>
      </c>
    </row>
    <row r="478" spans="1:6" x14ac:dyDescent="0.2">
      <c r="A478" s="1">
        <v>44865</v>
      </c>
      <c r="B478" t="s">
        <v>81</v>
      </c>
      <c r="C478">
        <v>8</v>
      </c>
      <c r="D478" t="s">
        <v>103</v>
      </c>
      <c r="E478" t="s">
        <v>101</v>
      </c>
      <c r="F478">
        <v>0</v>
      </c>
    </row>
    <row r="479" spans="1:6" x14ac:dyDescent="0.2">
      <c r="A479" s="1">
        <v>44866</v>
      </c>
      <c r="B479" t="s">
        <v>29</v>
      </c>
      <c r="C479">
        <v>15</v>
      </c>
      <c r="D479" t="s">
        <v>100</v>
      </c>
      <c r="E479" t="s">
        <v>101</v>
      </c>
      <c r="F479">
        <v>0</v>
      </c>
    </row>
    <row r="480" spans="1:6" x14ac:dyDescent="0.2">
      <c r="A480" s="1">
        <v>44867</v>
      </c>
      <c r="B480" t="s">
        <v>35</v>
      </c>
      <c r="C480">
        <v>15</v>
      </c>
      <c r="D480" t="s">
        <v>100</v>
      </c>
      <c r="E480" t="s">
        <v>102</v>
      </c>
      <c r="F480">
        <v>0</v>
      </c>
    </row>
    <row r="481" spans="1:6" x14ac:dyDescent="0.2">
      <c r="A481" s="1">
        <v>44867</v>
      </c>
      <c r="B481" t="s">
        <v>65</v>
      </c>
      <c r="C481">
        <v>15</v>
      </c>
      <c r="D481" t="s">
        <v>103</v>
      </c>
      <c r="E481" t="s">
        <v>102</v>
      </c>
      <c r="F481">
        <v>0</v>
      </c>
    </row>
    <row r="482" spans="1:6" x14ac:dyDescent="0.2">
      <c r="A482" s="1">
        <v>44867</v>
      </c>
      <c r="B482" t="s">
        <v>75</v>
      </c>
      <c r="C482">
        <v>5</v>
      </c>
      <c r="D482" t="s">
        <v>103</v>
      </c>
      <c r="E482" t="s">
        <v>102</v>
      </c>
      <c r="F482">
        <v>0</v>
      </c>
    </row>
    <row r="483" spans="1:6" x14ac:dyDescent="0.2">
      <c r="A483" s="1">
        <v>44868</v>
      </c>
      <c r="B483" t="s">
        <v>45</v>
      </c>
      <c r="C483">
        <v>11</v>
      </c>
      <c r="D483" t="s">
        <v>101</v>
      </c>
      <c r="E483" t="s">
        <v>101</v>
      </c>
      <c r="F483">
        <v>0</v>
      </c>
    </row>
    <row r="484" spans="1:6" x14ac:dyDescent="0.2">
      <c r="A484" s="1">
        <v>44869</v>
      </c>
      <c r="B484" t="s">
        <v>21</v>
      </c>
      <c r="C484">
        <v>10</v>
      </c>
      <c r="D484" t="s">
        <v>103</v>
      </c>
      <c r="E484" t="s">
        <v>101</v>
      </c>
      <c r="F484">
        <v>0</v>
      </c>
    </row>
    <row r="485" spans="1:6" x14ac:dyDescent="0.2">
      <c r="A485" s="1">
        <v>44870</v>
      </c>
      <c r="B485" t="s">
        <v>43</v>
      </c>
      <c r="C485">
        <v>15</v>
      </c>
      <c r="D485" t="s">
        <v>103</v>
      </c>
      <c r="E485" t="s">
        <v>102</v>
      </c>
      <c r="F485">
        <v>0</v>
      </c>
    </row>
    <row r="486" spans="1:6" x14ac:dyDescent="0.2">
      <c r="A486" s="1">
        <v>44871</v>
      </c>
      <c r="B486" t="s">
        <v>91</v>
      </c>
      <c r="C486">
        <v>13</v>
      </c>
      <c r="D486" t="s">
        <v>103</v>
      </c>
      <c r="E486" t="s">
        <v>102</v>
      </c>
      <c r="F486">
        <v>0</v>
      </c>
    </row>
    <row r="487" spans="1:6" x14ac:dyDescent="0.2">
      <c r="A487" s="1">
        <v>44871</v>
      </c>
      <c r="B487" t="s">
        <v>35</v>
      </c>
      <c r="C487">
        <v>13</v>
      </c>
      <c r="D487" t="s">
        <v>101</v>
      </c>
      <c r="E487" t="s">
        <v>101</v>
      </c>
      <c r="F487">
        <v>0</v>
      </c>
    </row>
    <row r="488" spans="1:6" x14ac:dyDescent="0.2">
      <c r="A488" s="1">
        <v>44871</v>
      </c>
      <c r="B488" t="s">
        <v>89</v>
      </c>
      <c r="C488">
        <v>13</v>
      </c>
      <c r="D488" t="s">
        <v>103</v>
      </c>
      <c r="E488" t="s">
        <v>102</v>
      </c>
      <c r="F488">
        <v>0</v>
      </c>
    </row>
    <row r="489" spans="1:6" x14ac:dyDescent="0.2">
      <c r="A489" s="1">
        <v>44872</v>
      </c>
      <c r="B489" t="s">
        <v>85</v>
      </c>
      <c r="C489">
        <v>13</v>
      </c>
      <c r="D489" t="s">
        <v>101</v>
      </c>
      <c r="E489" t="s">
        <v>102</v>
      </c>
      <c r="F489">
        <v>0</v>
      </c>
    </row>
    <row r="490" spans="1:6" x14ac:dyDescent="0.2">
      <c r="A490" s="1">
        <v>44873</v>
      </c>
      <c r="B490" t="s">
        <v>77</v>
      </c>
      <c r="C490">
        <v>11</v>
      </c>
      <c r="D490" t="s">
        <v>100</v>
      </c>
      <c r="E490" t="s">
        <v>102</v>
      </c>
      <c r="F490">
        <v>0</v>
      </c>
    </row>
    <row r="491" spans="1:6" x14ac:dyDescent="0.2">
      <c r="A491" s="1">
        <v>44873</v>
      </c>
      <c r="B491" t="s">
        <v>43</v>
      </c>
      <c r="C491">
        <v>10</v>
      </c>
      <c r="D491" t="s">
        <v>100</v>
      </c>
      <c r="E491" t="s">
        <v>101</v>
      </c>
      <c r="F491">
        <v>0</v>
      </c>
    </row>
    <row r="492" spans="1:6" x14ac:dyDescent="0.2">
      <c r="A492" s="1">
        <v>44874</v>
      </c>
      <c r="B492" t="s">
        <v>59</v>
      </c>
      <c r="C492">
        <v>8</v>
      </c>
      <c r="D492" t="s">
        <v>101</v>
      </c>
      <c r="E492" t="s">
        <v>102</v>
      </c>
      <c r="F492">
        <v>0</v>
      </c>
    </row>
    <row r="493" spans="1:6" x14ac:dyDescent="0.2">
      <c r="A493" s="1">
        <v>44875</v>
      </c>
      <c r="B493" t="s">
        <v>41</v>
      </c>
      <c r="C493">
        <v>7</v>
      </c>
      <c r="D493" t="s">
        <v>103</v>
      </c>
      <c r="E493" t="s">
        <v>101</v>
      </c>
      <c r="F493">
        <v>0</v>
      </c>
    </row>
    <row r="494" spans="1:6" x14ac:dyDescent="0.2">
      <c r="A494" s="1">
        <v>44878</v>
      </c>
      <c r="B494" t="s">
        <v>59</v>
      </c>
      <c r="C494">
        <v>10</v>
      </c>
      <c r="D494" t="s">
        <v>100</v>
      </c>
      <c r="E494" t="s">
        <v>102</v>
      </c>
      <c r="F494">
        <v>0</v>
      </c>
    </row>
    <row r="495" spans="1:6" x14ac:dyDescent="0.2">
      <c r="A495" s="1">
        <v>44879</v>
      </c>
      <c r="B495" t="s">
        <v>9</v>
      </c>
      <c r="C495">
        <v>1</v>
      </c>
      <c r="D495" t="s">
        <v>103</v>
      </c>
      <c r="E495" t="s">
        <v>102</v>
      </c>
      <c r="F495">
        <v>0</v>
      </c>
    </row>
    <row r="496" spans="1:6" x14ac:dyDescent="0.2">
      <c r="A496" s="1">
        <v>44880</v>
      </c>
      <c r="B496" t="s">
        <v>29</v>
      </c>
      <c r="C496">
        <v>14</v>
      </c>
      <c r="D496" t="s">
        <v>103</v>
      </c>
      <c r="E496" t="s">
        <v>102</v>
      </c>
      <c r="F496">
        <v>0</v>
      </c>
    </row>
    <row r="497" spans="1:6" x14ac:dyDescent="0.2">
      <c r="A497" s="1">
        <v>44881</v>
      </c>
      <c r="B497" t="s">
        <v>39</v>
      </c>
      <c r="C497">
        <v>8</v>
      </c>
      <c r="D497" t="s">
        <v>101</v>
      </c>
      <c r="E497" t="s">
        <v>101</v>
      </c>
      <c r="F497">
        <v>0</v>
      </c>
    </row>
    <row r="498" spans="1:6" x14ac:dyDescent="0.2">
      <c r="A498" s="1">
        <v>44883</v>
      </c>
      <c r="B498" t="s">
        <v>73</v>
      </c>
      <c r="C498">
        <v>8</v>
      </c>
      <c r="D498" t="s">
        <v>103</v>
      </c>
      <c r="E498" t="s">
        <v>102</v>
      </c>
      <c r="F498">
        <v>0</v>
      </c>
    </row>
    <row r="499" spans="1:6" x14ac:dyDescent="0.2">
      <c r="A499" s="1">
        <v>44886</v>
      </c>
      <c r="B499" t="s">
        <v>45</v>
      </c>
      <c r="C499">
        <v>6</v>
      </c>
      <c r="D499" t="s">
        <v>103</v>
      </c>
      <c r="E499" t="s">
        <v>102</v>
      </c>
      <c r="F499">
        <v>0</v>
      </c>
    </row>
    <row r="500" spans="1:6" x14ac:dyDescent="0.2">
      <c r="A500" s="1">
        <v>44888</v>
      </c>
      <c r="B500" t="s">
        <v>77</v>
      </c>
      <c r="C500">
        <v>12</v>
      </c>
      <c r="D500" t="s">
        <v>101</v>
      </c>
      <c r="E500" t="s">
        <v>101</v>
      </c>
      <c r="F500">
        <v>0</v>
      </c>
    </row>
    <row r="501" spans="1:6" x14ac:dyDescent="0.2">
      <c r="A501" s="1">
        <v>44890</v>
      </c>
      <c r="B501" t="s">
        <v>13</v>
      </c>
      <c r="C501">
        <v>5</v>
      </c>
      <c r="D501" t="s">
        <v>103</v>
      </c>
      <c r="E501" t="s">
        <v>102</v>
      </c>
      <c r="F501">
        <v>0</v>
      </c>
    </row>
    <row r="502" spans="1:6" x14ac:dyDescent="0.2">
      <c r="A502" s="1">
        <v>44891</v>
      </c>
      <c r="B502" t="s">
        <v>69</v>
      </c>
      <c r="C502">
        <v>5</v>
      </c>
      <c r="D502" t="s">
        <v>103</v>
      </c>
      <c r="E502" t="s">
        <v>101</v>
      </c>
      <c r="F502">
        <v>0</v>
      </c>
    </row>
    <row r="503" spans="1:6" x14ac:dyDescent="0.2">
      <c r="A503" s="1">
        <v>44892</v>
      </c>
      <c r="B503" t="s">
        <v>73</v>
      </c>
      <c r="C503">
        <v>15</v>
      </c>
      <c r="D503" t="s">
        <v>103</v>
      </c>
      <c r="E503" t="s">
        <v>101</v>
      </c>
      <c r="F503">
        <v>0</v>
      </c>
    </row>
    <row r="504" spans="1:6" x14ac:dyDescent="0.2">
      <c r="A504" s="1">
        <v>44893</v>
      </c>
      <c r="B504" t="s">
        <v>67</v>
      </c>
      <c r="C504">
        <v>8</v>
      </c>
      <c r="D504" t="s">
        <v>103</v>
      </c>
      <c r="E504" t="s">
        <v>102</v>
      </c>
      <c r="F504">
        <v>0</v>
      </c>
    </row>
    <row r="505" spans="1:6" x14ac:dyDescent="0.2">
      <c r="A505" s="1">
        <v>44895</v>
      </c>
      <c r="B505" t="s">
        <v>35</v>
      </c>
      <c r="C505">
        <v>2</v>
      </c>
      <c r="D505" t="s">
        <v>103</v>
      </c>
      <c r="E505" t="s">
        <v>101</v>
      </c>
      <c r="F505">
        <v>0</v>
      </c>
    </row>
    <row r="506" spans="1:6" x14ac:dyDescent="0.2">
      <c r="A506" s="1">
        <v>44898</v>
      </c>
      <c r="B506" t="s">
        <v>61</v>
      </c>
      <c r="C506">
        <v>5</v>
      </c>
      <c r="D506" t="s">
        <v>100</v>
      </c>
      <c r="E506" t="s">
        <v>102</v>
      </c>
      <c r="F506">
        <v>0</v>
      </c>
    </row>
    <row r="507" spans="1:6" x14ac:dyDescent="0.2">
      <c r="A507" s="1">
        <v>44899</v>
      </c>
      <c r="B507" t="s">
        <v>57</v>
      </c>
      <c r="C507">
        <v>10</v>
      </c>
      <c r="D507" t="s">
        <v>103</v>
      </c>
      <c r="E507" t="s">
        <v>102</v>
      </c>
      <c r="F507">
        <v>0</v>
      </c>
    </row>
    <row r="508" spans="1:6" x14ac:dyDescent="0.2">
      <c r="A508" s="1">
        <v>44899</v>
      </c>
      <c r="B508" t="s">
        <v>93</v>
      </c>
      <c r="C508">
        <v>15</v>
      </c>
      <c r="D508" t="s">
        <v>103</v>
      </c>
      <c r="E508" t="s">
        <v>102</v>
      </c>
      <c r="F508">
        <v>0</v>
      </c>
    </row>
    <row r="509" spans="1:6" x14ac:dyDescent="0.2">
      <c r="A509" s="1">
        <v>44902</v>
      </c>
      <c r="B509" t="s">
        <v>81</v>
      </c>
      <c r="C509">
        <v>12</v>
      </c>
      <c r="D509" t="s">
        <v>103</v>
      </c>
      <c r="E509" t="s">
        <v>102</v>
      </c>
      <c r="F509">
        <v>0</v>
      </c>
    </row>
    <row r="510" spans="1:6" x14ac:dyDescent="0.2">
      <c r="A510" s="1">
        <v>44902</v>
      </c>
      <c r="B510" t="s">
        <v>37</v>
      </c>
      <c r="C510">
        <v>13</v>
      </c>
      <c r="D510" t="s">
        <v>103</v>
      </c>
      <c r="E510" t="s">
        <v>101</v>
      </c>
      <c r="F510">
        <v>0</v>
      </c>
    </row>
    <row r="511" spans="1:6" x14ac:dyDescent="0.2">
      <c r="A511" s="1">
        <v>44902</v>
      </c>
      <c r="B511" t="s">
        <v>81</v>
      </c>
      <c r="C511">
        <v>5</v>
      </c>
      <c r="D511" t="s">
        <v>103</v>
      </c>
      <c r="E511" t="s">
        <v>102</v>
      </c>
      <c r="F511">
        <v>0</v>
      </c>
    </row>
    <row r="512" spans="1:6" x14ac:dyDescent="0.2">
      <c r="A512" s="1">
        <v>44906</v>
      </c>
      <c r="B512" t="s">
        <v>59</v>
      </c>
      <c r="C512">
        <v>5</v>
      </c>
      <c r="D512" t="s">
        <v>103</v>
      </c>
      <c r="E512" t="s">
        <v>101</v>
      </c>
      <c r="F512">
        <v>0</v>
      </c>
    </row>
    <row r="513" spans="1:6" x14ac:dyDescent="0.2">
      <c r="A513" s="1">
        <v>44906</v>
      </c>
      <c r="B513" t="s">
        <v>31</v>
      </c>
      <c r="C513">
        <v>9</v>
      </c>
      <c r="D513" t="s">
        <v>100</v>
      </c>
      <c r="E513" t="s">
        <v>101</v>
      </c>
      <c r="F513">
        <v>0</v>
      </c>
    </row>
    <row r="514" spans="1:6" x14ac:dyDescent="0.2">
      <c r="A514" s="1">
        <v>44906</v>
      </c>
      <c r="B514" t="s">
        <v>33</v>
      </c>
      <c r="C514">
        <v>10</v>
      </c>
      <c r="D514" t="s">
        <v>101</v>
      </c>
      <c r="E514" t="s">
        <v>102</v>
      </c>
      <c r="F514">
        <v>0</v>
      </c>
    </row>
    <row r="515" spans="1:6" x14ac:dyDescent="0.2">
      <c r="A515" s="1">
        <v>44907</v>
      </c>
      <c r="B515" t="s">
        <v>65</v>
      </c>
      <c r="C515">
        <v>9</v>
      </c>
      <c r="D515" t="s">
        <v>100</v>
      </c>
      <c r="E515" t="s">
        <v>102</v>
      </c>
      <c r="F515">
        <v>0</v>
      </c>
    </row>
    <row r="516" spans="1:6" x14ac:dyDescent="0.2">
      <c r="A516" s="1">
        <v>44907</v>
      </c>
      <c r="B516" t="s">
        <v>87</v>
      </c>
      <c r="C516">
        <v>10</v>
      </c>
      <c r="D516" t="s">
        <v>100</v>
      </c>
      <c r="E516" t="s">
        <v>101</v>
      </c>
      <c r="F516">
        <v>0</v>
      </c>
    </row>
    <row r="517" spans="1:6" x14ac:dyDescent="0.2">
      <c r="A517" s="1">
        <v>44909</v>
      </c>
      <c r="B517" t="s">
        <v>15</v>
      </c>
      <c r="C517">
        <v>4</v>
      </c>
      <c r="D517" t="s">
        <v>103</v>
      </c>
      <c r="E517" t="s">
        <v>102</v>
      </c>
      <c r="F517">
        <v>0</v>
      </c>
    </row>
    <row r="518" spans="1:6" x14ac:dyDescent="0.2">
      <c r="A518" s="1">
        <v>44910</v>
      </c>
      <c r="B518" t="s">
        <v>23</v>
      </c>
      <c r="C518">
        <v>13</v>
      </c>
      <c r="D518" t="s">
        <v>103</v>
      </c>
      <c r="E518" t="s">
        <v>101</v>
      </c>
      <c r="F518">
        <v>0</v>
      </c>
    </row>
    <row r="519" spans="1:6" x14ac:dyDescent="0.2">
      <c r="A519" s="1">
        <v>44914</v>
      </c>
      <c r="B519" t="s">
        <v>93</v>
      </c>
      <c r="C519">
        <v>7</v>
      </c>
      <c r="D519" t="s">
        <v>103</v>
      </c>
      <c r="E519" t="s">
        <v>101</v>
      </c>
      <c r="F519">
        <v>0</v>
      </c>
    </row>
    <row r="520" spans="1:6" x14ac:dyDescent="0.2">
      <c r="A520" s="1">
        <v>44914</v>
      </c>
      <c r="B520" t="s">
        <v>27</v>
      </c>
      <c r="C520">
        <v>14</v>
      </c>
      <c r="D520" t="s">
        <v>103</v>
      </c>
      <c r="E520" t="s">
        <v>102</v>
      </c>
      <c r="F520">
        <v>0</v>
      </c>
    </row>
    <row r="521" spans="1:6" x14ac:dyDescent="0.2">
      <c r="A521" s="1">
        <v>44914</v>
      </c>
      <c r="B521" t="s">
        <v>23</v>
      </c>
      <c r="C521">
        <v>11</v>
      </c>
      <c r="D521" t="s">
        <v>101</v>
      </c>
      <c r="E521" t="s">
        <v>101</v>
      </c>
      <c r="F521">
        <v>0</v>
      </c>
    </row>
    <row r="522" spans="1:6" x14ac:dyDescent="0.2">
      <c r="A522" s="1">
        <v>44916</v>
      </c>
      <c r="B522" t="s">
        <v>17</v>
      </c>
      <c r="C522">
        <v>10</v>
      </c>
      <c r="D522" t="s">
        <v>103</v>
      </c>
      <c r="E522" t="s">
        <v>101</v>
      </c>
      <c r="F522">
        <v>0</v>
      </c>
    </row>
    <row r="523" spans="1:6" x14ac:dyDescent="0.2">
      <c r="A523" s="1">
        <v>44924</v>
      </c>
      <c r="B523" t="s">
        <v>21</v>
      </c>
      <c r="C523">
        <v>15</v>
      </c>
      <c r="D523" t="s">
        <v>103</v>
      </c>
      <c r="E523" t="s">
        <v>101</v>
      </c>
      <c r="F523">
        <v>0</v>
      </c>
    </row>
    <row r="524" spans="1:6" x14ac:dyDescent="0.2">
      <c r="A524" s="1">
        <v>44924</v>
      </c>
      <c r="B524" t="s">
        <v>89</v>
      </c>
      <c r="C524">
        <v>1</v>
      </c>
      <c r="D524" t="s">
        <v>100</v>
      </c>
      <c r="E524" t="s">
        <v>102</v>
      </c>
      <c r="F524">
        <v>0</v>
      </c>
    </row>
    <row r="525" spans="1:6" x14ac:dyDescent="0.2">
      <c r="A525" s="1">
        <v>44925</v>
      </c>
      <c r="B525" t="s">
        <v>87</v>
      </c>
      <c r="C525">
        <v>14</v>
      </c>
      <c r="D525" t="s">
        <v>103</v>
      </c>
      <c r="E525" t="s">
        <v>101</v>
      </c>
      <c r="F525">
        <v>0</v>
      </c>
    </row>
    <row r="526" spans="1:6" x14ac:dyDescent="0.2">
      <c r="A526" s="1">
        <v>44926</v>
      </c>
      <c r="B526" t="s">
        <v>71</v>
      </c>
      <c r="C526">
        <v>12</v>
      </c>
      <c r="D526" t="s">
        <v>101</v>
      </c>
      <c r="E526" t="s">
        <v>101</v>
      </c>
      <c r="F526">
        <v>0</v>
      </c>
    </row>
    <row r="527" spans="1:6" x14ac:dyDescent="0.2">
      <c r="A527" s="1">
        <v>44926</v>
      </c>
      <c r="B527" t="s">
        <v>27</v>
      </c>
      <c r="C527">
        <v>6</v>
      </c>
      <c r="D527" t="s">
        <v>101</v>
      </c>
      <c r="E527" t="s">
        <v>101</v>
      </c>
      <c r="F527">
        <v>0</v>
      </c>
    </row>
    <row r="528" spans="1:6" x14ac:dyDescent="0.2">
      <c r="A528" s="1">
        <v>44926</v>
      </c>
      <c r="B528" t="s">
        <v>27</v>
      </c>
      <c r="C528">
        <v>3</v>
      </c>
      <c r="D528" t="s">
        <v>100</v>
      </c>
      <c r="E528" t="s">
        <v>102</v>
      </c>
      <c r="F528">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19A5E-D630-4B2E-8AC1-762EB102455E}">
  <sheetPr codeName="Sheet3">
    <tabColor rgb="FF7030A0"/>
  </sheetPr>
  <dimension ref="A1:F46"/>
  <sheetViews>
    <sheetView workbookViewId="0">
      <selection activeCell="J1" sqref="J1"/>
    </sheetView>
  </sheetViews>
  <sheetFormatPr baseColWidth="10" defaultColWidth="8.83203125" defaultRowHeight="15" x14ac:dyDescent="0.2"/>
  <cols>
    <col min="1" max="1" width="11.6640625" bestFit="1" customWidth="1"/>
    <col min="2" max="2" width="9.83203125" bestFit="1" customWidth="1"/>
    <col min="3" max="3" width="19.33203125" bestFit="1" customWidth="1"/>
    <col min="4" max="4" width="5.5" bestFit="1" customWidth="1"/>
    <col min="5" max="5" width="13.1640625" bestFit="1" customWidth="1"/>
    <col min="6" max="6" width="13.5" bestFit="1" customWidth="1"/>
  </cols>
  <sheetData>
    <row r="1" spans="1:6" x14ac:dyDescent="0.2">
      <c r="A1" t="s">
        <v>0</v>
      </c>
      <c r="B1" t="s">
        <v>1</v>
      </c>
      <c r="C1" t="s">
        <v>2</v>
      </c>
      <c r="D1" t="s">
        <v>3</v>
      </c>
      <c r="E1" t="s">
        <v>4</v>
      </c>
      <c r="F1" t="s">
        <v>5</v>
      </c>
    </row>
    <row r="2" spans="1:6" x14ac:dyDescent="0.2">
      <c r="A2" t="s">
        <v>6</v>
      </c>
      <c r="B2" t="s">
        <v>7</v>
      </c>
      <c r="C2" t="s">
        <v>127</v>
      </c>
      <c r="D2" t="s">
        <v>8</v>
      </c>
      <c r="E2">
        <v>98</v>
      </c>
      <c r="F2">
        <v>103.88</v>
      </c>
    </row>
    <row r="3" spans="1:6" x14ac:dyDescent="0.2">
      <c r="A3" t="s">
        <v>9</v>
      </c>
      <c r="B3" t="s">
        <v>10</v>
      </c>
      <c r="C3" t="s">
        <v>127</v>
      </c>
      <c r="D3" t="s">
        <v>8</v>
      </c>
      <c r="E3">
        <v>105</v>
      </c>
      <c r="F3">
        <v>142.80000000000001</v>
      </c>
    </row>
    <row r="4" spans="1:6" x14ac:dyDescent="0.2">
      <c r="A4" t="s">
        <v>11</v>
      </c>
      <c r="B4" t="s">
        <v>12</v>
      </c>
      <c r="C4" t="s">
        <v>127</v>
      </c>
      <c r="D4" t="s">
        <v>8</v>
      </c>
      <c r="E4">
        <v>71</v>
      </c>
      <c r="F4">
        <v>80.94</v>
      </c>
    </row>
    <row r="5" spans="1:6" x14ac:dyDescent="0.2">
      <c r="A5" t="s">
        <v>13</v>
      </c>
      <c r="B5" t="s">
        <v>14</v>
      </c>
      <c r="C5" t="s">
        <v>127</v>
      </c>
      <c r="D5" t="s">
        <v>104</v>
      </c>
      <c r="E5">
        <v>44</v>
      </c>
      <c r="F5">
        <v>48.84</v>
      </c>
    </row>
    <row r="6" spans="1:6" x14ac:dyDescent="0.2">
      <c r="A6" t="s">
        <v>15</v>
      </c>
      <c r="B6" t="s">
        <v>16</v>
      </c>
      <c r="C6" t="s">
        <v>127</v>
      </c>
      <c r="D6" t="s">
        <v>105</v>
      </c>
      <c r="E6">
        <v>133</v>
      </c>
      <c r="F6">
        <v>155.61000000000001</v>
      </c>
    </row>
    <row r="7" spans="1:6" x14ac:dyDescent="0.2">
      <c r="A7" t="s">
        <v>17</v>
      </c>
      <c r="B7" t="s">
        <v>18</v>
      </c>
      <c r="C7" t="s">
        <v>128</v>
      </c>
      <c r="D7" t="s">
        <v>8</v>
      </c>
      <c r="E7">
        <v>75</v>
      </c>
      <c r="F7">
        <v>85.5</v>
      </c>
    </row>
    <row r="8" spans="1:6" x14ac:dyDescent="0.2">
      <c r="A8" t="s">
        <v>19</v>
      </c>
      <c r="B8" t="s">
        <v>20</v>
      </c>
      <c r="C8" t="s">
        <v>128</v>
      </c>
      <c r="D8" t="s">
        <v>104</v>
      </c>
      <c r="E8">
        <v>43</v>
      </c>
      <c r="F8">
        <v>47.730000000000004</v>
      </c>
    </row>
    <row r="9" spans="1:6" x14ac:dyDescent="0.2">
      <c r="A9" t="s">
        <v>21</v>
      </c>
      <c r="B9" t="s">
        <v>22</v>
      </c>
      <c r="C9" t="s">
        <v>128</v>
      </c>
      <c r="D9" t="s">
        <v>8</v>
      </c>
      <c r="E9">
        <v>83</v>
      </c>
      <c r="F9">
        <v>94.62</v>
      </c>
    </row>
    <row r="10" spans="1:6" x14ac:dyDescent="0.2">
      <c r="A10" t="s">
        <v>23</v>
      </c>
      <c r="B10" t="s">
        <v>24</v>
      </c>
      <c r="C10" t="s">
        <v>128</v>
      </c>
      <c r="D10" t="s">
        <v>106</v>
      </c>
      <c r="E10">
        <v>6</v>
      </c>
      <c r="F10">
        <v>7.8599999999999994</v>
      </c>
    </row>
    <row r="11" spans="1:6" x14ac:dyDescent="0.2">
      <c r="A11" t="s">
        <v>25</v>
      </c>
      <c r="B11" t="s">
        <v>26</v>
      </c>
      <c r="C11" t="s">
        <v>128</v>
      </c>
      <c r="D11" t="s">
        <v>105</v>
      </c>
      <c r="E11">
        <v>148</v>
      </c>
      <c r="F11">
        <v>164.28</v>
      </c>
    </row>
    <row r="12" spans="1:6" x14ac:dyDescent="0.2">
      <c r="A12" t="s">
        <v>27</v>
      </c>
      <c r="B12" t="s">
        <v>28</v>
      </c>
      <c r="C12" t="s">
        <v>128</v>
      </c>
      <c r="D12" t="s">
        <v>104</v>
      </c>
      <c r="E12">
        <v>44</v>
      </c>
      <c r="F12">
        <v>48.4</v>
      </c>
    </row>
    <row r="13" spans="1:6" x14ac:dyDescent="0.2">
      <c r="A13" t="s">
        <v>29</v>
      </c>
      <c r="B13" t="s">
        <v>30</v>
      </c>
      <c r="C13" t="s">
        <v>129</v>
      </c>
      <c r="D13" t="s">
        <v>8</v>
      </c>
      <c r="E13">
        <v>73</v>
      </c>
      <c r="F13">
        <v>94.17</v>
      </c>
    </row>
    <row r="14" spans="1:6" x14ac:dyDescent="0.2">
      <c r="A14" t="s">
        <v>31</v>
      </c>
      <c r="B14" t="s">
        <v>32</v>
      </c>
      <c r="C14" t="s">
        <v>129</v>
      </c>
      <c r="D14" t="s">
        <v>8</v>
      </c>
      <c r="E14">
        <v>112</v>
      </c>
      <c r="F14">
        <v>122.08</v>
      </c>
    </row>
    <row r="15" spans="1:6" x14ac:dyDescent="0.2">
      <c r="A15" t="s">
        <v>33</v>
      </c>
      <c r="B15" t="s">
        <v>34</v>
      </c>
      <c r="C15" t="s">
        <v>129</v>
      </c>
      <c r="D15" t="s">
        <v>8</v>
      </c>
      <c r="E15">
        <v>112</v>
      </c>
      <c r="F15">
        <v>146.72</v>
      </c>
    </row>
    <row r="16" spans="1:6" x14ac:dyDescent="0.2">
      <c r="A16" t="s">
        <v>35</v>
      </c>
      <c r="B16" t="s">
        <v>36</v>
      </c>
      <c r="C16" t="s">
        <v>129</v>
      </c>
      <c r="D16" t="s">
        <v>106</v>
      </c>
      <c r="E16">
        <v>12</v>
      </c>
      <c r="F16">
        <v>15.719999999999999</v>
      </c>
    </row>
    <row r="17" spans="1:6" x14ac:dyDescent="0.2">
      <c r="A17" t="s">
        <v>37</v>
      </c>
      <c r="B17" t="s">
        <v>38</v>
      </c>
      <c r="C17" t="s">
        <v>129</v>
      </c>
      <c r="D17" t="s">
        <v>106</v>
      </c>
      <c r="E17">
        <v>13</v>
      </c>
      <c r="F17">
        <v>16.64</v>
      </c>
    </row>
    <row r="18" spans="1:6" x14ac:dyDescent="0.2">
      <c r="A18" t="s">
        <v>39</v>
      </c>
      <c r="B18" t="s">
        <v>40</v>
      </c>
      <c r="C18" t="s">
        <v>130</v>
      </c>
      <c r="D18" t="s">
        <v>105</v>
      </c>
      <c r="E18">
        <v>134</v>
      </c>
      <c r="F18">
        <v>156.78</v>
      </c>
    </row>
    <row r="19" spans="1:6" x14ac:dyDescent="0.2">
      <c r="A19" t="s">
        <v>41</v>
      </c>
      <c r="B19" t="s">
        <v>42</v>
      </c>
      <c r="C19" t="s">
        <v>130</v>
      </c>
      <c r="D19" t="s">
        <v>106</v>
      </c>
      <c r="E19">
        <v>37</v>
      </c>
      <c r="F19">
        <v>49.21</v>
      </c>
    </row>
    <row r="20" spans="1:6" x14ac:dyDescent="0.2">
      <c r="A20" t="s">
        <v>43</v>
      </c>
      <c r="B20" t="s">
        <v>44</v>
      </c>
      <c r="C20" t="s">
        <v>130</v>
      </c>
      <c r="D20" t="s">
        <v>105</v>
      </c>
      <c r="E20">
        <v>150</v>
      </c>
      <c r="F20">
        <v>210</v>
      </c>
    </row>
    <row r="21" spans="1:6" x14ac:dyDescent="0.2">
      <c r="A21" t="s">
        <v>45</v>
      </c>
      <c r="B21" t="s">
        <v>46</v>
      </c>
      <c r="C21" t="s">
        <v>130</v>
      </c>
      <c r="D21" t="s">
        <v>104</v>
      </c>
      <c r="E21">
        <v>61</v>
      </c>
      <c r="F21">
        <v>76.25</v>
      </c>
    </row>
    <row r="22" spans="1:6" x14ac:dyDescent="0.2">
      <c r="A22" t="s">
        <v>47</v>
      </c>
      <c r="B22" t="s">
        <v>48</v>
      </c>
      <c r="C22" t="s">
        <v>130</v>
      </c>
      <c r="D22" t="s">
        <v>105</v>
      </c>
      <c r="E22">
        <v>126</v>
      </c>
      <c r="F22">
        <v>162.54</v>
      </c>
    </row>
    <row r="23" spans="1:6" x14ac:dyDescent="0.2">
      <c r="A23" t="s">
        <v>49</v>
      </c>
      <c r="B23" t="s">
        <v>50</v>
      </c>
      <c r="C23" t="s">
        <v>131</v>
      </c>
      <c r="D23" t="s">
        <v>105</v>
      </c>
      <c r="E23">
        <v>121</v>
      </c>
      <c r="F23">
        <v>141.57</v>
      </c>
    </row>
    <row r="24" spans="1:6" x14ac:dyDescent="0.2">
      <c r="A24" t="s">
        <v>51</v>
      </c>
      <c r="B24" t="s">
        <v>52</v>
      </c>
      <c r="C24" t="s">
        <v>131</v>
      </c>
      <c r="D24" t="s">
        <v>105</v>
      </c>
      <c r="E24">
        <v>141</v>
      </c>
      <c r="F24">
        <v>149.46</v>
      </c>
    </row>
    <row r="25" spans="1:6" x14ac:dyDescent="0.2">
      <c r="A25" t="s">
        <v>53</v>
      </c>
      <c r="B25" t="s">
        <v>54</v>
      </c>
      <c r="C25" t="s">
        <v>131</v>
      </c>
      <c r="D25" t="s">
        <v>105</v>
      </c>
      <c r="E25">
        <v>144</v>
      </c>
      <c r="F25">
        <v>156.96</v>
      </c>
    </row>
    <row r="26" spans="1:6" x14ac:dyDescent="0.2">
      <c r="A26" t="s">
        <v>55</v>
      </c>
      <c r="B26" t="s">
        <v>56</v>
      </c>
      <c r="C26" t="s">
        <v>131</v>
      </c>
      <c r="D26" t="s">
        <v>106</v>
      </c>
      <c r="E26">
        <v>7</v>
      </c>
      <c r="F26">
        <v>8.33</v>
      </c>
    </row>
    <row r="27" spans="1:6" x14ac:dyDescent="0.2">
      <c r="A27" t="s">
        <v>57</v>
      </c>
      <c r="B27" t="s">
        <v>58</v>
      </c>
      <c r="C27" t="s">
        <v>131</v>
      </c>
      <c r="D27" t="s">
        <v>106</v>
      </c>
      <c r="E27">
        <v>18</v>
      </c>
      <c r="F27">
        <v>24.66</v>
      </c>
    </row>
    <row r="28" spans="1:6" x14ac:dyDescent="0.2">
      <c r="A28" t="s">
        <v>59</v>
      </c>
      <c r="B28" t="s">
        <v>60</v>
      </c>
      <c r="C28" t="s">
        <v>132</v>
      </c>
      <c r="D28" t="s">
        <v>104</v>
      </c>
      <c r="E28">
        <v>48</v>
      </c>
      <c r="F28">
        <v>57.120000000000005</v>
      </c>
    </row>
    <row r="29" spans="1:6" x14ac:dyDescent="0.2">
      <c r="A29" t="s">
        <v>61</v>
      </c>
      <c r="B29" t="s">
        <v>62</v>
      </c>
      <c r="C29" t="s">
        <v>132</v>
      </c>
      <c r="D29" t="s">
        <v>106</v>
      </c>
      <c r="E29">
        <v>37</v>
      </c>
      <c r="F29">
        <v>41.81</v>
      </c>
    </row>
    <row r="30" spans="1:6" x14ac:dyDescent="0.2">
      <c r="A30" t="s">
        <v>63</v>
      </c>
      <c r="B30" t="s">
        <v>64</v>
      </c>
      <c r="C30" t="s">
        <v>132</v>
      </c>
      <c r="D30" t="s">
        <v>104</v>
      </c>
      <c r="E30">
        <v>47</v>
      </c>
      <c r="F30">
        <v>53.11</v>
      </c>
    </row>
    <row r="31" spans="1:6" x14ac:dyDescent="0.2">
      <c r="A31" t="s">
        <v>65</v>
      </c>
      <c r="B31" t="s">
        <v>66</v>
      </c>
      <c r="C31" t="s">
        <v>132</v>
      </c>
      <c r="D31" t="s">
        <v>105</v>
      </c>
      <c r="E31">
        <v>148</v>
      </c>
      <c r="F31">
        <v>201.28</v>
      </c>
    </row>
    <row r="32" spans="1:6" x14ac:dyDescent="0.2">
      <c r="A32" t="s">
        <v>67</v>
      </c>
      <c r="B32" t="s">
        <v>68</v>
      </c>
      <c r="C32" t="s">
        <v>132</v>
      </c>
      <c r="D32" t="s">
        <v>8</v>
      </c>
      <c r="E32">
        <v>93</v>
      </c>
      <c r="F32">
        <v>104.16</v>
      </c>
    </row>
    <row r="33" spans="1:6" x14ac:dyDescent="0.2">
      <c r="A33" t="s">
        <v>69</v>
      </c>
      <c r="B33" t="s">
        <v>70</v>
      </c>
      <c r="C33" t="s">
        <v>133</v>
      </c>
      <c r="D33" t="s">
        <v>8</v>
      </c>
      <c r="E33">
        <v>89</v>
      </c>
      <c r="F33">
        <v>117.48</v>
      </c>
    </row>
    <row r="34" spans="1:6" x14ac:dyDescent="0.2">
      <c r="A34" t="s">
        <v>71</v>
      </c>
      <c r="B34" t="s">
        <v>72</v>
      </c>
      <c r="C34" t="s">
        <v>133</v>
      </c>
      <c r="D34" t="s">
        <v>8</v>
      </c>
      <c r="E34">
        <v>95</v>
      </c>
      <c r="F34">
        <v>119.7</v>
      </c>
    </row>
    <row r="35" spans="1:6" x14ac:dyDescent="0.2">
      <c r="A35" t="s">
        <v>73</v>
      </c>
      <c r="B35" t="s">
        <v>74</v>
      </c>
      <c r="C35" t="s">
        <v>133</v>
      </c>
      <c r="D35" t="s">
        <v>104</v>
      </c>
      <c r="E35">
        <v>55</v>
      </c>
      <c r="F35">
        <v>58.3</v>
      </c>
    </row>
    <row r="36" spans="1:6" x14ac:dyDescent="0.2">
      <c r="A36" t="s">
        <v>75</v>
      </c>
      <c r="B36" t="s">
        <v>76</v>
      </c>
      <c r="C36" t="s">
        <v>133</v>
      </c>
      <c r="D36" t="s">
        <v>106</v>
      </c>
      <c r="E36">
        <v>5</v>
      </c>
      <c r="F36">
        <v>6.7</v>
      </c>
    </row>
    <row r="37" spans="1:6" x14ac:dyDescent="0.2">
      <c r="A37" t="s">
        <v>77</v>
      </c>
      <c r="B37" t="s">
        <v>78</v>
      </c>
      <c r="C37" t="s">
        <v>133</v>
      </c>
      <c r="D37" t="s">
        <v>8</v>
      </c>
      <c r="E37">
        <v>90</v>
      </c>
      <c r="F37">
        <v>96.3</v>
      </c>
    </row>
    <row r="38" spans="1:6" x14ac:dyDescent="0.2">
      <c r="A38" t="s">
        <v>79</v>
      </c>
      <c r="B38" t="s">
        <v>80</v>
      </c>
      <c r="C38" t="s">
        <v>134</v>
      </c>
      <c r="D38" t="s">
        <v>8</v>
      </c>
      <c r="E38">
        <v>67</v>
      </c>
      <c r="F38">
        <v>85.76</v>
      </c>
    </row>
    <row r="39" spans="1:6" x14ac:dyDescent="0.2">
      <c r="A39" t="s">
        <v>81</v>
      </c>
      <c r="B39" t="s">
        <v>82</v>
      </c>
      <c r="C39" t="s">
        <v>134</v>
      </c>
      <c r="D39" t="s">
        <v>8</v>
      </c>
      <c r="E39">
        <v>72</v>
      </c>
      <c r="F39">
        <v>79.92</v>
      </c>
    </row>
    <row r="40" spans="1:6" x14ac:dyDescent="0.2">
      <c r="A40" t="s">
        <v>83</v>
      </c>
      <c r="B40" t="s">
        <v>84</v>
      </c>
      <c r="C40" t="s">
        <v>134</v>
      </c>
      <c r="D40" t="s">
        <v>106</v>
      </c>
      <c r="E40">
        <v>37</v>
      </c>
      <c r="F40">
        <v>42.55</v>
      </c>
    </row>
    <row r="41" spans="1:6" x14ac:dyDescent="0.2">
      <c r="A41" t="s">
        <v>85</v>
      </c>
      <c r="B41" t="s">
        <v>86</v>
      </c>
      <c r="C41" t="s">
        <v>134</v>
      </c>
      <c r="D41" t="s">
        <v>8</v>
      </c>
      <c r="E41">
        <v>90</v>
      </c>
      <c r="F41">
        <v>115.2</v>
      </c>
    </row>
    <row r="42" spans="1:6" x14ac:dyDescent="0.2">
      <c r="A42" t="s">
        <v>87</v>
      </c>
      <c r="B42" t="s">
        <v>88</v>
      </c>
      <c r="C42" t="s">
        <v>134</v>
      </c>
      <c r="D42" t="s">
        <v>105</v>
      </c>
      <c r="E42">
        <v>138</v>
      </c>
      <c r="F42">
        <v>173.88</v>
      </c>
    </row>
    <row r="43" spans="1:6" x14ac:dyDescent="0.2">
      <c r="A43" t="s">
        <v>89</v>
      </c>
      <c r="B43" t="s">
        <v>90</v>
      </c>
      <c r="C43" t="s">
        <v>135</v>
      </c>
      <c r="D43" t="s">
        <v>105</v>
      </c>
      <c r="E43">
        <v>120</v>
      </c>
      <c r="F43">
        <v>162</v>
      </c>
    </row>
    <row r="44" spans="1:6" x14ac:dyDescent="0.2">
      <c r="A44" t="s">
        <v>91</v>
      </c>
      <c r="B44" t="s">
        <v>92</v>
      </c>
      <c r="C44" t="s">
        <v>135</v>
      </c>
      <c r="D44" t="s">
        <v>8</v>
      </c>
      <c r="E44">
        <v>67</v>
      </c>
      <c r="F44">
        <v>83.08</v>
      </c>
    </row>
    <row r="45" spans="1:6" x14ac:dyDescent="0.2">
      <c r="A45" t="s">
        <v>93</v>
      </c>
      <c r="B45" t="s">
        <v>94</v>
      </c>
      <c r="C45" t="s">
        <v>135</v>
      </c>
      <c r="D45" t="s">
        <v>8</v>
      </c>
      <c r="E45">
        <v>76</v>
      </c>
      <c r="F45">
        <v>82.08</v>
      </c>
    </row>
    <row r="46" spans="1:6" x14ac:dyDescent="0.2">
      <c r="A46" t="s">
        <v>107</v>
      </c>
      <c r="B46" t="s">
        <v>108</v>
      </c>
      <c r="C46" t="s">
        <v>135</v>
      </c>
      <c r="D46" t="s">
        <v>8</v>
      </c>
      <c r="E46">
        <v>50</v>
      </c>
      <c r="F46">
        <v>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2C110-E5F7-4776-B5A7-D675B5395AF8}">
  <sheetPr codeName="Sheet5">
    <tabColor rgb="FF7030A0"/>
  </sheetPr>
  <dimension ref="D1:J13"/>
  <sheetViews>
    <sheetView workbookViewId="0">
      <selection activeCell="J5" sqref="J5:J9"/>
    </sheetView>
  </sheetViews>
  <sheetFormatPr baseColWidth="10" defaultColWidth="8.83203125" defaultRowHeight="15" x14ac:dyDescent="0.2"/>
  <cols>
    <col min="4" max="4" width="14.83203125" bestFit="1" customWidth="1"/>
    <col min="7" max="7" width="16.83203125" bestFit="1" customWidth="1"/>
    <col min="10" max="10" width="19" bestFit="1" customWidth="1"/>
  </cols>
  <sheetData>
    <row r="1" spans="4:10" ht="16" thickBot="1" x14ac:dyDescent="0.25"/>
    <row r="2" spans="4:10" x14ac:dyDescent="0.2">
      <c r="D2" s="12" t="s">
        <v>138</v>
      </c>
      <c r="G2" s="12" t="s">
        <v>139</v>
      </c>
      <c r="J2" s="12" t="s">
        <v>140</v>
      </c>
    </row>
    <row r="3" spans="4:10" x14ac:dyDescent="0.2">
      <c r="D3" s="13" t="s">
        <v>95</v>
      </c>
      <c r="G3" s="13" t="s">
        <v>0</v>
      </c>
      <c r="J3" s="13" t="s">
        <v>95</v>
      </c>
    </row>
    <row r="4" spans="4:10" x14ac:dyDescent="0.2">
      <c r="D4" s="13" t="s">
        <v>0</v>
      </c>
      <c r="G4" s="13" t="s">
        <v>1</v>
      </c>
      <c r="J4" s="13" t="s">
        <v>0</v>
      </c>
    </row>
    <row r="5" spans="4:10" x14ac:dyDescent="0.2">
      <c r="D5" s="13" t="s">
        <v>96</v>
      </c>
      <c r="G5" s="13" t="s">
        <v>2</v>
      </c>
      <c r="J5" s="13" t="s">
        <v>1</v>
      </c>
    </row>
    <row r="6" spans="4:10" x14ac:dyDescent="0.2">
      <c r="D6" s="13" t="s">
        <v>97</v>
      </c>
      <c r="G6" s="13" t="s">
        <v>3</v>
      </c>
      <c r="J6" s="13" t="s">
        <v>2</v>
      </c>
    </row>
    <row r="7" spans="4:10" x14ac:dyDescent="0.2">
      <c r="D7" s="13" t="s">
        <v>98</v>
      </c>
      <c r="G7" s="13" t="s">
        <v>4</v>
      </c>
      <c r="J7" s="13" t="s">
        <v>3</v>
      </c>
    </row>
    <row r="8" spans="4:10" ht="16" thickBot="1" x14ac:dyDescent="0.25">
      <c r="D8" s="14" t="s">
        <v>99</v>
      </c>
      <c r="G8" s="14" t="s">
        <v>5</v>
      </c>
      <c r="J8" s="13" t="s">
        <v>4</v>
      </c>
    </row>
    <row r="9" spans="4:10" ht="16" thickBot="1" x14ac:dyDescent="0.25">
      <c r="J9" s="14" t="s">
        <v>5</v>
      </c>
    </row>
    <row r="10" spans="4:10" x14ac:dyDescent="0.2">
      <c r="J10" s="13" t="s">
        <v>96</v>
      </c>
    </row>
    <row r="11" spans="4:10" x14ac:dyDescent="0.2">
      <c r="J11" s="13" t="s">
        <v>97</v>
      </c>
    </row>
    <row r="12" spans="4:10" x14ac:dyDescent="0.2">
      <c r="J12" s="13" t="s">
        <v>98</v>
      </c>
    </row>
    <row r="13" spans="4:10" ht="16" thickBot="1" x14ac:dyDescent="0.25">
      <c r="J13" s="14" t="s">
        <v>99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E3789-2CA0-4096-9842-F672F6EDBFE3}">
  <sheetPr codeName="Sheet4">
    <tabColor rgb="FF7030A0"/>
  </sheetPr>
  <dimension ref="A1:P528"/>
  <sheetViews>
    <sheetView workbookViewId="0">
      <selection activeCell="P2" sqref="P2"/>
    </sheetView>
  </sheetViews>
  <sheetFormatPr baseColWidth="10" defaultColWidth="8.83203125" defaultRowHeight="15" x14ac:dyDescent="0.2"/>
  <cols>
    <col min="1" max="1" width="10.5" bestFit="1" customWidth="1"/>
    <col min="2" max="2" width="11.83203125" bestFit="1" customWidth="1"/>
    <col min="3" max="3" width="10.33203125" bestFit="1" customWidth="1"/>
    <col min="4" max="4" width="11.33203125" bestFit="1" customWidth="1"/>
    <col min="5" max="5" width="16" bestFit="1" customWidth="1"/>
    <col min="6" max="6" width="12.33203125" style="5" bestFit="1" customWidth="1"/>
    <col min="7" max="7" width="9.83203125" bestFit="1" customWidth="1"/>
    <col min="8" max="8" width="19.33203125" bestFit="1" customWidth="1"/>
    <col min="9" max="9" width="5.6640625" bestFit="1" customWidth="1"/>
    <col min="10" max="10" width="13.5" style="7" bestFit="1" customWidth="1"/>
    <col min="11" max="11" width="13.6640625" style="7" bestFit="1" customWidth="1"/>
    <col min="12" max="13" width="15.5" style="7" bestFit="1" customWidth="1"/>
    <col min="14" max="14" width="4.6640625" bestFit="1" customWidth="1"/>
    <col min="15" max="15" width="8" bestFit="1" customWidth="1"/>
    <col min="16" max="16" width="5.5" bestFit="1" customWidth="1"/>
  </cols>
  <sheetData>
    <row r="1" spans="1:16" x14ac:dyDescent="0.2">
      <c r="A1" s="2" t="s">
        <v>95</v>
      </c>
      <c r="B1" s="3" t="s">
        <v>0</v>
      </c>
      <c r="C1" s="3" t="s">
        <v>96</v>
      </c>
      <c r="D1" s="3" t="s">
        <v>97</v>
      </c>
      <c r="E1" s="3" t="s">
        <v>98</v>
      </c>
      <c r="F1" s="4" t="s">
        <v>99</v>
      </c>
      <c r="G1" s="3" t="s">
        <v>1</v>
      </c>
      <c r="H1" s="3" t="s">
        <v>2</v>
      </c>
      <c r="I1" s="3" t="s">
        <v>3</v>
      </c>
      <c r="J1" s="6" t="s">
        <v>4</v>
      </c>
      <c r="K1" s="6" t="s">
        <v>5</v>
      </c>
      <c r="L1" s="6" t="s">
        <v>109</v>
      </c>
      <c r="M1" s="6" t="s">
        <v>110</v>
      </c>
      <c r="N1" s="3" t="s">
        <v>111</v>
      </c>
      <c r="O1" s="3" t="s">
        <v>112</v>
      </c>
      <c r="P1" s="3" t="s">
        <v>113</v>
      </c>
    </row>
    <row r="2" spans="1:16" x14ac:dyDescent="0.2">
      <c r="A2" s="1">
        <v>44197</v>
      </c>
      <c r="B2" t="s">
        <v>53</v>
      </c>
      <c r="C2">
        <v>9</v>
      </c>
      <c r="D2" t="s">
        <v>100</v>
      </c>
      <c r="E2" t="s">
        <v>101</v>
      </c>
      <c r="F2" s="5">
        <v>0</v>
      </c>
      <c r="G2" t="str">
        <f>VLOOKUP($B2,PRODUCT_MASTER!$A:$F,MATCH('FINAL DATA'!G$1,PRODUCT_MASTER!$A$1:$F$1,0),0)</f>
        <v>Product24</v>
      </c>
      <c r="H2" t="str">
        <f>VLOOKUP($B2,PRODUCT_MASTER!$A:$F,MATCH('FINAL DATA'!H$1,PRODUCT_MASTER!$A$1:$F$1,0),0)</f>
        <v>Seafood</v>
      </c>
      <c r="I2" t="str">
        <f>VLOOKUP($B2,PRODUCT_MASTER!$A:$F,MATCH('FINAL DATA'!I$1,PRODUCT_MASTER!$A$1:$F$1,0),0)</f>
        <v>Ft</v>
      </c>
      <c r="J2" s="7">
        <f>VLOOKUP($B2,PRODUCT_MASTER!$A:$F,MATCH('FINAL DATA'!J$1,PRODUCT_MASTER!$A$1:$F$1,0),0)</f>
        <v>144</v>
      </c>
      <c r="K2" s="7">
        <f>VLOOKUP($B2,PRODUCT_MASTER!$A:$F,MATCH('FINAL DATA'!K$1,PRODUCT_MASTER!$A$1:$F$1,0),0)</f>
        <v>156.96</v>
      </c>
      <c r="L2" s="7">
        <f>C2*J2</f>
        <v>1296</v>
      </c>
      <c r="M2" s="7">
        <f>(K2-(K2*F2))*C2</f>
        <v>1412.64</v>
      </c>
      <c r="N2">
        <f>DAY(A2)</f>
        <v>1</v>
      </c>
      <c r="O2" t="str">
        <f>TEXT(A2,"MMM")</f>
        <v>Jan</v>
      </c>
      <c r="P2">
        <f>YEAR(A2)</f>
        <v>2021</v>
      </c>
    </row>
    <row r="3" spans="1:16" x14ac:dyDescent="0.2">
      <c r="A3" s="1">
        <v>44198</v>
      </c>
      <c r="B3" t="s">
        <v>81</v>
      </c>
      <c r="C3">
        <v>15</v>
      </c>
      <c r="D3" t="s">
        <v>101</v>
      </c>
      <c r="E3" t="s">
        <v>102</v>
      </c>
      <c r="F3" s="5">
        <v>0</v>
      </c>
      <c r="G3" t="str">
        <f>VLOOKUP($B3,PRODUCT_MASTER!$A:$F,MATCH('FINAL DATA'!G$1,PRODUCT_MASTER!$A$1:$F$1,0),0)</f>
        <v>Product38</v>
      </c>
      <c r="H3" t="str">
        <f>VLOOKUP($B3,PRODUCT_MASTER!$A:$F,MATCH('FINAL DATA'!H$1,PRODUCT_MASTER!$A$1:$F$1,0),0)</f>
        <v>Snacks</v>
      </c>
      <c r="I3" t="str">
        <f>VLOOKUP($B3,PRODUCT_MASTER!$A:$F,MATCH('FINAL DATA'!I$1,PRODUCT_MASTER!$A$1:$F$1,0),0)</f>
        <v>Kg</v>
      </c>
      <c r="J3" s="7">
        <f>VLOOKUP($B3,PRODUCT_MASTER!$A:$F,MATCH('FINAL DATA'!J$1,PRODUCT_MASTER!$A$1:$F$1,0),0)</f>
        <v>72</v>
      </c>
      <c r="K3" s="7">
        <f>VLOOKUP($B3,PRODUCT_MASTER!$A:$F,MATCH('FINAL DATA'!K$1,PRODUCT_MASTER!$A$1:$F$1,0),0)</f>
        <v>79.92</v>
      </c>
      <c r="L3" s="7">
        <f t="shared" ref="L3:L66" si="0">C3*J3</f>
        <v>1080</v>
      </c>
      <c r="M3" s="7">
        <f t="shared" ref="M3:M66" si="1">(K3-(K3*F3))*C3</f>
        <v>1198.8</v>
      </c>
      <c r="N3">
        <f t="shared" ref="N3:N66" si="2">DAY(A3)</f>
        <v>2</v>
      </c>
      <c r="O3" t="str">
        <f t="shared" ref="O3:O66" si="3">TEXT(A3,"MMM")</f>
        <v>Jan</v>
      </c>
      <c r="P3">
        <f t="shared" ref="P3:P66" si="4">YEAR(A3)</f>
        <v>2021</v>
      </c>
    </row>
    <row r="4" spans="1:16" x14ac:dyDescent="0.2">
      <c r="A4" s="1">
        <v>44198</v>
      </c>
      <c r="B4" t="s">
        <v>31</v>
      </c>
      <c r="C4">
        <v>6</v>
      </c>
      <c r="D4" t="s">
        <v>103</v>
      </c>
      <c r="E4" t="s">
        <v>102</v>
      </c>
      <c r="F4" s="5">
        <v>0</v>
      </c>
      <c r="G4" t="str">
        <f>VLOOKUP($B4,PRODUCT_MASTER!$A:$F,MATCH('FINAL DATA'!G$1,PRODUCT_MASTER!$A$1:$F$1,0),0)</f>
        <v>Product13</v>
      </c>
      <c r="H4" t="str">
        <f>VLOOKUP($B4,PRODUCT_MASTER!$A:$F,MATCH('FINAL DATA'!H$1,PRODUCT_MASTER!$A$1:$F$1,0),0)</f>
        <v>Meat</v>
      </c>
      <c r="I4" t="str">
        <f>VLOOKUP($B4,PRODUCT_MASTER!$A:$F,MATCH('FINAL DATA'!I$1,PRODUCT_MASTER!$A$1:$F$1,0),0)</f>
        <v>Kg</v>
      </c>
      <c r="J4" s="7">
        <f>VLOOKUP($B4,PRODUCT_MASTER!$A:$F,MATCH('FINAL DATA'!J$1,PRODUCT_MASTER!$A$1:$F$1,0),0)</f>
        <v>112</v>
      </c>
      <c r="K4" s="7">
        <f>VLOOKUP($B4,PRODUCT_MASTER!$A:$F,MATCH('FINAL DATA'!K$1,PRODUCT_MASTER!$A$1:$F$1,0),0)</f>
        <v>122.08</v>
      </c>
      <c r="L4" s="7">
        <f t="shared" si="0"/>
        <v>672</v>
      </c>
      <c r="M4" s="7">
        <f t="shared" si="1"/>
        <v>732.48</v>
      </c>
      <c r="N4">
        <f t="shared" si="2"/>
        <v>2</v>
      </c>
      <c r="O4" t="str">
        <f t="shared" si="3"/>
        <v>Jan</v>
      </c>
      <c r="P4">
        <f t="shared" si="4"/>
        <v>2021</v>
      </c>
    </row>
    <row r="5" spans="1:16" x14ac:dyDescent="0.2">
      <c r="A5" s="1">
        <v>44199</v>
      </c>
      <c r="B5" t="s">
        <v>13</v>
      </c>
      <c r="C5">
        <v>5</v>
      </c>
      <c r="D5" t="s">
        <v>103</v>
      </c>
      <c r="E5" t="s">
        <v>101</v>
      </c>
      <c r="F5" s="5">
        <v>0</v>
      </c>
      <c r="G5" t="str">
        <f>VLOOKUP($B5,PRODUCT_MASTER!$A:$F,MATCH('FINAL DATA'!G$1,PRODUCT_MASTER!$A$1:$F$1,0),0)</f>
        <v>Product04</v>
      </c>
      <c r="H5" t="str">
        <f>VLOOKUP($B5,PRODUCT_MASTER!$A:$F,MATCH('FINAL DATA'!H$1,PRODUCT_MASTER!$A$1:$F$1,0),0)</f>
        <v>Organic</v>
      </c>
      <c r="I5" t="str">
        <f>VLOOKUP($B5,PRODUCT_MASTER!$A:$F,MATCH('FINAL DATA'!I$1,PRODUCT_MASTER!$A$1:$F$1,0),0)</f>
        <v>Lt</v>
      </c>
      <c r="J5" s="7">
        <f>VLOOKUP($B5,PRODUCT_MASTER!$A:$F,MATCH('FINAL DATA'!J$1,PRODUCT_MASTER!$A$1:$F$1,0),0)</f>
        <v>44</v>
      </c>
      <c r="K5" s="7">
        <f>VLOOKUP($B5,PRODUCT_MASTER!$A:$F,MATCH('FINAL DATA'!K$1,PRODUCT_MASTER!$A$1:$F$1,0),0)</f>
        <v>48.84</v>
      </c>
      <c r="L5" s="7">
        <f t="shared" si="0"/>
        <v>220</v>
      </c>
      <c r="M5" s="7">
        <f t="shared" si="1"/>
        <v>244.20000000000002</v>
      </c>
      <c r="N5">
        <f t="shared" si="2"/>
        <v>3</v>
      </c>
      <c r="O5" t="str">
        <f t="shared" si="3"/>
        <v>Jan</v>
      </c>
      <c r="P5">
        <f t="shared" si="4"/>
        <v>2021</v>
      </c>
    </row>
    <row r="6" spans="1:16" x14ac:dyDescent="0.2">
      <c r="A6" s="1">
        <v>44200</v>
      </c>
      <c r="B6" t="s">
        <v>75</v>
      </c>
      <c r="C6">
        <v>12</v>
      </c>
      <c r="D6" t="s">
        <v>101</v>
      </c>
      <c r="E6" t="s">
        <v>101</v>
      </c>
      <c r="F6" s="5">
        <v>0</v>
      </c>
      <c r="G6" t="str">
        <f>VLOOKUP($B6,PRODUCT_MASTER!$A:$F,MATCH('FINAL DATA'!G$1,PRODUCT_MASTER!$A$1:$F$1,0),0)</f>
        <v>Product35</v>
      </c>
      <c r="H6" t="str">
        <f>VLOOKUP($B6,PRODUCT_MASTER!$A:$F,MATCH('FINAL DATA'!H$1,PRODUCT_MASTER!$A$1:$F$1,0),0)</f>
        <v>Bakery And Desserts</v>
      </c>
      <c r="I6" t="str">
        <f>VLOOKUP($B6,PRODUCT_MASTER!$A:$F,MATCH('FINAL DATA'!I$1,PRODUCT_MASTER!$A$1:$F$1,0),0)</f>
        <v>No.</v>
      </c>
      <c r="J6" s="7">
        <f>VLOOKUP($B6,PRODUCT_MASTER!$A:$F,MATCH('FINAL DATA'!J$1,PRODUCT_MASTER!$A$1:$F$1,0),0)</f>
        <v>5</v>
      </c>
      <c r="K6" s="7">
        <f>VLOOKUP($B6,PRODUCT_MASTER!$A:$F,MATCH('FINAL DATA'!K$1,PRODUCT_MASTER!$A$1:$F$1,0),0)</f>
        <v>6.7</v>
      </c>
      <c r="L6" s="7">
        <f t="shared" si="0"/>
        <v>60</v>
      </c>
      <c r="M6" s="7">
        <f t="shared" si="1"/>
        <v>80.400000000000006</v>
      </c>
      <c r="N6">
        <f t="shared" si="2"/>
        <v>4</v>
      </c>
      <c r="O6" t="str">
        <f t="shared" si="3"/>
        <v>Jan</v>
      </c>
      <c r="P6">
        <f t="shared" si="4"/>
        <v>2021</v>
      </c>
    </row>
    <row r="7" spans="1:16" x14ac:dyDescent="0.2">
      <c r="A7" s="1">
        <v>44205</v>
      </c>
      <c r="B7" t="s">
        <v>67</v>
      </c>
      <c r="C7">
        <v>1</v>
      </c>
      <c r="D7" t="s">
        <v>103</v>
      </c>
      <c r="E7" t="s">
        <v>102</v>
      </c>
      <c r="F7" s="5">
        <v>0</v>
      </c>
      <c r="G7" t="str">
        <f>VLOOKUP($B7,PRODUCT_MASTER!$A:$F,MATCH('FINAL DATA'!G$1,PRODUCT_MASTER!$A$1:$F$1,0),0)</f>
        <v>Product31</v>
      </c>
      <c r="H7" t="str">
        <f>VLOOKUP($B7,PRODUCT_MASTER!$A:$F,MATCH('FINAL DATA'!H$1,PRODUCT_MASTER!$A$1:$F$1,0),0)</f>
        <v>Cheese And Dairy</v>
      </c>
      <c r="I7" t="str">
        <f>VLOOKUP($B7,PRODUCT_MASTER!$A:$F,MATCH('FINAL DATA'!I$1,PRODUCT_MASTER!$A$1:$F$1,0),0)</f>
        <v>Kg</v>
      </c>
      <c r="J7" s="7">
        <f>VLOOKUP($B7,PRODUCT_MASTER!$A:$F,MATCH('FINAL DATA'!J$1,PRODUCT_MASTER!$A$1:$F$1,0),0)</f>
        <v>93</v>
      </c>
      <c r="K7" s="7">
        <f>VLOOKUP($B7,PRODUCT_MASTER!$A:$F,MATCH('FINAL DATA'!K$1,PRODUCT_MASTER!$A$1:$F$1,0),0)</f>
        <v>104.16</v>
      </c>
      <c r="L7" s="7">
        <f t="shared" si="0"/>
        <v>93</v>
      </c>
      <c r="M7" s="7">
        <f t="shared" si="1"/>
        <v>104.16</v>
      </c>
      <c r="N7">
        <f t="shared" si="2"/>
        <v>9</v>
      </c>
      <c r="O7" t="str">
        <f t="shared" si="3"/>
        <v>Jan</v>
      </c>
      <c r="P7">
        <f t="shared" si="4"/>
        <v>2021</v>
      </c>
    </row>
    <row r="8" spans="1:16" x14ac:dyDescent="0.2">
      <c r="A8" s="1">
        <v>44205</v>
      </c>
      <c r="B8" t="s">
        <v>11</v>
      </c>
      <c r="C8">
        <v>8</v>
      </c>
      <c r="D8" t="s">
        <v>103</v>
      </c>
      <c r="E8" t="s">
        <v>102</v>
      </c>
      <c r="F8" s="5">
        <v>0</v>
      </c>
      <c r="G8" t="str">
        <f>VLOOKUP($B8,PRODUCT_MASTER!$A:$F,MATCH('FINAL DATA'!G$1,PRODUCT_MASTER!$A$1:$F$1,0),0)</f>
        <v>Product03</v>
      </c>
      <c r="H8" t="str">
        <f>VLOOKUP($B8,PRODUCT_MASTER!$A:$F,MATCH('FINAL DATA'!H$1,PRODUCT_MASTER!$A$1:$F$1,0),0)</f>
        <v>Organic</v>
      </c>
      <c r="I8" t="str">
        <f>VLOOKUP($B8,PRODUCT_MASTER!$A:$F,MATCH('FINAL DATA'!I$1,PRODUCT_MASTER!$A$1:$F$1,0),0)</f>
        <v>Kg</v>
      </c>
      <c r="J8" s="7">
        <f>VLOOKUP($B8,PRODUCT_MASTER!$A:$F,MATCH('FINAL DATA'!J$1,PRODUCT_MASTER!$A$1:$F$1,0),0)</f>
        <v>71</v>
      </c>
      <c r="K8" s="7">
        <f>VLOOKUP($B8,PRODUCT_MASTER!$A:$F,MATCH('FINAL DATA'!K$1,PRODUCT_MASTER!$A$1:$F$1,0),0)</f>
        <v>80.94</v>
      </c>
      <c r="L8" s="7">
        <f t="shared" si="0"/>
        <v>568</v>
      </c>
      <c r="M8" s="7">
        <f t="shared" si="1"/>
        <v>647.52</v>
      </c>
      <c r="N8">
        <f t="shared" si="2"/>
        <v>9</v>
      </c>
      <c r="O8" t="str">
        <f t="shared" si="3"/>
        <v>Jan</v>
      </c>
      <c r="P8">
        <f t="shared" si="4"/>
        <v>2021</v>
      </c>
    </row>
    <row r="9" spans="1:16" x14ac:dyDescent="0.2">
      <c r="A9" s="1">
        <v>44205</v>
      </c>
      <c r="B9" t="s">
        <v>55</v>
      </c>
      <c r="C9">
        <v>4</v>
      </c>
      <c r="D9" t="s">
        <v>103</v>
      </c>
      <c r="E9" t="s">
        <v>101</v>
      </c>
      <c r="F9" s="5">
        <v>0</v>
      </c>
      <c r="G9" t="str">
        <f>VLOOKUP($B9,PRODUCT_MASTER!$A:$F,MATCH('FINAL DATA'!G$1,PRODUCT_MASTER!$A$1:$F$1,0),0)</f>
        <v>Product25</v>
      </c>
      <c r="H9" t="str">
        <f>VLOOKUP($B9,PRODUCT_MASTER!$A:$F,MATCH('FINAL DATA'!H$1,PRODUCT_MASTER!$A$1:$F$1,0),0)</f>
        <v>Seafood</v>
      </c>
      <c r="I9" t="str">
        <f>VLOOKUP($B9,PRODUCT_MASTER!$A:$F,MATCH('FINAL DATA'!I$1,PRODUCT_MASTER!$A$1:$F$1,0),0)</f>
        <v>No.</v>
      </c>
      <c r="J9" s="7">
        <f>VLOOKUP($B9,PRODUCT_MASTER!$A:$F,MATCH('FINAL DATA'!J$1,PRODUCT_MASTER!$A$1:$F$1,0),0)</f>
        <v>7</v>
      </c>
      <c r="K9" s="7">
        <f>VLOOKUP($B9,PRODUCT_MASTER!$A:$F,MATCH('FINAL DATA'!K$1,PRODUCT_MASTER!$A$1:$F$1,0),0)</f>
        <v>8.33</v>
      </c>
      <c r="L9" s="7">
        <f t="shared" si="0"/>
        <v>28</v>
      </c>
      <c r="M9" s="7">
        <f t="shared" si="1"/>
        <v>33.32</v>
      </c>
      <c r="N9">
        <f t="shared" si="2"/>
        <v>9</v>
      </c>
      <c r="O9" t="str">
        <f t="shared" si="3"/>
        <v>Jan</v>
      </c>
      <c r="P9">
        <f t="shared" si="4"/>
        <v>2021</v>
      </c>
    </row>
    <row r="10" spans="1:16" x14ac:dyDescent="0.2">
      <c r="A10" s="1">
        <v>44207</v>
      </c>
      <c r="B10" t="s">
        <v>79</v>
      </c>
      <c r="C10">
        <v>3</v>
      </c>
      <c r="D10" t="s">
        <v>103</v>
      </c>
      <c r="E10" t="s">
        <v>102</v>
      </c>
      <c r="F10" s="5">
        <v>0</v>
      </c>
      <c r="G10" t="str">
        <f>VLOOKUP($B10,PRODUCT_MASTER!$A:$F,MATCH('FINAL DATA'!G$1,PRODUCT_MASTER!$A$1:$F$1,0),0)</f>
        <v>Product37</v>
      </c>
      <c r="H10" t="str">
        <f>VLOOKUP($B10,PRODUCT_MASTER!$A:$F,MATCH('FINAL DATA'!H$1,PRODUCT_MASTER!$A$1:$F$1,0),0)</f>
        <v>Snacks</v>
      </c>
      <c r="I10" t="str">
        <f>VLOOKUP($B10,PRODUCT_MASTER!$A:$F,MATCH('FINAL DATA'!I$1,PRODUCT_MASTER!$A$1:$F$1,0),0)</f>
        <v>Kg</v>
      </c>
      <c r="J10" s="7">
        <f>VLOOKUP($B10,PRODUCT_MASTER!$A:$F,MATCH('FINAL DATA'!J$1,PRODUCT_MASTER!$A$1:$F$1,0),0)</f>
        <v>67</v>
      </c>
      <c r="K10" s="7">
        <f>VLOOKUP($B10,PRODUCT_MASTER!$A:$F,MATCH('FINAL DATA'!K$1,PRODUCT_MASTER!$A$1:$F$1,0),0)</f>
        <v>85.76</v>
      </c>
      <c r="L10" s="7">
        <f t="shared" si="0"/>
        <v>201</v>
      </c>
      <c r="M10" s="7">
        <f t="shared" si="1"/>
        <v>257.28000000000003</v>
      </c>
      <c r="N10">
        <f t="shared" si="2"/>
        <v>11</v>
      </c>
      <c r="O10" t="str">
        <f t="shared" si="3"/>
        <v>Jan</v>
      </c>
      <c r="P10">
        <f t="shared" si="4"/>
        <v>2021</v>
      </c>
    </row>
    <row r="11" spans="1:16" x14ac:dyDescent="0.2">
      <c r="A11" s="1">
        <v>44207</v>
      </c>
      <c r="B11" t="s">
        <v>33</v>
      </c>
      <c r="C11">
        <v>4</v>
      </c>
      <c r="D11" t="s">
        <v>100</v>
      </c>
      <c r="E11" t="s">
        <v>101</v>
      </c>
      <c r="F11" s="5">
        <v>0</v>
      </c>
      <c r="G11" t="str">
        <f>VLOOKUP($B11,PRODUCT_MASTER!$A:$F,MATCH('FINAL DATA'!G$1,PRODUCT_MASTER!$A$1:$F$1,0),0)</f>
        <v>Product14</v>
      </c>
      <c r="H11" t="str">
        <f>VLOOKUP($B11,PRODUCT_MASTER!$A:$F,MATCH('FINAL DATA'!H$1,PRODUCT_MASTER!$A$1:$F$1,0),0)</f>
        <v>Meat</v>
      </c>
      <c r="I11" t="str">
        <f>VLOOKUP($B11,PRODUCT_MASTER!$A:$F,MATCH('FINAL DATA'!I$1,PRODUCT_MASTER!$A$1:$F$1,0),0)</f>
        <v>Kg</v>
      </c>
      <c r="J11" s="7">
        <f>VLOOKUP($B11,PRODUCT_MASTER!$A:$F,MATCH('FINAL DATA'!J$1,PRODUCT_MASTER!$A$1:$F$1,0),0)</f>
        <v>112</v>
      </c>
      <c r="K11" s="7">
        <f>VLOOKUP($B11,PRODUCT_MASTER!$A:$F,MATCH('FINAL DATA'!K$1,PRODUCT_MASTER!$A$1:$F$1,0),0)</f>
        <v>146.72</v>
      </c>
      <c r="L11" s="7">
        <f t="shared" si="0"/>
        <v>448</v>
      </c>
      <c r="M11" s="7">
        <f t="shared" si="1"/>
        <v>586.88</v>
      </c>
      <c r="N11">
        <f t="shared" si="2"/>
        <v>11</v>
      </c>
      <c r="O11" t="str">
        <f t="shared" si="3"/>
        <v>Jan</v>
      </c>
      <c r="P11">
        <f t="shared" si="4"/>
        <v>2021</v>
      </c>
    </row>
    <row r="12" spans="1:16" x14ac:dyDescent="0.2">
      <c r="A12" s="1">
        <v>44207</v>
      </c>
      <c r="B12" t="s">
        <v>89</v>
      </c>
      <c r="C12">
        <v>4</v>
      </c>
      <c r="D12" t="s">
        <v>103</v>
      </c>
      <c r="E12" t="s">
        <v>101</v>
      </c>
      <c r="F12" s="5">
        <v>0</v>
      </c>
      <c r="G12" t="str">
        <f>VLOOKUP($B12,PRODUCT_MASTER!$A:$F,MATCH('FINAL DATA'!G$1,PRODUCT_MASTER!$A$1:$F$1,0),0)</f>
        <v>Product42</v>
      </c>
      <c r="H12" t="str">
        <f>VLOOKUP($B12,PRODUCT_MASTER!$A:$F,MATCH('FINAL DATA'!H$1,PRODUCT_MASTER!$A$1:$F$1,0),0)</f>
        <v>Candy</v>
      </c>
      <c r="I12" t="str">
        <f>VLOOKUP($B12,PRODUCT_MASTER!$A:$F,MATCH('FINAL DATA'!I$1,PRODUCT_MASTER!$A$1:$F$1,0),0)</f>
        <v>Ft</v>
      </c>
      <c r="J12" s="7">
        <f>VLOOKUP($B12,PRODUCT_MASTER!$A:$F,MATCH('FINAL DATA'!J$1,PRODUCT_MASTER!$A$1:$F$1,0),0)</f>
        <v>120</v>
      </c>
      <c r="K12" s="7">
        <f>VLOOKUP($B12,PRODUCT_MASTER!$A:$F,MATCH('FINAL DATA'!K$1,PRODUCT_MASTER!$A$1:$F$1,0),0)</f>
        <v>162</v>
      </c>
      <c r="L12" s="7">
        <f t="shared" si="0"/>
        <v>480</v>
      </c>
      <c r="M12" s="7">
        <f t="shared" si="1"/>
        <v>648</v>
      </c>
      <c r="N12">
        <f t="shared" si="2"/>
        <v>11</v>
      </c>
      <c r="O12" t="str">
        <f t="shared" si="3"/>
        <v>Jan</v>
      </c>
      <c r="P12">
        <f t="shared" si="4"/>
        <v>2021</v>
      </c>
    </row>
    <row r="13" spans="1:16" x14ac:dyDescent="0.2">
      <c r="A13" s="1">
        <v>44208</v>
      </c>
      <c r="B13" t="s">
        <v>89</v>
      </c>
      <c r="C13">
        <v>10</v>
      </c>
      <c r="D13" t="s">
        <v>101</v>
      </c>
      <c r="E13" t="s">
        <v>102</v>
      </c>
      <c r="F13" s="5">
        <v>0</v>
      </c>
      <c r="G13" t="str">
        <f>VLOOKUP($B13,PRODUCT_MASTER!$A:$F,MATCH('FINAL DATA'!G$1,PRODUCT_MASTER!$A$1:$F$1,0),0)</f>
        <v>Product42</v>
      </c>
      <c r="H13" t="str">
        <f>VLOOKUP($B13,PRODUCT_MASTER!$A:$F,MATCH('FINAL DATA'!H$1,PRODUCT_MASTER!$A$1:$F$1,0),0)</f>
        <v>Candy</v>
      </c>
      <c r="I13" t="str">
        <f>VLOOKUP($B13,PRODUCT_MASTER!$A:$F,MATCH('FINAL DATA'!I$1,PRODUCT_MASTER!$A$1:$F$1,0),0)</f>
        <v>Ft</v>
      </c>
      <c r="J13" s="7">
        <f>VLOOKUP($B13,PRODUCT_MASTER!$A:$F,MATCH('FINAL DATA'!J$1,PRODUCT_MASTER!$A$1:$F$1,0),0)</f>
        <v>120</v>
      </c>
      <c r="K13" s="7">
        <f>VLOOKUP($B13,PRODUCT_MASTER!$A:$F,MATCH('FINAL DATA'!K$1,PRODUCT_MASTER!$A$1:$F$1,0),0)</f>
        <v>162</v>
      </c>
      <c r="L13" s="7">
        <f t="shared" si="0"/>
        <v>1200</v>
      </c>
      <c r="M13" s="7">
        <f t="shared" si="1"/>
        <v>1620</v>
      </c>
      <c r="N13">
        <f t="shared" si="2"/>
        <v>12</v>
      </c>
      <c r="O13" t="str">
        <f t="shared" si="3"/>
        <v>Jan</v>
      </c>
      <c r="P13">
        <f t="shared" si="4"/>
        <v>2021</v>
      </c>
    </row>
    <row r="14" spans="1:16" x14ac:dyDescent="0.2">
      <c r="A14" s="1">
        <v>44214</v>
      </c>
      <c r="B14" t="s">
        <v>93</v>
      </c>
      <c r="C14">
        <v>13</v>
      </c>
      <c r="D14" t="s">
        <v>103</v>
      </c>
      <c r="E14" t="s">
        <v>101</v>
      </c>
      <c r="F14" s="5">
        <v>0</v>
      </c>
      <c r="G14" t="str">
        <f>VLOOKUP($B14,PRODUCT_MASTER!$A:$F,MATCH('FINAL DATA'!G$1,PRODUCT_MASTER!$A$1:$F$1,0),0)</f>
        <v>Product44</v>
      </c>
      <c r="H14" t="str">
        <f>VLOOKUP($B14,PRODUCT_MASTER!$A:$F,MATCH('FINAL DATA'!H$1,PRODUCT_MASTER!$A$1:$F$1,0),0)</f>
        <v>Candy</v>
      </c>
      <c r="I14" t="str">
        <f>VLOOKUP($B14,PRODUCT_MASTER!$A:$F,MATCH('FINAL DATA'!I$1,PRODUCT_MASTER!$A$1:$F$1,0),0)</f>
        <v>Kg</v>
      </c>
      <c r="J14" s="7">
        <f>VLOOKUP($B14,PRODUCT_MASTER!$A:$F,MATCH('FINAL DATA'!J$1,PRODUCT_MASTER!$A$1:$F$1,0),0)</f>
        <v>76</v>
      </c>
      <c r="K14" s="7">
        <f>VLOOKUP($B14,PRODUCT_MASTER!$A:$F,MATCH('FINAL DATA'!K$1,PRODUCT_MASTER!$A$1:$F$1,0),0)</f>
        <v>82.08</v>
      </c>
      <c r="L14" s="7">
        <f t="shared" si="0"/>
        <v>988</v>
      </c>
      <c r="M14" s="7">
        <f t="shared" si="1"/>
        <v>1067.04</v>
      </c>
      <c r="N14">
        <f t="shared" si="2"/>
        <v>18</v>
      </c>
      <c r="O14" t="str">
        <f t="shared" si="3"/>
        <v>Jan</v>
      </c>
      <c r="P14">
        <f t="shared" si="4"/>
        <v>2021</v>
      </c>
    </row>
    <row r="15" spans="1:16" x14ac:dyDescent="0.2">
      <c r="A15" s="1">
        <v>44214</v>
      </c>
      <c r="B15" t="s">
        <v>51</v>
      </c>
      <c r="C15">
        <v>3</v>
      </c>
      <c r="D15" t="s">
        <v>101</v>
      </c>
      <c r="E15" t="s">
        <v>102</v>
      </c>
      <c r="F15" s="5">
        <v>0</v>
      </c>
      <c r="G15" t="str">
        <f>VLOOKUP($B15,PRODUCT_MASTER!$A:$F,MATCH('FINAL DATA'!G$1,PRODUCT_MASTER!$A$1:$F$1,0),0)</f>
        <v>Product23</v>
      </c>
      <c r="H15" t="str">
        <f>VLOOKUP($B15,PRODUCT_MASTER!$A:$F,MATCH('FINAL DATA'!H$1,PRODUCT_MASTER!$A$1:$F$1,0),0)</f>
        <v>Seafood</v>
      </c>
      <c r="I15" t="str">
        <f>VLOOKUP($B15,PRODUCT_MASTER!$A:$F,MATCH('FINAL DATA'!I$1,PRODUCT_MASTER!$A$1:$F$1,0),0)</f>
        <v>Ft</v>
      </c>
      <c r="J15" s="7">
        <f>VLOOKUP($B15,PRODUCT_MASTER!$A:$F,MATCH('FINAL DATA'!J$1,PRODUCT_MASTER!$A$1:$F$1,0),0)</f>
        <v>141</v>
      </c>
      <c r="K15" s="7">
        <f>VLOOKUP($B15,PRODUCT_MASTER!$A:$F,MATCH('FINAL DATA'!K$1,PRODUCT_MASTER!$A$1:$F$1,0),0)</f>
        <v>149.46</v>
      </c>
      <c r="L15" s="7">
        <f t="shared" si="0"/>
        <v>423</v>
      </c>
      <c r="M15" s="7">
        <f t="shared" si="1"/>
        <v>448.38</v>
      </c>
      <c r="N15">
        <f t="shared" si="2"/>
        <v>18</v>
      </c>
      <c r="O15" t="str">
        <f t="shared" si="3"/>
        <v>Jan</v>
      </c>
      <c r="P15">
        <f t="shared" si="4"/>
        <v>2021</v>
      </c>
    </row>
    <row r="16" spans="1:16" x14ac:dyDescent="0.2">
      <c r="A16" s="1">
        <v>44215</v>
      </c>
      <c r="B16" t="s">
        <v>75</v>
      </c>
      <c r="C16">
        <v>6</v>
      </c>
      <c r="D16" t="s">
        <v>103</v>
      </c>
      <c r="E16" t="s">
        <v>102</v>
      </c>
      <c r="F16" s="5">
        <v>0</v>
      </c>
      <c r="G16" t="str">
        <f>VLOOKUP($B16,PRODUCT_MASTER!$A:$F,MATCH('FINAL DATA'!G$1,PRODUCT_MASTER!$A$1:$F$1,0),0)</f>
        <v>Product35</v>
      </c>
      <c r="H16" t="str">
        <f>VLOOKUP($B16,PRODUCT_MASTER!$A:$F,MATCH('FINAL DATA'!H$1,PRODUCT_MASTER!$A$1:$F$1,0),0)</f>
        <v>Bakery And Desserts</v>
      </c>
      <c r="I16" t="str">
        <f>VLOOKUP($B16,PRODUCT_MASTER!$A:$F,MATCH('FINAL DATA'!I$1,PRODUCT_MASTER!$A$1:$F$1,0),0)</f>
        <v>No.</v>
      </c>
      <c r="J16" s="7">
        <f>VLOOKUP($B16,PRODUCT_MASTER!$A:$F,MATCH('FINAL DATA'!J$1,PRODUCT_MASTER!$A$1:$F$1,0),0)</f>
        <v>5</v>
      </c>
      <c r="K16" s="7">
        <f>VLOOKUP($B16,PRODUCT_MASTER!$A:$F,MATCH('FINAL DATA'!K$1,PRODUCT_MASTER!$A$1:$F$1,0),0)</f>
        <v>6.7</v>
      </c>
      <c r="L16" s="7">
        <f t="shared" si="0"/>
        <v>30</v>
      </c>
      <c r="M16" s="7">
        <f t="shared" si="1"/>
        <v>40.200000000000003</v>
      </c>
      <c r="N16">
        <f t="shared" si="2"/>
        <v>19</v>
      </c>
      <c r="O16" t="str">
        <f t="shared" si="3"/>
        <v>Jan</v>
      </c>
      <c r="P16">
        <f t="shared" si="4"/>
        <v>2021</v>
      </c>
    </row>
    <row r="17" spans="1:16" x14ac:dyDescent="0.2">
      <c r="A17" s="1">
        <v>44216</v>
      </c>
      <c r="B17" t="s">
        <v>73</v>
      </c>
      <c r="C17">
        <v>4</v>
      </c>
      <c r="D17" t="s">
        <v>103</v>
      </c>
      <c r="E17" t="s">
        <v>102</v>
      </c>
      <c r="F17" s="5">
        <v>0</v>
      </c>
      <c r="G17" t="str">
        <f>VLOOKUP($B17,PRODUCT_MASTER!$A:$F,MATCH('FINAL DATA'!G$1,PRODUCT_MASTER!$A$1:$F$1,0),0)</f>
        <v>Product34</v>
      </c>
      <c r="H17" t="str">
        <f>VLOOKUP($B17,PRODUCT_MASTER!$A:$F,MATCH('FINAL DATA'!H$1,PRODUCT_MASTER!$A$1:$F$1,0),0)</f>
        <v>Bakery And Desserts</v>
      </c>
      <c r="I17" t="str">
        <f>VLOOKUP($B17,PRODUCT_MASTER!$A:$F,MATCH('FINAL DATA'!I$1,PRODUCT_MASTER!$A$1:$F$1,0),0)</f>
        <v>Lt</v>
      </c>
      <c r="J17" s="7">
        <f>VLOOKUP($B17,PRODUCT_MASTER!$A:$F,MATCH('FINAL DATA'!J$1,PRODUCT_MASTER!$A$1:$F$1,0),0)</f>
        <v>55</v>
      </c>
      <c r="K17" s="7">
        <f>VLOOKUP($B17,PRODUCT_MASTER!$A:$F,MATCH('FINAL DATA'!K$1,PRODUCT_MASTER!$A$1:$F$1,0),0)</f>
        <v>58.3</v>
      </c>
      <c r="L17" s="7">
        <f t="shared" si="0"/>
        <v>220</v>
      </c>
      <c r="M17" s="7">
        <f t="shared" si="1"/>
        <v>233.2</v>
      </c>
      <c r="N17">
        <f t="shared" si="2"/>
        <v>20</v>
      </c>
      <c r="O17" t="str">
        <f t="shared" si="3"/>
        <v>Jan</v>
      </c>
      <c r="P17">
        <f t="shared" si="4"/>
        <v>2021</v>
      </c>
    </row>
    <row r="18" spans="1:16" x14ac:dyDescent="0.2">
      <c r="A18" s="1">
        <v>44216</v>
      </c>
      <c r="B18" t="s">
        <v>45</v>
      </c>
      <c r="C18">
        <v>4</v>
      </c>
      <c r="D18" t="s">
        <v>103</v>
      </c>
      <c r="E18" t="s">
        <v>102</v>
      </c>
      <c r="F18" s="5">
        <v>0</v>
      </c>
      <c r="G18" t="str">
        <f>VLOOKUP($B18,PRODUCT_MASTER!$A:$F,MATCH('FINAL DATA'!G$1,PRODUCT_MASTER!$A$1:$F$1,0),0)</f>
        <v>Product20</v>
      </c>
      <c r="H18" t="str">
        <f>VLOOKUP($B18,PRODUCT_MASTER!$A:$F,MATCH('FINAL DATA'!H$1,PRODUCT_MASTER!$A$1:$F$1,0),0)</f>
        <v>Poultry</v>
      </c>
      <c r="I18" t="str">
        <f>VLOOKUP($B18,PRODUCT_MASTER!$A:$F,MATCH('FINAL DATA'!I$1,PRODUCT_MASTER!$A$1:$F$1,0),0)</f>
        <v>Lt</v>
      </c>
      <c r="J18" s="7">
        <f>VLOOKUP($B18,PRODUCT_MASTER!$A:$F,MATCH('FINAL DATA'!J$1,PRODUCT_MASTER!$A$1:$F$1,0),0)</f>
        <v>61</v>
      </c>
      <c r="K18" s="7">
        <f>VLOOKUP($B18,PRODUCT_MASTER!$A:$F,MATCH('FINAL DATA'!K$1,PRODUCT_MASTER!$A$1:$F$1,0),0)</f>
        <v>76.25</v>
      </c>
      <c r="L18" s="7">
        <f t="shared" si="0"/>
        <v>244</v>
      </c>
      <c r="M18" s="7">
        <f t="shared" si="1"/>
        <v>305</v>
      </c>
      <c r="N18">
        <f t="shared" si="2"/>
        <v>20</v>
      </c>
      <c r="O18" t="str">
        <f t="shared" si="3"/>
        <v>Jan</v>
      </c>
      <c r="P18">
        <f t="shared" si="4"/>
        <v>2021</v>
      </c>
    </row>
    <row r="19" spans="1:16" x14ac:dyDescent="0.2">
      <c r="A19" s="1">
        <v>44217</v>
      </c>
      <c r="B19" t="s">
        <v>13</v>
      </c>
      <c r="C19">
        <v>15</v>
      </c>
      <c r="D19" t="s">
        <v>100</v>
      </c>
      <c r="E19" t="s">
        <v>102</v>
      </c>
      <c r="F19" s="5">
        <v>0</v>
      </c>
      <c r="G19" t="str">
        <f>VLOOKUP($B19,PRODUCT_MASTER!$A:$F,MATCH('FINAL DATA'!G$1,PRODUCT_MASTER!$A$1:$F$1,0),0)</f>
        <v>Product04</v>
      </c>
      <c r="H19" t="str">
        <f>VLOOKUP($B19,PRODUCT_MASTER!$A:$F,MATCH('FINAL DATA'!H$1,PRODUCT_MASTER!$A$1:$F$1,0),0)</f>
        <v>Organic</v>
      </c>
      <c r="I19" t="str">
        <f>VLOOKUP($B19,PRODUCT_MASTER!$A:$F,MATCH('FINAL DATA'!I$1,PRODUCT_MASTER!$A$1:$F$1,0),0)</f>
        <v>Lt</v>
      </c>
      <c r="J19" s="7">
        <f>VLOOKUP($B19,PRODUCT_MASTER!$A:$F,MATCH('FINAL DATA'!J$1,PRODUCT_MASTER!$A$1:$F$1,0),0)</f>
        <v>44</v>
      </c>
      <c r="K19" s="7">
        <f>VLOOKUP($B19,PRODUCT_MASTER!$A:$F,MATCH('FINAL DATA'!K$1,PRODUCT_MASTER!$A$1:$F$1,0),0)</f>
        <v>48.84</v>
      </c>
      <c r="L19" s="7">
        <f t="shared" si="0"/>
        <v>660</v>
      </c>
      <c r="M19" s="7">
        <f t="shared" si="1"/>
        <v>732.6</v>
      </c>
      <c r="N19">
        <f t="shared" si="2"/>
        <v>21</v>
      </c>
      <c r="O19" t="str">
        <f t="shared" si="3"/>
        <v>Jan</v>
      </c>
      <c r="P19">
        <f t="shared" si="4"/>
        <v>2021</v>
      </c>
    </row>
    <row r="20" spans="1:16" x14ac:dyDescent="0.2">
      <c r="A20" s="1">
        <v>44217</v>
      </c>
      <c r="B20" t="s">
        <v>11</v>
      </c>
      <c r="C20">
        <v>9</v>
      </c>
      <c r="D20" t="s">
        <v>103</v>
      </c>
      <c r="E20" t="s">
        <v>101</v>
      </c>
      <c r="F20" s="5">
        <v>0</v>
      </c>
      <c r="G20" t="str">
        <f>VLOOKUP($B20,PRODUCT_MASTER!$A:$F,MATCH('FINAL DATA'!G$1,PRODUCT_MASTER!$A$1:$F$1,0),0)</f>
        <v>Product03</v>
      </c>
      <c r="H20" t="str">
        <f>VLOOKUP($B20,PRODUCT_MASTER!$A:$F,MATCH('FINAL DATA'!H$1,PRODUCT_MASTER!$A$1:$F$1,0),0)</f>
        <v>Organic</v>
      </c>
      <c r="I20" t="str">
        <f>VLOOKUP($B20,PRODUCT_MASTER!$A:$F,MATCH('FINAL DATA'!I$1,PRODUCT_MASTER!$A$1:$F$1,0),0)</f>
        <v>Kg</v>
      </c>
      <c r="J20" s="7">
        <f>VLOOKUP($B20,PRODUCT_MASTER!$A:$F,MATCH('FINAL DATA'!J$1,PRODUCT_MASTER!$A$1:$F$1,0),0)</f>
        <v>71</v>
      </c>
      <c r="K20" s="7">
        <f>VLOOKUP($B20,PRODUCT_MASTER!$A:$F,MATCH('FINAL DATA'!K$1,PRODUCT_MASTER!$A$1:$F$1,0),0)</f>
        <v>80.94</v>
      </c>
      <c r="L20" s="7">
        <f t="shared" si="0"/>
        <v>639</v>
      </c>
      <c r="M20" s="7">
        <f t="shared" si="1"/>
        <v>728.46</v>
      </c>
      <c r="N20">
        <f t="shared" si="2"/>
        <v>21</v>
      </c>
      <c r="O20" t="str">
        <f t="shared" si="3"/>
        <v>Jan</v>
      </c>
      <c r="P20">
        <f t="shared" si="4"/>
        <v>2021</v>
      </c>
    </row>
    <row r="21" spans="1:16" x14ac:dyDescent="0.2">
      <c r="A21" s="1">
        <v>44217</v>
      </c>
      <c r="B21" t="s">
        <v>89</v>
      </c>
      <c r="C21">
        <v>6</v>
      </c>
      <c r="D21" t="s">
        <v>103</v>
      </c>
      <c r="E21" t="s">
        <v>101</v>
      </c>
      <c r="F21" s="5">
        <v>0</v>
      </c>
      <c r="G21" t="str">
        <f>VLOOKUP($B21,PRODUCT_MASTER!$A:$F,MATCH('FINAL DATA'!G$1,PRODUCT_MASTER!$A$1:$F$1,0),0)</f>
        <v>Product42</v>
      </c>
      <c r="H21" t="str">
        <f>VLOOKUP($B21,PRODUCT_MASTER!$A:$F,MATCH('FINAL DATA'!H$1,PRODUCT_MASTER!$A$1:$F$1,0),0)</f>
        <v>Candy</v>
      </c>
      <c r="I21" t="str">
        <f>VLOOKUP($B21,PRODUCT_MASTER!$A:$F,MATCH('FINAL DATA'!I$1,PRODUCT_MASTER!$A$1:$F$1,0),0)</f>
        <v>Ft</v>
      </c>
      <c r="J21" s="7">
        <f>VLOOKUP($B21,PRODUCT_MASTER!$A:$F,MATCH('FINAL DATA'!J$1,PRODUCT_MASTER!$A$1:$F$1,0),0)</f>
        <v>120</v>
      </c>
      <c r="K21" s="7">
        <f>VLOOKUP($B21,PRODUCT_MASTER!$A:$F,MATCH('FINAL DATA'!K$1,PRODUCT_MASTER!$A$1:$F$1,0),0)</f>
        <v>162</v>
      </c>
      <c r="L21" s="7">
        <f t="shared" si="0"/>
        <v>720</v>
      </c>
      <c r="M21" s="7">
        <f t="shared" si="1"/>
        <v>972</v>
      </c>
      <c r="N21">
        <f t="shared" si="2"/>
        <v>21</v>
      </c>
      <c r="O21" t="str">
        <f t="shared" si="3"/>
        <v>Jan</v>
      </c>
      <c r="P21">
        <f t="shared" si="4"/>
        <v>2021</v>
      </c>
    </row>
    <row r="22" spans="1:16" x14ac:dyDescent="0.2">
      <c r="A22" s="1">
        <v>44221</v>
      </c>
      <c r="B22" t="s">
        <v>73</v>
      </c>
      <c r="C22">
        <v>6</v>
      </c>
      <c r="D22" t="s">
        <v>103</v>
      </c>
      <c r="E22" t="s">
        <v>102</v>
      </c>
      <c r="F22" s="5">
        <v>0</v>
      </c>
      <c r="G22" t="str">
        <f>VLOOKUP($B22,PRODUCT_MASTER!$A:$F,MATCH('FINAL DATA'!G$1,PRODUCT_MASTER!$A$1:$F$1,0),0)</f>
        <v>Product34</v>
      </c>
      <c r="H22" t="str">
        <f>VLOOKUP($B22,PRODUCT_MASTER!$A:$F,MATCH('FINAL DATA'!H$1,PRODUCT_MASTER!$A$1:$F$1,0),0)</f>
        <v>Bakery And Desserts</v>
      </c>
      <c r="I22" t="str">
        <f>VLOOKUP($B22,PRODUCT_MASTER!$A:$F,MATCH('FINAL DATA'!I$1,PRODUCT_MASTER!$A$1:$F$1,0),0)</f>
        <v>Lt</v>
      </c>
      <c r="J22" s="7">
        <f>VLOOKUP($B22,PRODUCT_MASTER!$A:$F,MATCH('FINAL DATA'!J$1,PRODUCT_MASTER!$A$1:$F$1,0),0)</f>
        <v>55</v>
      </c>
      <c r="K22" s="7">
        <f>VLOOKUP($B22,PRODUCT_MASTER!$A:$F,MATCH('FINAL DATA'!K$1,PRODUCT_MASTER!$A$1:$F$1,0),0)</f>
        <v>58.3</v>
      </c>
      <c r="L22" s="7">
        <f t="shared" si="0"/>
        <v>330</v>
      </c>
      <c r="M22" s="7">
        <f t="shared" si="1"/>
        <v>349.79999999999995</v>
      </c>
      <c r="N22">
        <f t="shared" si="2"/>
        <v>25</v>
      </c>
      <c r="O22" t="str">
        <f t="shared" si="3"/>
        <v>Jan</v>
      </c>
      <c r="P22">
        <f t="shared" si="4"/>
        <v>2021</v>
      </c>
    </row>
    <row r="23" spans="1:16" x14ac:dyDescent="0.2">
      <c r="A23" s="1">
        <v>44221</v>
      </c>
      <c r="B23" t="s">
        <v>75</v>
      </c>
      <c r="C23">
        <v>7</v>
      </c>
      <c r="D23" t="s">
        <v>103</v>
      </c>
      <c r="E23" t="s">
        <v>101</v>
      </c>
      <c r="F23" s="5">
        <v>0</v>
      </c>
      <c r="G23" t="str">
        <f>VLOOKUP($B23,PRODUCT_MASTER!$A:$F,MATCH('FINAL DATA'!G$1,PRODUCT_MASTER!$A$1:$F$1,0),0)</f>
        <v>Product35</v>
      </c>
      <c r="H23" t="str">
        <f>VLOOKUP($B23,PRODUCT_MASTER!$A:$F,MATCH('FINAL DATA'!H$1,PRODUCT_MASTER!$A$1:$F$1,0),0)</f>
        <v>Bakery And Desserts</v>
      </c>
      <c r="I23" t="str">
        <f>VLOOKUP($B23,PRODUCT_MASTER!$A:$F,MATCH('FINAL DATA'!I$1,PRODUCT_MASTER!$A$1:$F$1,0),0)</f>
        <v>No.</v>
      </c>
      <c r="J23" s="7">
        <f>VLOOKUP($B23,PRODUCT_MASTER!$A:$F,MATCH('FINAL DATA'!J$1,PRODUCT_MASTER!$A$1:$F$1,0),0)</f>
        <v>5</v>
      </c>
      <c r="K23" s="7">
        <f>VLOOKUP($B23,PRODUCT_MASTER!$A:$F,MATCH('FINAL DATA'!K$1,PRODUCT_MASTER!$A$1:$F$1,0),0)</f>
        <v>6.7</v>
      </c>
      <c r="L23" s="7">
        <f t="shared" si="0"/>
        <v>35</v>
      </c>
      <c r="M23" s="7">
        <f t="shared" si="1"/>
        <v>46.9</v>
      </c>
      <c r="N23">
        <f t="shared" si="2"/>
        <v>25</v>
      </c>
      <c r="O23" t="str">
        <f t="shared" si="3"/>
        <v>Jan</v>
      </c>
      <c r="P23">
        <f t="shared" si="4"/>
        <v>2021</v>
      </c>
    </row>
    <row r="24" spans="1:16" x14ac:dyDescent="0.2">
      <c r="A24" s="1">
        <v>44221</v>
      </c>
      <c r="B24" t="s">
        <v>67</v>
      </c>
      <c r="C24">
        <v>14</v>
      </c>
      <c r="D24" t="s">
        <v>103</v>
      </c>
      <c r="E24" t="s">
        <v>101</v>
      </c>
      <c r="F24" s="5">
        <v>0</v>
      </c>
      <c r="G24" t="str">
        <f>VLOOKUP($B24,PRODUCT_MASTER!$A:$F,MATCH('FINAL DATA'!G$1,PRODUCT_MASTER!$A$1:$F$1,0),0)</f>
        <v>Product31</v>
      </c>
      <c r="H24" t="str">
        <f>VLOOKUP($B24,PRODUCT_MASTER!$A:$F,MATCH('FINAL DATA'!H$1,PRODUCT_MASTER!$A$1:$F$1,0),0)</f>
        <v>Cheese And Dairy</v>
      </c>
      <c r="I24" t="str">
        <f>VLOOKUP($B24,PRODUCT_MASTER!$A:$F,MATCH('FINAL DATA'!I$1,PRODUCT_MASTER!$A$1:$F$1,0),0)</f>
        <v>Kg</v>
      </c>
      <c r="J24" s="7">
        <f>VLOOKUP($B24,PRODUCT_MASTER!$A:$F,MATCH('FINAL DATA'!J$1,PRODUCT_MASTER!$A$1:$F$1,0),0)</f>
        <v>93</v>
      </c>
      <c r="K24" s="7">
        <f>VLOOKUP($B24,PRODUCT_MASTER!$A:$F,MATCH('FINAL DATA'!K$1,PRODUCT_MASTER!$A$1:$F$1,0),0)</f>
        <v>104.16</v>
      </c>
      <c r="L24" s="7">
        <f t="shared" si="0"/>
        <v>1302</v>
      </c>
      <c r="M24" s="7">
        <f t="shared" si="1"/>
        <v>1458.24</v>
      </c>
      <c r="N24">
        <f t="shared" si="2"/>
        <v>25</v>
      </c>
      <c r="O24" t="str">
        <f t="shared" si="3"/>
        <v>Jan</v>
      </c>
      <c r="P24">
        <f t="shared" si="4"/>
        <v>2021</v>
      </c>
    </row>
    <row r="25" spans="1:16" x14ac:dyDescent="0.2">
      <c r="A25" s="1">
        <v>44222</v>
      </c>
      <c r="B25" t="s">
        <v>93</v>
      </c>
      <c r="C25">
        <v>9</v>
      </c>
      <c r="D25" t="s">
        <v>100</v>
      </c>
      <c r="E25" t="s">
        <v>102</v>
      </c>
      <c r="F25" s="5">
        <v>0</v>
      </c>
      <c r="G25" t="str">
        <f>VLOOKUP($B25,PRODUCT_MASTER!$A:$F,MATCH('FINAL DATA'!G$1,PRODUCT_MASTER!$A$1:$F$1,0),0)</f>
        <v>Product44</v>
      </c>
      <c r="H25" t="str">
        <f>VLOOKUP($B25,PRODUCT_MASTER!$A:$F,MATCH('FINAL DATA'!H$1,PRODUCT_MASTER!$A$1:$F$1,0),0)</f>
        <v>Candy</v>
      </c>
      <c r="I25" t="str">
        <f>VLOOKUP($B25,PRODUCT_MASTER!$A:$F,MATCH('FINAL DATA'!I$1,PRODUCT_MASTER!$A$1:$F$1,0),0)</f>
        <v>Kg</v>
      </c>
      <c r="J25" s="7">
        <f>VLOOKUP($B25,PRODUCT_MASTER!$A:$F,MATCH('FINAL DATA'!J$1,PRODUCT_MASTER!$A$1:$F$1,0),0)</f>
        <v>76</v>
      </c>
      <c r="K25" s="7">
        <f>VLOOKUP($B25,PRODUCT_MASTER!$A:$F,MATCH('FINAL DATA'!K$1,PRODUCT_MASTER!$A$1:$F$1,0),0)</f>
        <v>82.08</v>
      </c>
      <c r="L25" s="7">
        <f t="shared" si="0"/>
        <v>684</v>
      </c>
      <c r="M25" s="7">
        <f t="shared" si="1"/>
        <v>738.72</v>
      </c>
      <c r="N25">
        <f t="shared" si="2"/>
        <v>26</v>
      </c>
      <c r="O25" t="str">
        <f t="shared" si="3"/>
        <v>Jan</v>
      </c>
      <c r="P25">
        <f t="shared" si="4"/>
        <v>2021</v>
      </c>
    </row>
    <row r="26" spans="1:16" x14ac:dyDescent="0.2">
      <c r="A26" s="1">
        <v>44222</v>
      </c>
      <c r="B26" t="s">
        <v>17</v>
      </c>
      <c r="C26">
        <v>7</v>
      </c>
      <c r="D26" t="s">
        <v>101</v>
      </c>
      <c r="E26" t="s">
        <v>102</v>
      </c>
      <c r="F26" s="5">
        <v>0</v>
      </c>
      <c r="G26" t="str">
        <f>VLOOKUP($B26,PRODUCT_MASTER!$A:$F,MATCH('FINAL DATA'!G$1,PRODUCT_MASTER!$A$1:$F$1,0),0)</f>
        <v>Product06</v>
      </c>
      <c r="H26" t="str">
        <f>VLOOKUP($B26,PRODUCT_MASTER!$A:$F,MATCH('FINAL DATA'!H$1,PRODUCT_MASTER!$A$1:$F$1,0),0)</f>
        <v>Gourmet Foods</v>
      </c>
      <c r="I26" t="str">
        <f>VLOOKUP($B26,PRODUCT_MASTER!$A:$F,MATCH('FINAL DATA'!I$1,PRODUCT_MASTER!$A$1:$F$1,0),0)</f>
        <v>Kg</v>
      </c>
      <c r="J26" s="7">
        <f>VLOOKUP($B26,PRODUCT_MASTER!$A:$F,MATCH('FINAL DATA'!J$1,PRODUCT_MASTER!$A$1:$F$1,0),0)</f>
        <v>75</v>
      </c>
      <c r="K26" s="7">
        <f>VLOOKUP($B26,PRODUCT_MASTER!$A:$F,MATCH('FINAL DATA'!K$1,PRODUCT_MASTER!$A$1:$F$1,0),0)</f>
        <v>85.5</v>
      </c>
      <c r="L26" s="7">
        <f t="shared" si="0"/>
        <v>525</v>
      </c>
      <c r="M26" s="7">
        <f t="shared" si="1"/>
        <v>598.5</v>
      </c>
      <c r="N26">
        <f t="shared" si="2"/>
        <v>26</v>
      </c>
      <c r="O26" t="str">
        <f t="shared" si="3"/>
        <v>Jan</v>
      </c>
      <c r="P26">
        <f t="shared" si="4"/>
        <v>2021</v>
      </c>
    </row>
    <row r="27" spans="1:16" x14ac:dyDescent="0.2">
      <c r="A27" s="1">
        <v>44222</v>
      </c>
      <c r="B27" t="s">
        <v>6</v>
      </c>
      <c r="C27">
        <v>7</v>
      </c>
      <c r="D27" t="s">
        <v>101</v>
      </c>
      <c r="E27" t="s">
        <v>101</v>
      </c>
      <c r="F27" s="5">
        <v>0</v>
      </c>
      <c r="G27" t="str">
        <f>VLOOKUP($B27,PRODUCT_MASTER!$A:$F,MATCH('FINAL DATA'!G$1,PRODUCT_MASTER!$A$1:$F$1,0),0)</f>
        <v>Product01</v>
      </c>
      <c r="H27" t="str">
        <f>VLOOKUP($B27,PRODUCT_MASTER!$A:$F,MATCH('FINAL DATA'!H$1,PRODUCT_MASTER!$A$1:$F$1,0),0)</f>
        <v>Organic</v>
      </c>
      <c r="I27" t="str">
        <f>VLOOKUP($B27,PRODUCT_MASTER!$A:$F,MATCH('FINAL DATA'!I$1,PRODUCT_MASTER!$A$1:$F$1,0),0)</f>
        <v>Kg</v>
      </c>
      <c r="J27" s="7">
        <f>VLOOKUP($B27,PRODUCT_MASTER!$A:$F,MATCH('FINAL DATA'!J$1,PRODUCT_MASTER!$A$1:$F$1,0),0)</f>
        <v>98</v>
      </c>
      <c r="K27" s="7">
        <f>VLOOKUP($B27,PRODUCT_MASTER!$A:$F,MATCH('FINAL DATA'!K$1,PRODUCT_MASTER!$A$1:$F$1,0),0)</f>
        <v>103.88</v>
      </c>
      <c r="L27" s="7">
        <f t="shared" si="0"/>
        <v>686</v>
      </c>
      <c r="M27" s="7">
        <f t="shared" si="1"/>
        <v>727.16</v>
      </c>
      <c r="N27">
        <f t="shared" si="2"/>
        <v>26</v>
      </c>
      <c r="O27" t="str">
        <f t="shared" si="3"/>
        <v>Jan</v>
      </c>
      <c r="P27">
        <f t="shared" si="4"/>
        <v>2021</v>
      </c>
    </row>
    <row r="28" spans="1:16" x14ac:dyDescent="0.2">
      <c r="A28" s="1">
        <v>44223</v>
      </c>
      <c r="B28" t="s">
        <v>85</v>
      </c>
      <c r="C28">
        <v>7</v>
      </c>
      <c r="D28" t="s">
        <v>100</v>
      </c>
      <c r="E28" t="s">
        <v>101</v>
      </c>
      <c r="F28" s="5">
        <v>0</v>
      </c>
      <c r="G28" t="str">
        <f>VLOOKUP($B28,PRODUCT_MASTER!$A:$F,MATCH('FINAL DATA'!G$1,PRODUCT_MASTER!$A$1:$F$1,0),0)</f>
        <v>Product40</v>
      </c>
      <c r="H28" t="str">
        <f>VLOOKUP($B28,PRODUCT_MASTER!$A:$F,MATCH('FINAL DATA'!H$1,PRODUCT_MASTER!$A$1:$F$1,0),0)</f>
        <v>Snacks</v>
      </c>
      <c r="I28" t="str">
        <f>VLOOKUP($B28,PRODUCT_MASTER!$A:$F,MATCH('FINAL DATA'!I$1,PRODUCT_MASTER!$A$1:$F$1,0),0)</f>
        <v>Kg</v>
      </c>
      <c r="J28" s="7">
        <f>VLOOKUP($B28,PRODUCT_MASTER!$A:$F,MATCH('FINAL DATA'!J$1,PRODUCT_MASTER!$A$1:$F$1,0),0)</f>
        <v>90</v>
      </c>
      <c r="K28" s="7">
        <f>VLOOKUP($B28,PRODUCT_MASTER!$A:$F,MATCH('FINAL DATA'!K$1,PRODUCT_MASTER!$A$1:$F$1,0),0)</f>
        <v>115.2</v>
      </c>
      <c r="L28" s="7">
        <f t="shared" si="0"/>
        <v>630</v>
      </c>
      <c r="M28" s="7">
        <f t="shared" si="1"/>
        <v>806.4</v>
      </c>
      <c r="N28">
        <f t="shared" si="2"/>
        <v>27</v>
      </c>
      <c r="O28" t="str">
        <f t="shared" si="3"/>
        <v>Jan</v>
      </c>
      <c r="P28">
        <f t="shared" si="4"/>
        <v>2021</v>
      </c>
    </row>
    <row r="29" spans="1:16" x14ac:dyDescent="0.2">
      <c r="A29" s="1">
        <v>44223</v>
      </c>
      <c r="B29" t="s">
        <v>69</v>
      </c>
      <c r="C29">
        <v>3</v>
      </c>
      <c r="D29" t="s">
        <v>100</v>
      </c>
      <c r="E29" t="s">
        <v>101</v>
      </c>
      <c r="F29" s="5">
        <v>0</v>
      </c>
      <c r="G29" t="str">
        <f>VLOOKUP($B29,PRODUCT_MASTER!$A:$F,MATCH('FINAL DATA'!G$1,PRODUCT_MASTER!$A$1:$F$1,0),0)</f>
        <v>Product32</v>
      </c>
      <c r="H29" t="str">
        <f>VLOOKUP($B29,PRODUCT_MASTER!$A:$F,MATCH('FINAL DATA'!H$1,PRODUCT_MASTER!$A$1:$F$1,0),0)</f>
        <v>Bakery And Desserts</v>
      </c>
      <c r="I29" t="str">
        <f>VLOOKUP($B29,PRODUCT_MASTER!$A:$F,MATCH('FINAL DATA'!I$1,PRODUCT_MASTER!$A$1:$F$1,0),0)</f>
        <v>Kg</v>
      </c>
      <c r="J29" s="7">
        <f>VLOOKUP($B29,PRODUCT_MASTER!$A:$F,MATCH('FINAL DATA'!J$1,PRODUCT_MASTER!$A$1:$F$1,0),0)</f>
        <v>89</v>
      </c>
      <c r="K29" s="7">
        <f>VLOOKUP($B29,PRODUCT_MASTER!$A:$F,MATCH('FINAL DATA'!K$1,PRODUCT_MASTER!$A$1:$F$1,0),0)</f>
        <v>117.48</v>
      </c>
      <c r="L29" s="7">
        <f t="shared" si="0"/>
        <v>267</v>
      </c>
      <c r="M29" s="7">
        <f t="shared" si="1"/>
        <v>352.44</v>
      </c>
      <c r="N29">
        <f t="shared" si="2"/>
        <v>27</v>
      </c>
      <c r="O29" t="str">
        <f t="shared" si="3"/>
        <v>Jan</v>
      </c>
      <c r="P29">
        <f t="shared" si="4"/>
        <v>2021</v>
      </c>
    </row>
    <row r="30" spans="1:16" x14ac:dyDescent="0.2">
      <c r="A30" s="1">
        <v>44224</v>
      </c>
      <c r="B30" t="s">
        <v>13</v>
      </c>
      <c r="C30">
        <v>10</v>
      </c>
      <c r="D30" t="s">
        <v>101</v>
      </c>
      <c r="E30" t="s">
        <v>102</v>
      </c>
      <c r="F30" s="5">
        <v>0</v>
      </c>
      <c r="G30" t="str">
        <f>VLOOKUP($B30,PRODUCT_MASTER!$A:$F,MATCH('FINAL DATA'!G$1,PRODUCT_MASTER!$A$1:$F$1,0),0)</f>
        <v>Product04</v>
      </c>
      <c r="H30" t="str">
        <f>VLOOKUP($B30,PRODUCT_MASTER!$A:$F,MATCH('FINAL DATA'!H$1,PRODUCT_MASTER!$A$1:$F$1,0),0)</f>
        <v>Organic</v>
      </c>
      <c r="I30" t="str">
        <f>VLOOKUP($B30,PRODUCT_MASTER!$A:$F,MATCH('FINAL DATA'!I$1,PRODUCT_MASTER!$A$1:$F$1,0),0)</f>
        <v>Lt</v>
      </c>
      <c r="J30" s="7">
        <f>VLOOKUP($B30,PRODUCT_MASTER!$A:$F,MATCH('FINAL DATA'!J$1,PRODUCT_MASTER!$A$1:$F$1,0),0)</f>
        <v>44</v>
      </c>
      <c r="K30" s="7">
        <f>VLOOKUP($B30,PRODUCT_MASTER!$A:$F,MATCH('FINAL DATA'!K$1,PRODUCT_MASTER!$A$1:$F$1,0),0)</f>
        <v>48.84</v>
      </c>
      <c r="L30" s="7">
        <f t="shared" si="0"/>
        <v>440</v>
      </c>
      <c r="M30" s="7">
        <f t="shared" si="1"/>
        <v>488.40000000000003</v>
      </c>
      <c r="N30">
        <f t="shared" si="2"/>
        <v>28</v>
      </c>
      <c r="O30" t="str">
        <f t="shared" si="3"/>
        <v>Jan</v>
      </c>
      <c r="P30">
        <f t="shared" si="4"/>
        <v>2021</v>
      </c>
    </row>
    <row r="31" spans="1:16" x14ac:dyDescent="0.2">
      <c r="A31" s="1">
        <v>44224</v>
      </c>
      <c r="B31" t="s">
        <v>63</v>
      </c>
      <c r="C31">
        <v>2</v>
      </c>
      <c r="D31" t="s">
        <v>103</v>
      </c>
      <c r="E31" t="s">
        <v>102</v>
      </c>
      <c r="F31" s="5">
        <v>0</v>
      </c>
      <c r="G31" t="str">
        <f>VLOOKUP($B31,PRODUCT_MASTER!$A:$F,MATCH('FINAL DATA'!G$1,PRODUCT_MASTER!$A$1:$F$1,0),0)</f>
        <v>Product29</v>
      </c>
      <c r="H31" t="str">
        <f>VLOOKUP($B31,PRODUCT_MASTER!$A:$F,MATCH('FINAL DATA'!H$1,PRODUCT_MASTER!$A$1:$F$1,0),0)</f>
        <v>Cheese And Dairy</v>
      </c>
      <c r="I31" t="str">
        <f>VLOOKUP($B31,PRODUCT_MASTER!$A:$F,MATCH('FINAL DATA'!I$1,PRODUCT_MASTER!$A$1:$F$1,0),0)</f>
        <v>Lt</v>
      </c>
      <c r="J31" s="7">
        <f>VLOOKUP($B31,PRODUCT_MASTER!$A:$F,MATCH('FINAL DATA'!J$1,PRODUCT_MASTER!$A$1:$F$1,0),0)</f>
        <v>47</v>
      </c>
      <c r="K31" s="7">
        <f>VLOOKUP($B31,PRODUCT_MASTER!$A:$F,MATCH('FINAL DATA'!K$1,PRODUCT_MASTER!$A$1:$F$1,0),0)</f>
        <v>53.11</v>
      </c>
      <c r="L31" s="7">
        <f t="shared" si="0"/>
        <v>94</v>
      </c>
      <c r="M31" s="7">
        <f t="shared" si="1"/>
        <v>106.22</v>
      </c>
      <c r="N31">
        <f t="shared" si="2"/>
        <v>28</v>
      </c>
      <c r="O31" t="str">
        <f t="shared" si="3"/>
        <v>Jan</v>
      </c>
      <c r="P31">
        <f t="shared" si="4"/>
        <v>2021</v>
      </c>
    </row>
    <row r="32" spans="1:16" x14ac:dyDescent="0.2">
      <c r="A32" s="1">
        <v>44229</v>
      </c>
      <c r="B32" t="s">
        <v>25</v>
      </c>
      <c r="C32">
        <v>7</v>
      </c>
      <c r="D32" t="s">
        <v>101</v>
      </c>
      <c r="E32" t="s">
        <v>101</v>
      </c>
      <c r="F32" s="5">
        <v>0</v>
      </c>
      <c r="G32" t="str">
        <f>VLOOKUP($B32,PRODUCT_MASTER!$A:$F,MATCH('FINAL DATA'!G$1,PRODUCT_MASTER!$A$1:$F$1,0),0)</f>
        <v>Product10</v>
      </c>
      <c r="H32" t="str">
        <f>VLOOKUP($B32,PRODUCT_MASTER!$A:$F,MATCH('FINAL DATA'!H$1,PRODUCT_MASTER!$A$1:$F$1,0),0)</f>
        <v>Gourmet Foods</v>
      </c>
      <c r="I32" t="str">
        <f>VLOOKUP($B32,PRODUCT_MASTER!$A:$F,MATCH('FINAL DATA'!I$1,PRODUCT_MASTER!$A$1:$F$1,0),0)</f>
        <v>Ft</v>
      </c>
      <c r="J32" s="7">
        <f>VLOOKUP($B32,PRODUCT_MASTER!$A:$F,MATCH('FINAL DATA'!J$1,PRODUCT_MASTER!$A$1:$F$1,0),0)</f>
        <v>148</v>
      </c>
      <c r="K32" s="7">
        <f>VLOOKUP($B32,PRODUCT_MASTER!$A:$F,MATCH('FINAL DATA'!K$1,PRODUCT_MASTER!$A$1:$F$1,0),0)</f>
        <v>164.28</v>
      </c>
      <c r="L32" s="7">
        <f t="shared" si="0"/>
        <v>1036</v>
      </c>
      <c r="M32" s="7">
        <f t="shared" si="1"/>
        <v>1149.96</v>
      </c>
      <c r="N32">
        <f t="shared" si="2"/>
        <v>2</v>
      </c>
      <c r="O32" t="str">
        <f t="shared" si="3"/>
        <v>Feb</v>
      </c>
      <c r="P32">
        <f t="shared" si="4"/>
        <v>2021</v>
      </c>
    </row>
    <row r="33" spans="1:16" x14ac:dyDescent="0.2">
      <c r="A33" s="1">
        <v>44230</v>
      </c>
      <c r="B33" t="s">
        <v>37</v>
      </c>
      <c r="C33">
        <v>13</v>
      </c>
      <c r="D33" t="s">
        <v>103</v>
      </c>
      <c r="E33" t="s">
        <v>101</v>
      </c>
      <c r="F33" s="5">
        <v>0</v>
      </c>
      <c r="G33" t="str">
        <f>VLOOKUP($B33,PRODUCT_MASTER!$A:$F,MATCH('FINAL DATA'!G$1,PRODUCT_MASTER!$A$1:$F$1,0),0)</f>
        <v>Product16</v>
      </c>
      <c r="H33" t="str">
        <f>VLOOKUP($B33,PRODUCT_MASTER!$A:$F,MATCH('FINAL DATA'!H$1,PRODUCT_MASTER!$A$1:$F$1,0),0)</f>
        <v>Meat</v>
      </c>
      <c r="I33" t="str">
        <f>VLOOKUP($B33,PRODUCT_MASTER!$A:$F,MATCH('FINAL DATA'!I$1,PRODUCT_MASTER!$A$1:$F$1,0),0)</f>
        <v>No.</v>
      </c>
      <c r="J33" s="7">
        <f>VLOOKUP($B33,PRODUCT_MASTER!$A:$F,MATCH('FINAL DATA'!J$1,PRODUCT_MASTER!$A$1:$F$1,0),0)</f>
        <v>13</v>
      </c>
      <c r="K33" s="7">
        <f>VLOOKUP($B33,PRODUCT_MASTER!$A:$F,MATCH('FINAL DATA'!K$1,PRODUCT_MASTER!$A$1:$F$1,0),0)</f>
        <v>16.64</v>
      </c>
      <c r="L33" s="7">
        <f t="shared" si="0"/>
        <v>169</v>
      </c>
      <c r="M33" s="7">
        <f t="shared" si="1"/>
        <v>216.32</v>
      </c>
      <c r="N33">
        <f t="shared" si="2"/>
        <v>3</v>
      </c>
      <c r="O33" t="str">
        <f t="shared" si="3"/>
        <v>Feb</v>
      </c>
      <c r="P33">
        <f t="shared" si="4"/>
        <v>2021</v>
      </c>
    </row>
    <row r="34" spans="1:16" x14ac:dyDescent="0.2">
      <c r="A34" s="1">
        <v>44230</v>
      </c>
      <c r="B34" t="s">
        <v>49</v>
      </c>
      <c r="C34">
        <v>2</v>
      </c>
      <c r="D34" t="s">
        <v>100</v>
      </c>
      <c r="E34" t="s">
        <v>102</v>
      </c>
      <c r="F34" s="5">
        <v>0</v>
      </c>
      <c r="G34" t="str">
        <f>VLOOKUP($B34,PRODUCT_MASTER!$A:$F,MATCH('FINAL DATA'!G$1,PRODUCT_MASTER!$A$1:$F$1,0),0)</f>
        <v>Product22</v>
      </c>
      <c r="H34" t="str">
        <f>VLOOKUP($B34,PRODUCT_MASTER!$A:$F,MATCH('FINAL DATA'!H$1,PRODUCT_MASTER!$A$1:$F$1,0),0)</f>
        <v>Seafood</v>
      </c>
      <c r="I34" t="str">
        <f>VLOOKUP($B34,PRODUCT_MASTER!$A:$F,MATCH('FINAL DATA'!I$1,PRODUCT_MASTER!$A$1:$F$1,0),0)</f>
        <v>Ft</v>
      </c>
      <c r="J34" s="7">
        <f>VLOOKUP($B34,PRODUCT_MASTER!$A:$F,MATCH('FINAL DATA'!J$1,PRODUCT_MASTER!$A$1:$F$1,0),0)</f>
        <v>121</v>
      </c>
      <c r="K34" s="7">
        <f>VLOOKUP($B34,PRODUCT_MASTER!$A:$F,MATCH('FINAL DATA'!K$1,PRODUCT_MASTER!$A$1:$F$1,0),0)</f>
        <v>141.57</v>
      </c>
      <c r="L34" s="7">
        <f t="shared" si="0"/>
        <v>242</v>
      </c>
      <c r="M34" s="7">
        <f t="shared" si="1"/>
        <v>283.14</v>
      </c>
      <c r="N34">
        <f t="shared" si="2"/>
        <v>3</v>
      </c>
      <c r="O34" t="str">
        <f t="shared" si="3"/>
        <v>Feb</v>
      </c>
      <c r="P34">
        <f t="shared" si="4"/>
        <v>2021</v>
      </c>
    </row>
    <row r="35" spans="1:16" x14ac:dyDescent="0.2">
      <c r="A35" s="1">
        <v>44231</v>
      </c>
      <c r="B35" t="s">
        <v>79</v>
      </c>
      <c r="C35">
        <v>4</v>
      </c>
      <c r="D35" t="s">
        <v>101</v>
      </c>
      <c r="E35" t="s">
        <v>101</v>
      </c>
      <c r="F35" s="5">
        <v>0</v>
      </c>
      <c r="G35" t="str">
        <f>VLOOKUP($B35,PRODUCT_MASTER!$A:$F,MATCH('FINAL DATA'!G$1,PRODUCT_MASTER!$A$1:$F$1,0),0)</f>
        <v>Product37</v>
      </c>
      <c r="H35" t="str">
        <f>VLOOKUP($B35,PRODUCT_MASTER!$A:$F,MATCH('FINAL DATA'!H$1,PRODUCT_MASTER!$A$1:$F$1,0),0)</f>
        <v>Snacks</v>
      </c>
      <c r="I35" t="str">
        <f>VLOOKUP($B35,PRODUCT_MASTER!$A:$F,MATCH('FINAL DATA'!I$1,PRODUCT_MASTER!$A$1:$F$1,0),0)</f>
        <v>Kg</v>
      </c>
      <c r="J35" s="7">
        <f>VLOOKUP($B35,PRODUCT_MASTER!$A:$F,MATCH('FINAL DATA'!J$1,PRODUCT_MASTER!$A$1:$F$1,0),0)</f>
        <v>67</v>
      </c>
      <c r="K35" s="7">
        <f>VLOOKUP($B35,PRODUCT_MASTER!$A:$F,MATCH('FINAL DATA'!K$1,PRODUCT_MASTER!$A$1:$F$1,0),0)</f>
        <v>85.76</v>
      </c>
      <c r="L35" s="7">
        <f t="shared" si="0"/>
        <v>268</v>
      </c>
      <c r="M35" s="7">
        <f t="shared" si="1"/>
        <v>343.04</v>
      </c>
      <c r="N35">
        <f t="shared" si="2"/>
        <v>4</v>
      </c>
      <c r="O35" t="str">
        <f t="shared" si="3"/>
        <v>Feb</v>
      </c>
      <c r="P35">
        <f t="shared" si="4"/>
        <v>2021</v>
      </c>
    </row>
    <row r="36" spans="1:16" x14ac:dyDescent="0.2">
      <c r="A36" s="1">
        <v>44232</v>
      </c>
      <c r="B36" t="s">
        <v>91</v>
      </c>
      <c r="C36">
        <v>7</v>
      </c>
      <c r="D36" t="s">
        <v>101</v>
      </c>
      <c r="E36" t="s">
        <v>102</v>
      </c>
      <c r="F36" s="5">
        <v>0</v>
      </c>
      <c r="G36" t="str">
        <f>VLOOKUP($B36,PRODUCT_MASTER!$A:$F,MATCH('FINAL DATA'!G$1,PRODUCT_MASTER!$A$1:$F$1,0),0)</f>
        <v>Product43</v>
      </c>
      <c r="H36" t="str">
        <f>VLOOKUP($B36,PRODUCT_MASTER!$A:$F,MATCH('FINAL DATA'!H$1,PRODUCT_MASTER!$A$1:$F$1,0),0)</f>
        <v>Candy</v>
      </c>
      <c r="I36" t="str">
        <f>VLOOKUP($B36,PRODUCT_MASTER!$A:$F,MATCH('FINAL DATA'!I$1,PRODUCT_MASTER!$A$1:$F$1,0),0)</f>
        <v>Kg</v>
      </c>
      <c r="J36" s="7">
        <f>VLOOKUP($B36,PRODUCT_MASTER!$A:$F,MATCH('FINAL DATA'!J$1,PRODUCT_MASTER!$A$1:$F$1,0),0)</f>
        <v>67</v>
      </c>
      <c r="K36" s="7">
        <f>VLOOKUP($B36,PRODUCT_MASTER!$A:$F,MATCH('FINAL DATA'!K$1,PRODUCT_MASTER!$A$1:$F$1,0),0)</f>
        <v>83.08</v>
      </c>
      <c r="L36" s="7">
        <f t="shared" si="0"/>
        <v>469</v>
      </c>
      <c r="M36" s="7">
        <f t="shared" si="1"/>
        <v>581.55999999999995</v>
      </c>
      <c r="N36">
        <f t="shared" si="2"/>
        <v>5</v>
      </c>
      <c r="O36" t="str">
        <f t="shared" si="3"/>
        <v>Feb</v>
      </c>
      <c r="P36">
        <f t="shared" si="4"/>
        <v>2021</v>
      </c>
    </row>
    <row r="37" spans="1:16" x14ac:dyDescent="0.2">
      <c r="A37" s="1">
        <v>44232</v>
      </c>
      <c r="B37" t="s">
        <v>15</v>
      </c>
      <c r="C37">
        <v>1</v>
      </c>
      <c r="D37" t="s">
        <v>103</v>
      </c>
      <c r="E37" t="s">
        <v>102</v>
      </c>
      <c r="F37" s="5">
        <v>0</v>
      </c>
      <c r="G37" t="str">
        <f>VLOOKUP($B37,PRODUCT_MASTER!$A:$F,MATCH('FINAL DATA'!G$1,PRODUCT_MASTER!$A$1:$F$1,0),0)</f>
        <v>Product05</v>
      </c>
      <c r="H37" t="str">
        <f>VLOOKUP($B37,PRODUCT_MASTER!$A:$F,MATCH('FINAL DATA'!H$1,PRODUCT_MASTER!$A$1:$F$1,0),0)</f>
        <v>Organic</v>
      </c>
      <c r="I37" t="str">
        <f>VLOOKUP($B37,PRODUCT_MASTER!$A:$F,MATCH('FINAL DATA'!I$1,PRODUCT_MASTER!$A$1:$F$1,0),0)</f>
        <v>Ft</v>
      </c>
      <c r="J37" s="7">
        <f>VLOOKUP($B37,PRODUCT_MASTER!$A:$F,MATCH('FINAL DATA'!J$1,PRODUCT_MASTER!$A$1:$F$1,0),0)</f>
        <v>133</v>
      </c>
      <c r="K37" s="7">
        <f>VLOOKUP($B37,PRODUCT_MASTER!$A:$F,MATCH('FINAL DATA'!K$1,PRODUCT_MASTER!$A$1:$F$1,0),0)</f>
        <v>155.61000000000001</v>
      </c>
      <c r="L37" s="7">
        <f t="shared" si="0"/>
        <v>133</v>
      </c>
      <c r="M37" s="7">
        <f t="shared" si="1"/>
        <v>155.61000000000001</v>
      </c>
      <c r="N37">
        <f t="shared" si="2"/>
        <v>5</v>
      </c>
      <c r="O37" t="str">
        <f t="shared" si="3"/>
        <v>Feb</v>
      </c>
      <c r="P37">
        <f t="shared" si="4"/>
        <v>2021</v>
      </c>
    </row>
    <row r="38" spans="1:16" x14ac:dyDescent="0.2">
      <c r="A38" s="1">
        <v>44232</v>
      </c>
      <c r="B38" t="s">
        <v>91</v>
      </c>
      <c r="C38">
        <v>9</v>
      </c>
      <c r="D38" t="s">
        <v>103</v>
      </c>
      <c r="E38" t="s">
        <v>102</v>
      </c>
      <c r="F38" s="5">
        <v>0</v>
      </c>
      <c r="G38" t="str">
        <f>VLOOKUP($B38,PRODUCT_MASTER!$A:$F,MATCH('FINAL DATA'!G$1,PRODUCT_MASTER!$A$1:$F$1,0),0)</f>
        <v>Product43</v>
      </c>
      <c r="H38" t="str">
        <f>VLOOKUP($B38,PRODUCT_MASTER!$A:$F,MATCH('FINAL DATA'!H$1,PRODUCT_MASTER!$A$1:$F$1,0),0)</f>
        <v>Candy</v>
      </c>
      <c r="I38" t="str">
        <f>VLOOKUP($B38,PRODUCT_MASTER!$A:$F,MATCH('FINAL DATA'!I$1,PRODUCT_MASTER!$A$1:$F$1,0),0)</f>
        <v>Kg</v>
      </c>
      <c r="J38" s="7">
        <f>VLOOKUP($B38,PRODUCT_MASTER!$A:$F,MATCH('FINAL DATA'!J$1,PRODUCT_MASTER!$A$1:$F$1,0),0)</f>
        <v>67</v>
      </c>
      <c r="K38" s="7">
        <f>VLOOKUP($B38,PRODUCT_MASTER!$A:$F,MATCH('FINAL DATA'!K$1,PRODUCT_MASTER!$A$1:$F$1,0),0)</f>
        <v>83.08</v>
      </c>
      <c r="L38" s="7">
        <f t="shared" si="0"/>
        <v>603</v>
      </c>
      <c r="M38" s="7">
        <f t="shared" si="1"/>
        <v>747.72</v>
      </c>
      <c r="N38">
        <f t="shared" si="2"/>
        <v>5</v>
      </c>
      <c r="O38" t="str">
        <f t="shared" si="3"/>
        <v>Feb</v>
      </c>
      <c r="P38">
        <f t="shared" si="4"/>
        <v>2021</v>
      </c>
    </row>
    <row r="39" spans="1:16" x14ac:dyDescent="0.2">
      <c r="A39" s="1">
        <v>44233</v>
      </c>
      <c r="B39" t="s">
        <v>75</v>
      </c>
      <c r="C39">
        <v>1</v>
      </c>
      <c r="D39" t="s">
        <v>103</v>
      </c>
      <c r="E39" t="s">
        <v>102</v>
      </c>
      <c r="F39" s="5">
        <v>0</v>
      </c>
      <c r="G39" t="str">
        <f>VLOOKUP($B39,PRODUCT_MASTER!$A:$F,MATCH('FINAL DATA'!G$1,PRODUCT_MASTER!$A$1:$F$1,0),0)</f>
        <v>Product35</v>
      </c>
      <c r="H39" t="str">
        <f>VLOOKUP($B39,PRODUCT_MASTER!$A:$F,MATCH('FINAL DATA'!H$1,PRODUCT_MASTER!$A$1:$F$1,0),0)</f>
        <v>Bakery And Desserts</v>
      </c>
      <c r="I39" t="str">
        <f>VLOOKUP($B39,PRODUCT_MASTER!$A:$F,MATCH('FINAL DATA'!I$1,PRODUCT_MASTER!$A$1:$F$1,0),0)</f>
        <v>No.</v>
      </c>
      <c r="J39" s="7">
        <f>VLOOKUP($B39,PRODUCT_MASTER!$A:$F,MATCH('FINAL DATA'!J$1,PRODUCT_MASTER!$A$1:$F$1,0),0)</f>
        <v>5</v>
      </c>
      <c r="K39" s="7">
        <f>VLOOKUP($B39,PRODUCT_MASTER!$A:$F,MATCH('FINAL DATA'!K$1,PRODUCT_MASTER!$A$1:$F$1,0),0)</f>
        <v>6.7</v>
      </c>
      <c r="L39" s="7">
        <f t="shared" si="0"/>
        <v>5</v>
      </c>
      <c r="M39" s="7">
        <f t="shared" si="1"/>
        <v>6.7</v>
      </c>
      <c r="N39">
        <f t="shared" si="2"/>
        <v>6</v>
      </c>
      <c r="O39" t="str">
        <f t="shared" si="3"/>
        <v>Feb</v>
      </c>
      <c r="P39">
        <f t="shared" si="4"/>
        <v>2021</v>
      </c>
    </row>
    <row r="40" spans="1:16" x14ac:dyDescent="0.2">
      <c r="A40" s="1">
        <v>44236</v>
      </c>
      <c r="B40" t="s">
        <v>73</v>
      </c>
      <c r="C40">
        <v>14</v>
      </c>
      <c r="D40" t="s">
        <v>103</v>
      </c>
      <c r="E40" t="s">
        <v>101</v>
      </c>
      <c r="F40" s="5">
        <v>0</v>
      </c>
      <c r="G40" t="str">
        <f>VLOOKUP($B40,PRODUCT_MASTER!$A:$F,MATCH('FINAL DATA'!G$1,PRODUCT_MASTER!$A$1:$F$1,0),0)</f>
        <v>Product34</v>
      </c>
      <c r="H40" t="str">
        <f>VLOOKUP($B40,PRODUCT_MASTER!$A:$F,MATCH('FINAL DATA'!H$1,PRODUCT_MASTER!$A$1:$F$1,0),0)</f>
        <v>Bakery And Desserts</v>
      </c>
      <c r="I40" t="str">
        <f>VLOOKUP($B40,PRODUCT_MASTER!$A:$F,MATCH('FINAL DATA'!I$1,PRODUCT_MASTER!$A$1:$F$1,0),0)</f>
        <v>Lt</v>
      </c>
      <c r="J40" s="7">
        <f>VLOOKUP($B40,PRODUCT_MASTER!$A:$F,MATCH('FINAL DATA'!J$1,PRODUCT_MASTER!$A$1:$F$1,0),0)</f>
        <v>55</v>
      </c>
      <c r="K40" s="7">
        <f>VLOOKUP($B40,PRODUCT_MASTER!$A:$F,MATCH('FINAL DATA'!K$1,PRODUCT_MASTER!$A$1:$F$1,0),0)</f>
        <v>58.3</v>
      </c>
      <c r="L40" s="7">
        <f t="shared" si="0"/>
        <v>770</v>
      </c>
      <c r="M40" s="7">
        <f t="shared" si="1"/>
        <v>816.19999999999993</v>
      </c>
      <c r="N40">
        <f t="shared" si="2"/>
        <v>9</v>
      </c>
      <c r="O40" t="str">
        <f t="shared" si="3"/>
        <v>Feb</v>
      </c>
      <c r="P40">
        <f t="shared" si="4"/>
        <v>2021</v>
      </c>
    </row>
    <row r="41" spans="1:16" x14ac:dyDescent="0.2">
      <c r="A41" s="1">
        <v>44239</v>
      </c>
      <c r="B41" t="s">
        <v>21</v>
      </c>
      <c r="C41">
        <v>7</v>
      </c>
      <c r="D41" t="s">
        <v>103</v>
      </c>
      <c r="E41" t="s">
        <v>102</v>
      </c>
      <c r="F41" s="5">
        <v>0</v>
      </c>
      <c r="G41" t="str">
        <f>VLOOKUP($B41,PRODUCT_MASTER!$A:$F,MATCH('FINAL DATA'!G$1,PRODUCT_MASTER!$A$1:$F$1,0),0)</f>
        <v>Product08</v>
      </c>
      <c r="H41" t="str">
        <f>VLOOKUP($B41,PRODUCT_MASTER!$A:$F,MATCH('FINAL DATA'!H$1,PRODUCT_MASTER!$A$1:$F$1,0),0)</f>
        <v>Gourmet Foods</v>
      </c>
      <c r="I41" t="str">
        <f>VLOOKUP($B41,PRODUCT_MASTER!$A:$F,MATCH('FINAL DATA'!I$1,PRODUCT_MASTER!$A$1:$F$1,0),0)</f>
        <v>Kg</v>
      </c>
      <c r="J41" s="7">
        <f>VLOOKUP($B41,PRODUCT_MASTER!$A:$F,MATCH('FINAL DATA'!J$1,PRODUCT_MASTER!$A$1:$F$1,0),0)</f>
        <v>83</v>
      </c>
      <c r="K41" s="7">
        <f>VLOOKUP($B41,PRODUCT_MASTER!$A:$F,MATCH('FINAL DATA'!K$1,PRODUCT_MASTER!$A$1:$F$1,0),0)</f>
        <v>94.62</v>
      </c>
      <c r="L41" s="7">
        <f t="shared" si="0"/>
        <v>581</v>
      </c>
      <c r="M41" s="7">
        <f t="shared" si="1"/>
        <v>662.34</v>
      </c>
      <c r="N41">
        <f t="shared" si="2"/>
        <v>12</v>
      </c>
      <c r="O41" t="str">
        <f t="shared" si="3"/>
        <v>Feb</v>
      </c>
      <c r="P41">
        <f t="shared" si="4"/>
        <v>2021</v>
      </c>
    </row>
    <row r="42" spans="1:16" x14ac:dyDescent="0.2">
      <c r="A42" s="1">
        <v>44239</v>
      </c>
      <c r="B42" t="s">
        <v>51</v>
      </c>
      <c r="C42">
        <v>9</v>
      </c>
      <c r="D42" t="s">
        <v>101</v>
      </c>
      <c r="E42" t="s">
        <v>102</v>
      </c>
      <c r="F42" s="5">
        <v>0</v>
      </c>
      <c r="G42" t="str">
        <f>VLOOKUP($B42,PRODUCT_MASTER!$A:$F,MATCH('FINAL DATA'!G$1,PRODUCT_MASTER!$A$1:$F$1,0),0)</f>
        <v>Product23</v>
      </c>
      <c r="H42" t="str">
        <f>VLOOKUP($B42,PRODUCT_MASTER!$A:$F,MATCH('FINAL DATA'!H$1,PRODUCT_MASTER!$A$1:$F$1,0),0)</f>
        <v>Seafood</v>
      </c>
      <c r="I42" t="str">
        <f>VLOOKUP($B42,PRODUCT_MASTER!$A:$F,MATCH('FINAL DATA'!I$1,PRODUCT_MASTER!$A$1:$F$1,0),0)</f>
        <v>Ft</v>
      </c>
      <c r="J42" s="7">
        <f>VLOOKUP($B42,PRODUCT_MASTER!$A:$F,MATCH('FINAL DATA'!J$1,PRODUCT_MASTER!$A$1:$F$1,0),0)</f>
        <v>141</v>
      </c>
      <c r="K42" s="7">
        <f>VLOOKUP($B42,PRODUCT_MASTER!$A:$F,MATCH('FINAL DATA'!K$1,PRODUCT_MASTER!$A$1:$F$1,0),0)</f>
        <v>149.46</v>
      </c>
      <c r="L42" s="7">
        <f t="shared" si="0"/>
        <v>1269</v>
      </c>
      <c r="M42" s="7">
        <f t="shared" si="1"/>
        <v>1345.14</v>
      </c>
      <c r="N42">
        <f t="shared" si="2"/>
        <v>12</v>
      </c>
      <c r="O42" t="str">
        <f t="shared" si="3"/>
        <v>Feb</v>
      </c>
      <c r="P42">
        <f t="shared" si="4"/>
        <v>2021</v>
      </c>
    </row>
    <row r="43" spans="1:16" x14ac:dyDescent="0.2">
      <c r="A43" s="1">
        <v>44242</v>
      </c>
      <c r="B43" t="s">
        <v>59</v>
      </c>
      <c r="C43">
        <v>4</v>
      </c>
      <c r="D43" t="s">
        <v>103</v>
      </c>
      <c r="E43" t="s">
        <v>101</v>
      </c>
      <c r="F43" s="5">
        <v>0</v>
      </c>
      <c r="G43" t="str">
        <f>VLOOKUP($B43,PRODUCT_MASTER!$A:$F,MATCH('FINAL DATA'!G$1,PRODUCT_MASTER!$A$1:$F$1,0),0)</f>
        <v>Product27</v>
      </c>
      <c r="H43" t="str">
        <f>VLOOKUP($B43,PRODUCT_MASTER!$A:$F,MATCH('FINAL DATA'!H$1,PRODUCT_MASTER!$A$1:$F$1,0),0)</f>
        <v>Cheese And Dairy</v>
      </c>
      <c r="I43" t="str">
        <f>VLOOKUP($B43,PRODUCT_MASTER!$A:$F,MATCH('FINAL DATA'!I$1,PRODUCT_MASTER!$A$1:$F$1,0),0)</f>
        <v>Lt</v>
      </c>
      <c r="J43" s="7">
        <f>VLOOKUP($B43,PRODUCT_MASTER!$A:$F,MATCH('FINAL DATA'!J$1,PRODUCT_MASTER!$A$1:$F$1,0),0)</f>
        <v>48</v>
      </c>
      <c r="K43" s="7">
        <f>VLOOKUP($B43,PRODUCT_MASTER!$A:$F,MATCH('FINAL DATA'!K$1,PRODUCT_MASTER!$A$1:$F$1,0),0)</f>
        <v>57.120000000000005</v>
      </c>
      <c r="L43" s="7">
        <f t="shared" si="0"/>
        <v>192</v>
      </c>
      <c r="M43" s="7">
        <f t="shared" si="1"/>
        <v>228.48000000000002</v>
      </c>
      <c r="N43">
        <f t="shared" si="2"/>
        <v>15</v>
      </c>
      <c r="O43" t="str">
        <f t="shared" si="3"/>
        <v>Feb</v>
      </c>
      <c r="P43">
        <f t="shared" si="4"/>
        <v>2021</v>
      </c>
    </row>
    <row r="44" spans="1:16" x14ac:dyDescent="0.2">
      <c r="A44" s="1">
        <v>44245</v>
      </c>
      <c r="B44" t="s">
        <v>35</v>
      </c>
      <c r="C44">
        <v>6</v>
      </c>
      <c r="D44" t="s">
        <v>101</v>
      </c>
      <c r="E44" t="s">
        <v>102</v>
      </c>
      <c r="F44" s="5">
        <v>0</v>
      </c>
      <c r="G44" t="str">
        <f>VLOOKUP($B44,PRODUCT_MASTER!$A:$F,MATCH('FINAL DATA'!G$1,PRODUCT_MASTER!$A$1:$F$1,0),0)</f>
        <v>Product15</v>
      </c>
      <c r="H44" t="str">
        <f>VLOOKUP($B44,PRODUCT_MASTER!$A:$F,MATCH('FINAL DATA'!H$1,PRODUCT_MASTER!$A$1:$F$1,0),0)</f>
        <v>Meat</v>
      </c>
      <c r="I44" t="str">
        <f>VLOOKUP($B44,PRODUCT_MASTER!$A:$F,MATCH('FINAL DATA'!I$1,PRODUCT_MASTER!$A$1:$F$1,0),0)</f>
        <v>No.</v>
      </c>
      <c r="J44" s="7">
        <f>VLOOKUP($B44,PRODUCT_MASTER!$A:$F,MATCH('FINAL DATA'!J$1,PRODUCT_MASTER!$A$1:$F$1,0),0)</f>
        <v>12</v>
      </c>
      <c r="K44" s="7">
        <f>VLOOKUP($B44,PRODUCT_MASTER!$A:$F,MATCH('FINAL DATA'!K$1,PRODUCT_MASTER!$A$1:$F$1,0),0)</f>
        <v>15.719999999999999</v>
      </c>
      <c r="L44" s="7">
        <f t="shared" si="0"/>
        <v>72</v>
      </c>
      <c r="M44" s="7">
        <f t="shared" si="1"/>
        <v>94.32</v>
      </c>
      <c r="N44">
        <f t="shared" si="2"/>
        <v>18</v>
      </c>
      <c r="O44" t="str">
        <f t="shared" si="3"/>
        <v>Feb</v>
      </c>
      <c r="P44">
        <f t="shared" si="4"/>
        <v>2021</v>
      </c>
    </row>
    <row r="45" spans="1:16" x14ac:dyDescent="0.2">
      <c r="A45" s="1">
        <v>44247</v>
      </c>
      <c r="B45" t="s">
        <v>65</v>
      </c>
      <c r="C45">
        <v>11</v>
      </c>
      <c r="D45" t="s">
        <v>101</v>
      </c>
      <c r="E45" t="s">
        <v>102</v>
      </c>
      <c r="F45" s="5">
        <v>0</v>
      </c>
      <c r="G45" t="str">
        <f>VLOOKUP($B45,PRODUCT_MASTER!$A:$F,MATCH('FINAL DATA'!G$1,PRODUCT_MASTER!$A$1:$F$1,0),0)</f>
        <v>Product30</v>
      </c>
      <c r="H45" t="str">
        <f>VLOOKUP($B45,PRODUCT_MASTER!$A:$F,MATCH('FINAL DATA'!H$1,PRODUCT_MASTER!$A$1:$F$1,0),0)</f>
        <v>Cheese And Dairy</v>
      </c>
      <c r="I45" t="str">
        <f>VLOOKUP($B45,PRODUCT_MASTER!$A:$F,MATCH('FINAL DATA'!I$1,PRODUCT_MASTER!$A$1:$F$1,0),0)</f>
        <v>Ft</v>
      </c>
      <c r="J45" s="7">
        <f>VLOOKUP($B45,PRODUCT_MASTER!$A:$F,MATCH('FINAL DATA'!J$1,PRODUCT_MASTER!$A$1:$F$1,0),0)</f>
        <v>148</v>
      </c>
      <c r="K45" s="7">
        <f>VLOOKUP($B45,PRODUCT_MASTER!$A:$F,MATCH('FINAL DATA'!K$1,PRODUCT_MASTER!$A$1:$F$1,0),0)</f>
        <v>201.28</v>
      </c>
      <c r="L45" s="7">
        <f t="shared" si="0"/>
        <v>1628</v>
      </c>
      <c r="M45" s="7">
        <f t="shared" si="1"/>
        <v>2214.08</v>
      </c>
      <c r="N45">
        <f t="shared" si="2"/>
        <v>20</v>
      </c>
      <c r="O45" t="str">
        <f t="shared" si="3"/>
        <v>Feb</v>
      </c>
      <c r="P45">
        <f t="shared" si="4"/>
        <v>2021</v>
      </c>
    </row>
    <row r="46" spans="1:16" x14ac:dyDescent="0.2">
      <c r="A46" s="1">
        <v>44249</v>
      </c>
      <c r="B46" t="s">
        <v>31</v>
      </c>
      <c r="C46">
        <v>5</v>
      </c>
      <c r="D46" t="s">
        <v>101</v>
      </c>
      <c r="E46" t="s">
        <v>102</v>
      </c>
      <c r="F46" s="5">
        <v>0</v>
      </c>
      <c r="G46" t="str">
        <f>VLOOKUP($B46,PRODUCT_MASTER!$A:$F,MATCH('FINAL DATA'!G$1,PRODUCT_MASTER!$A$1:$F$1,0),0)</f>
        <v>Product13</v>
      </c>
      <c r="H46" t="str">
        <f>VLOOKUP($B46,PRODUCT_MASTER!$A:$F,MATCH('FINAL DATA'!H$1,PRODUCT_MASTER!$A$1:$F$1,0),0)</f>
        <v>Meat</v>
      </c>
      <c r="I46" t="str">
        <f>VLOOKUP($B46,PRODUCT_MASTER!$A:$F,MATCH('FINAL DATA'!I$1,PRODUCT_MASTER!$A$1:$F$1,0),0)</f>
        <v>Kg</v>
      </c>
      <c r="J46" s="7">
        <f>VLOOKUP($B46,PRODUCT_MASTER!$A:$F,MATCH('FINAL DATA'!J$1,PRODUCT_MASTER!$A$1:$F$1,0),0)</f>
        <v>112</v>
      </c>
      <c r="K46" s="7">
        <f>VLOOKUP($B46,PRODUCT_MASTER!$A:$F,MATCH('FINAL DATA'!K$1,PRODUCT_MASTER!$A$1:$F$1,0),0)</f>
        <v>122.08</v>
      </c>
      <c r="L46" s="7">
        <f t="shared" si="0"/>
        <v>560</v>
      </c>
      <c r="M46" s="7">
        <f t="shared" si="1"/>
        <v>610.4</v>
      </c>
      <c r="N46">
        <f t="shared" si="2"/>
        <v>22</v>
      </c>
      <c r="O46" t="str">
        <f t="shared" si="3"/>
        <v>Feb</v>
      </c>
      <c r="P46">
        <f t="shared" si="4"/>
        <v>2021</v>
      </c>
    </row>
    <row r="47" spans="1:16" x14ac:dyDescent="0.2">
      <c r="A47" s="1">
        <v>44250</v>
      </c>
      <c r="B47" t="s">
        <v>55</v>
      </c>
      <c r="C47">
        <v>3</v>
      </c>
      <c r="D47" t="s">
        <v>103</v>
      </c>
      <c r="E47" t="s">
        <v>102</v>
      </c>
      <c r="F47" s="5">
        <v>0</v>
      </c>
      <c r="G47" t="str">
        <f>VLOOKUP($B47,PRODUCT_MASTER!$A:$F,MATCH('FINAL DATA'!G$1,PRODUCT_MASTER!$A$1:$F$1,0),0)</f>
        <v>Product25</v>
      </c>
      <c r="H47" t="str">
        <f>VLOOKUP($B47,PRODUCT_MASTER!$A:$F,MATCH('FINAL DATA'!H$1,PRODUCT_MASTER!$A$1:$F$1,0),0)</f>
        <v>Seafood</v>
      </c>
      <c r="I47" t="str">
        <f>VLOOKUP($B47,PRODUCT_MASTER!$A:$F,MATCH('FINAL DATA'!I$1,PRODUCT_MASTER!$A$1:$F$1,0),0)</f>
        <v>No.</v>
      </c>
      <c r="J47" s="7">
        <f>VLOOKUP($B47,PRODUCT_MASTER!$A:$F,MATCH('FINAL DATA'!J$1,PRODUCT_MASTER!$A$1:$F$1,0),0)</f>
        <v>7</v>
      </c>
      <c r="K47" s="7">
        <f>VLOOKUP($B47,PRODUCT_MASTER!$A:$F,MATCH('FINAL DATA'!K$1,PRODUCT_MASTER!$A$1:$F$1,0),0)</f>
        <v>8.33</v>
      </c>
      <c r="L47" s="7">
        <f t="shared" si="0"/>
        <v>21</v>
      </c>
      <c r="M47" s="7">
        <f t="shared" si="1"/>
        <v>24.990000000000002</v>
      </c>
      <c r="N47">
        <f t="shared" si="2"/>
        <v>23</v>
      </c>
      <c r="O47" t="str">
        <f t="shared" si="3"/>
        <v>Feb</v>
      </c>
      <c r="P47">
        <f t="shared" si="4"/>
        <v>2021</v>
      </c>
    </row>
    <row r="48" spans="1:16" x14ac:dyDescent="0.2">
      <c r="A48" s="1">
        <v>44250</v>
      </c>
      <c r="B48" t="s">
        <v>15</v>
      </c>
      <c r="C48">
        <v>2</v>
      </c>
      <c r="D48" t="s">
        <v>103</v>
      </c>
      <c r="E48" t="s">
        <v>101</v>
      </c>
      <c r="F48" s="5">
        <v>0</v>
      </c>
      <c r="G48" t="str">
        <f>VLOOKUP($B48,PRODUCT_MASTER!$A:$F,MATCH('FINAL DATA'!G$1,PRODUCT_MASTER!$A$1:$F$1,0),0)</f>
        <v>Product05</v>
      </c>
      <c r="H48" t="str">
        <f>VLOOKUP($B48,PRODUCT_MASTER!$A:$F,MATCH('FINAL DATA'!H$1,PRODUCT_MASTER!$A$1:$F$1,0),0)</f>
        <v>Organic</v>
      </c>
      <c r="I48" t="str">
        <f>VLOOKUP($B48,PRODUCT_MASTER!$A:$F,MATCH('FINAL DATA'!I$1,PRODUCT_MASTER!$A$1:$F$1,0),0)</f>
        <v>Ft</v>
      </c>
      <c r="J48" s="7">
        <f>VLOOKUP($B48,PRODUCT_MASTER!$A:$F,MATCH('FINAL DATA'!J$1,PRODUCT_MASTER!$A$1:$F$1,0),0)</f>
        <v>133</v>
      </c>
      <c r="K48" s="7">
        <f>VLOOKUP($B48,PRODUCT_MASTER!$A:$F,MATCH('FINAL DATA'!K$1,PRODUCT_MASTER!$A$1:$F$1,0),0)</f>
        <v>155.61000000000001</v>
      </c>
      <c r="L48" s="7">
        <f t="shared" si="0"/>
        <v>266</v>
      </c>
      <c r="M48" s="7">
        <f t="shared" si="1"/>
        <v>311.22000000000003</v>
      </c>
      <c r="N48">
        <f t="shared" si="2"/>
        <v>23</v>
      </c>
      <c r="O48" t="str">
        <f t="shared" si="3"/>
        <v>Feb</v>
      </c>
      <c r="P48">
        <f t="shared" si="4"/>
        <v>2021</v>
      </c>
    </row>
    <row r="49" spans="1:16" x14ac:dyDescent="0.2">
      <c r="A49" s="1">
        <v>44252</v>
      </c>
      <c r="B49" t="s">
        <v>9</v>
      </c>
      <c r="C49">
        <v>4</v>
      </c>
      <c r="D49" t="s">
        <v>100</v>
      </c>
      <c r="E49" t="s">
        <v>101</v>
      </c>
      <c r="F49" s="5">
        <v>0</v>
      </c>
      <c r="G49" t="str">
        <f>VLOOKUP($B49,PRODUCT_MASTER!$A:$F,MATCH('FINAL DATA'!G$1,PRODUCT_MASTER!$A$1:$F$1,0),0)</f>
        <v>Product02</v>
      </c>
      <c r="H49" t="str">
        <f>VLOOKUP($B49,PRODUCT_MASTER!$A:$F,MATCH('FINAL DATA'!H$1,PRODUCT_MASTER!$A$1:$F$1,0),0)</f>
        <v>Organic</v>
      </c>
      <c r="I49" t="str">
        <f>VLOOKUP($B49,PRODUCT_MASTER!$A:$F,MATCH('FINAL DATA'!I$1,PRODUCT_MASTER!$A$1:$F$1,0),0)</f>
        <v>Kg</v>
      </c>
      <c r="J49" s="7">
        <f>VLOOKUP($B49,PRODUCT_MASTER!$A:$F,MATCH('FINAL DATA'!J$1,PRODUCT_MASTER!$A$1:$F$1,0),0)</f>
        <v>105</v>
      </c>
      <c r="K49" s="7">
        <f>VLOOKUP($B49,PRODUCT_MASTER!$A:$F,MATCH('FINAL DATA'!K$1,PRODUCT_MASTER!$A$1:$F$1,0),0)</f>
        <v>142.80000000000001</v>
      </c>
      <c r="L49" s="7">
        <f t="shared" si="0"/>
        <v>420</v>
      </c>
      <c r="M49" s="7">
        <f t="shared" si="1"/>
        <v>571.20000000000005</v>
      </c>
      <c r="N49">
        <f t="shared" si="2"/>
        <v>25</v>
      </c>
      <c r="O49" t="str">
        <f t="shared" si="3"/>
        <v>Feb</v>
      </c>
      <c r="P49">
        <f t="shared" si="4"/>
        <v>2021</v>
      </c>
    </row>
    <row r="50" spans="1:16" x14ac:dyDescent="0.2">
      <c r="A50" s="1">
        <v>44252</v>
      </c>
      <c r="B50" t="s">
        <v>69</v>
      </c>
      <c r="C50">
        <v>11</v>
      </c>
      <c r="D50" t="s">
        <v>101</v>
      </c>
      <c r="E50" t="s">
        <v>102</v>
      </c>
      <c r="F50" s="5">
        <v>0</v>
      </c>
      <c r="G50" t="str">
        <f>VLOOKUP($B50,PRODUCT_MASTER!$A:$F,MATCH('FINAL DATA'!G$1,PRODUCT_MASTER!$A$1:$F$1,0),0)</f>
        <v>Product32</v>
      </c>
      <c r="H50" t="str">
        <f>VLOOKUP($B50,PRODUCT_MASTER!$A:$F,MATCH('FINAL DATA'!H$1,PRODUCT_MASTER!$A$1:$F$1,0),0)</f>
        <v>Bakery And Desserts</v>
      </c>
      <c r="I50" t="str">
        <f>VLOOKUP($B50,PRODUCT_MASTER!$A:$F,MATCH('FINAL DATA'!I$1,PRODUCT_MASTER!$A$1:$F$1,0),0)</f>
        <v>Kg</v>
      </c>
      <c r="J50" s="7">
        <f>VLOOKUP($B50,PRODUCT_MASTER!$A:$F,MATCH('FINAL DATA'!J$1,PRODUCT_MASTER!$A$1:$F$1,0),0)</f>
        <v>89</v>
      </c>
      <c r="K50" s="7">
        <f>VLOOKUP($B50,PRODUCT_MASTER!$A:$F,MATCH('FINAL DATA'!K$1,PRODUCT_MASTER!$A$1:$F$1,0),0)</f>
        <v>117.48</v>
      </c>
      <c r="L50" s="7">
        <f t="shared" si="0"/>
        <v>979</v>
      </c>
      <c r="M50" s="7">
        <f t="shared" si="1"/>
        <v>1292.28</v>
      </c>
      <c r="N50">
        <f t="shared" si="2"/>
        <v>25</v>
      </c>
      <c r="O50" t="str">
        <f t="shared" si="3"/>
        <v>Feb</v>
      </c>
      <c r="P50">
        <f t="shared" si="4"/>
        <v>2021</v>
      </c>
    </row>
    <row r="51" spans="1:16" x14ac:dyDescent="0.2">
      <c r="A51" s="1">
        <v>44252</v>
      </c>
      <c r="B51" t="s">
        <v>65</v>
      </c>
      <c r="C51">
        <v>2</v>
      </c>
      <c r="D51" t="s">
        <v>103</v>
      </c>
      <c r="E51" t="s">
        <v>101</v>
      </c>
      <c r="F51" s="5">
        <v>0</v>
      </c>
      <c r="G51" t="str">
        <f>VLOOKUP($B51,PRODUCT_MASTER!$A:$F,MATCH('FINAL DATA'!G$1,PRODUCT_MASTER!$A$1:$F$1,0),0)</f>
        <v>Product30</v>
      </c>
      <c r="H51" t="str">
        <f>VLOOKUP($B51,PRODUCT_MASTER!$A:$F,MATCH('FINAL DATA'!H$1,PRODUCT_MASTER!$A$1:$F$1,0),0)</f>
        <v>Cheese And Dairy</v>
      </c>
      <c r="I51" t="str">
        <f>VLOOKUP($B51,PRODUCT_MASTER!$A:$F,MATCH('FINAL DATA'!I$1,PRODUCT_MASTER!$A$1:$F$1,0),0)</f>
        <v>Ft</v>
      </c>
      <c r="J51" s="7">
        <f>VLOOKUP($B51,PRODUCT_MASTER!$A:$F,MATCH('FINAL DATA'!J$1,PRODUCT_MASTER!$A$1:$F$1,0),0)</f>
        <v>148</v>
      </c>
      <c r="K51" s="7">
        <f>VLOOKUP($B51,PRODUCT_MASTER!$A:$F,MATCH('FINAL DATA'!K$1,PRODUCT_MASTER!$A$1:$F$1,0),0)</f>
        <v>201.28</v>
      </c>
      <c r="L51" s="7">
        <f t="shared" si="0"/>
        <v>296</v>
      </c>
      <c r="M51" s="7">
        <f t="shared" si="1"/>
        <v>402.56</v>
      </c>
      <c r="N51">
        <f t="shared" si="2"/>
        <v>25</v>
      </c>
      <c r="O51" t="str">
        <f t="shared" si="3"/>
        <v>Feb</v>
      </c>
      <c r="P51">
        <f t="shared" si="4"/>
        <v>2021</v>
      </c>
    </row>
    <row r="52" spans="1:16" x14ac:dyDescent="0.2">
      <c r="A52" s="1">
        <v>44254</v>
      </c>
      <c r="B52" t="s">
        <v>41</v>
      </c>
      <c r="C52">
        <v>11</v>
      </c>
      <c r="D52" t="s">
        <v>100</v>
      </c>
      <c r="E52" t="s">
        <v>101</v>
      </c>
      <c r="F52" s="5">
        <v>0</v>
      </c>
      <c r="G52" t="str">
        <f>VLOOKUP($B52,PRODUCT_MASTER!$A:$F,MATCH('FINAL DATA'!G$1,PRODUCT_MASTER!$A$1:$F$1,0),0)</f>
        <v>Product18</v>
      </c>
      <c r="H52" t="str">
        <f>VLOOKUP($B52,PRODUCT_MASTER!$A:$F,MATCH('FINAL DATA'!H$1,PRODUCT_MASTER!$A$1:$F$1,0),0)</f>
        <v>Poultry</v>
      </c>
      <c r="I52" t="str">
        <f>VLOOKUP($B52,PRODUCT_MASTER!$A:$F,MATCH('FINAL DATA'!I$1,PRODUCT_MASTER!$A$1:$F$1,0),0)</f>
        <v>No.</v>
      </c>
      <c r="J52" s="7">
        <f>VLOOKUP($B52,PRODUCT_MASTER!$A:$F,MATCH('FINAL DATA'!J$1,PRODUCT_MASTER!$A$1:$F$1,0),0)</f>
        <v>37</v>
      </c>
      <c r="K52" s="7">
        <f>VLOOKUP($B52,PRODUCT_MASTER!$A:$F,MATCH('FINAL DATA'!K$1,PRODUCT_MASTER!$A$1:$F$1,0),0)</f>
        <v>49.21</v>
      </c>
      <c r="L52" s="7">
        <f t="shared" si="0"/>
        <v>407</v>
      </c>
      <c r="M52" s="7">
        <f t="shared" si="1"/>
        <v>541.31000000000006</v>
      </c>
      <c r="N52">
        <f t="shared" si="2"/>
        <v>27</v>
      </c>
      <c r="O52" t="str">
        <f t="shared" si="3"/>
        <v>Feb</v>
      </c>
      <c r="P52">
        <f t="shared" si="4"/>
        <v>2021</v>
      </c>
    </row>
    <row r="53" spans="1:16" x14ac:dyDescent="0.2">
      <c r="A53" s="1">
        <v>44258</v>
      </c>
      <c r="B53" t="s">
        <v>27</v>
      </c>
      <c r="C53">
        <v>1</v>
      </c>
      <c r="D53" t="s">
        <v>103</v>
      </c>
      <c r="E53" t="s">
        <v>101</v>
      </c>
      <c r="F53" s="5">
        <v>0</v>
      </c>
      <c r="G53" t="str">
        <f>VLOOKUP($B53,PRODUCT_MASTER!$A:$F,MATCH('FINAL DATA'!G$1,PRODUCT_MASTER!$A$1:$F$1,0),0)</f>
        <v>Product11</v>
      </c>
      <c r="H53" t="str">
        <f>VLOOKUP($B53,PRODUCT_MASTER!$A:$F,MATCH('FINAL DATA'!H$1,PRODUCT_MASTER!$A$1:$F$1,0),0)</f>
        <v>Gourmet Foods</v>
      </c>
      <c r="I53" t="str">
        <f>VLOOKUP($B53,PRODUCT_MASTER!$A:$F,MATCH('FINAL DATA'!I$1,PRODUCT_MASTER!$A$1:$F$1,0),0)</f>
        <v>Lt</v>
      </c>
      <c r="J53" s="7">
        <f>VLOOKUP($B53,PRODUCT_MASTER!$A:$F,MATCH('FINAL DATA'!J$1,PRODUCT_MASTER!$A$1:$F$1,0),0)</f>
        <v>44</v>
      </c>
      <c r="K53" s="7">
        <f>VLOOKUP($B53,PRODUCT_MASTER!$A:$F,MATCH('FINAL DATA'!K$1,PRODUCT_MASTER!$A$1:$F$1,0),0)</f>
        <v>48.4</v>
      </c>
      <c r="L53" s="7">
        <f t="shared" si="0"/>
        <v>44</v>
      </c>
      <c r="M53" s="7">
        <f t="shared" si="1"/>
        <v>48.4</v>
      </c>
      <c r="N53">
        <f t="shared" si="2"/>
        <v>3</v>
      </c>
      <c r="O53" t="str">
        <f t="shared" si="3"/>
        <v>Mar</v>
      </c>
      <c r="P53">
        <f t="shared" si="4"/>
        <v>2021</v>
      </c>
    </row>
    <row r="54" spans="1:16" x14ac:dyDescent="0.2">
      <c r="A54" s="1">
        <v>44262</v>
      </c>
      <c r="B54" t="s">
        <v>47</v>
      </c>
      <c r="C54">
        <v>9</v>
      </c>
      <c r="D54" t="s">
        <v>103</v>
      </c>
      <c r="E54" t="s">
        <v>102</v>
      </c>
      <c r="F54" s="5">
        <v>0</v>
      </c>
      <c r="G54" t="str">
        <f>VLOOKUP($B54,PRODUCT_MASTER!$A:$F,MATCH('FINAL DATA'!G$1,PRODUCT_MASTER!$A$1:$F$1,0),0)</f>
        <v>Product21</v>
      </c>
      <c r="H54" t="str">
        <f>VLOOKUP($B54,PRODUCT_MASTER!$A:$F,MATCH('FINAL DATA'!H$1,PRODUCT_MASTER!$A$1:$F$1,0),0)</f>
        <v>Poultry</v>
      </c>
      <c r="I54" t="str">
        <f>VLOOKUP($B54,PRODUCT_MASTER!$A:$F,MATCH('FINAL DATA'!I$1,PRODUCT_MASTER!$A$1:$F$1,0),0)</f>
        <v>Ft</v>
      </c>
      <c r="J54" s="7">
        <f>VLOOKUP($B54,PRODUCT_MASTER!$A:$F,MATCH('FINAL DATA'!J$1,PRODUCT_MASTER!$A$1:$F$1,0),0)</f>
        <v>126</v>
      </c>
      <c r="K54" s="7">
        <f>VLOOKUP($B54,PRODUCT_MASTER!$A:$F,MATCH('FINAL DATA'!K$1,PRODUCT_MASTER!$A$1:$F$1,0),0)</f>
        <v>162.54</v>
      </c>
      <c r="L54" s="7">
        <f t="shared" si="0"/>
        <v>1134</v>
      </c>
      <c r="M54" s="7">
        <f t="shared" si="1"/>
        <v>1462.86</v>
      </c>
      <c r="N54">
        <f t="shared" si="2"/>
        <v>7</v>
      </c>
      <c r="O54" t="str">
        <f t="shared" si="3"/>
        <v>Mar</v>
      </c>
      <c r="P54">
        <f t="shared" si="4"/>
        <v>2021</v>
      </c>
    </row>
    <row r="55" spans="1:16" x14ac:dyDescent="0.2">
      <c r="A55" s="1">
        <v>44263</v>
      </c>
      <c r="B55" t="s">
        <v>59</v>
      </c>
      <c r="C55">
        <v>6</v>
      </c>
      <c r="D55" t="s">
        <v>101</v>
      </c>
      <c r="E55" t="s">
        <v>102</v>
      </c>
      <c r="F55" s="5">
        <v>0</v>
      </c>
      <c r="G55" t="str">
        <f>VLOOKUP($B55,PRODUCT_MASTER!$A:$F,MATCH('FINAL DATA'!G$1,PRODUCT_MASTER!$A$1:$F$1,0),0)</f>
        <v>Product27</v>
      </c>
      <c r="H55" t="str">
        <f>VLOOKUP($B55,PRODUCT_MASTER!$A:$F,MATCH('FINAL DATA'!H$1,PRODUCT_MASTER!$A$1:$F$1,0),0)</f>
        <v>Cheese And Dairy</v>
      </c>
      <c r="I55" t="str">
        <f>VLOOKUP($B55,PRODUCT_MASTER!$A:$F,MATCH('FINAL DATA'!I$1,PRODUCT_MASTER!$A$1:$F$1,0),0)</f>
        <v>Lt</v>
      </c>
      <c r="J55" s="7">
        <f>VLOOKUP($B55,PRODUCT_MASTER!$A:$F,MATCH('FINAL DATA'!J$1,PRODUCT_MASTER!$A$1:$F$1,0),0)</f>
        <v>48</v>
      </c>
      <c r="K55" s="7">
        <f>VLOOKUP($B55,PRODUCT_MASTER!$A:$F,MATCH('FINAL DATA'!K$1,PRODUCT_MASTER!$A$1:$F$1,0),0)</f>
        <v>57.120000000000005</v>
      </c>
      <c r="L55" s="7">
        <f t="shared" si="0"/>
        <v>288</v>
      </c>
      <c r="M55" s="7">
        <f t="shared" si="1"/>
        <v>342.72</v>
      </c>
      <c r="N55">
        <f t="shared" si="2"/>
        <v>8</v>
      </c>
      <c r="O55" t="str">
        <f t="shared" si="3"/>
        <v>Mar</v>
      </c>
      <c r="P55">
        <f t="shared" si="4"/>
        <v>2021</v>
      </c>
    </row>
    <row r="56" spans="1:16" x14ac:dyDescent="0.2">
      <c r="A56" s="1">
        <v>44263</v>
      </c>
      <c r="B56" t="s">
        <v>93</v>
      </c>
      <c r="C56">
        <v>9</v>
      </c>
      <c r="D56" t="s">
        <v>101</v>
      </c>
      <c r="E56" t="s">
        <v>101</v>
      </c>
      <c r="F56" s="5">
        <v>0</v>
      </c>
      <c r="G56" t="str">
        <f>VLOOKUP($B56,PRODUCT_MASTER!$A:$F,MATCH('FINAL DATA'!G$1,PRODUCT_MASTER!$A$1:$F$1,0),0)</f>
        <v>Product44</v>
      </c>
      <c r="H56" t="str">
        <f>VLOOKUP($B56,PRODUCT_MASTER!$A:$F,MATCH('FINAL DATA'!H$1,PRODUCT_MASTER!$A$1:$F$1,0),0)</f>
        <v>Candy</v>
      </c>
      <c r="I56" t="str">
        <f>VLOOKUP($B56,PRODUCT_MASTER!$A:$F,MATCH('FINAL DATA'!I$1,PRODUCT_MASTER!$A$1:$F$1,0),0)</f>
        <v>Kg</v>
      </c>
      <c r="J56" s="7">
        <f>VLOOKUP($B56,PRODUCT_MASTER!$A:$F,MATCH('FINAL DATA'!J$1,PRODUCT_MASTER!$A$1:$F$1,0),0)</f>
        <v>76</v>
      </c>
      <c r="K56" s="7">
        <f>VLOOKUP($B56,PRODUCT_MASTER!$A:$F,MATCH('FINAL DATA'!K$1,PRODUCT_MASTER!$A$1:$F$1,0),0)</f>
        <v>82.08</v>
      </c>
      <c r="L56" s="7">
        <f t="shared" si="0"/>
        <v>684</v>
      </c>
      <c r="M56" s="7">
        <f t="shared" si="1"/>
        <v>738.72</v>
      </c>
      <c r="N56">
        <f t="shared" si="2"/>
        <v>8</v>
      </c>
      <c r="O56" t="str">
        <f t="shared" si="3"/>
        <v>Mar</v>
      </c>
      <c r="P56">
        <f t="shared" si="4"/>
        <v>2021</v>
      </c>
    </row>
    <row r="57" spans="1:16" x14ac:dyDescent="0.2">
      <c r="A57" s="1">
        <v>44264</v>
      </c>
      <c r="B57" t="s">
        <v>63</v>
      </c>
      <c r="C57">
        <v>6</v>
      </c>
      <c r="D57" t="s">
        <v>100</v>
      </c>
      <c r="E57" t="s">
        <v>101</v>
      </c>
      <c r="F57" s="5">
        <v>0</v>
      </c>
      <c r="G57" t="str">
        <f>VLOOKUP($B57,PRODUCT_MASTER!$A:$F,MATCH('FINAL DATA'!G$1,PRODUCT_MASTER!$A$1:$F$1,0),0)</f>
        <v>Product29</v>
      </c>
      <c r="H57" t="str">
        <f>VLOOKUP($B57,PRODUCT_MASTER!$A:$F,MATCH('FINAL DATA'!H$1,PRODUCT_MASTER!$A$1:$F$1,0),0)</f>
        <v>Cheese And Dairy</v>
      </c>
      <c r="I57" t="str">
        <f>VLOOKUP($B57,PRODUCT_MASTER!$A:$F,MATCH('FINAL DATA'!I$1,PRODUCT_MASTER!$A$1:$F$1,0),0)</f>
        <v>Lt</v>
      </c>
      <c r="J57" s="7">
        <f>VLOOKUP($B57,PRODUCT_MASTER!$A:$F,MATCH('FINAL DATA'!J$1,PRODUCT_MASTER!$A$1:$F$1,0),0)</f>
        <v>47</v>
      </c>
      <c r="K57" s="7">
        <f>VLOOKUP($B57,PRODUCT_MASTER!$A:$F,MATCH('FINAL DATA'!K$1,PRODUCT_MASTER!$A$1:$F$1,0),0)</f>
        <v>53.11</v>
      </c>
      <c r="L57" s="7">
        <f t="shared" si="0"/>
        <v>282</v>
      </c>
      <c r="M57" s="7">
        <f t="shared" si="1"/>
        <v>318.65999999999997</v>
      </c>
      <c r="N57">
        <f t="shared" si="2"/>
        <v>9</v>
      </c>
      <c r="O57" t="str">
        <f t="shared" si="3"/>
        <v>Mar</v>
      </c>
      <c r="P57">
        <f t="shared" si="4"/>
        <v>2021</v>
      </c>
    </row>
    <row r="58" spans="1:16" x14ac:dyDescent="0.2">
      <c r="A58" s="1">
        <v>44266</v>
      </c>
      <c r="B58" t="s">
        <v>55</v>
      </c>
      <c r="C58">
        <v>11</v>
      </c>
      <c r="D58" t="s">
        <v>103</v>
      </c>
      <c r="E58" t="s">
        <v>102</v>
      </c>
      <c r="F58" s="5">
        <v>0</v>
      </c>
      <c r="G58" t="str">
        <f>VLOOKUP($B58,PRODUCT_MASTER!$A:$F,MATCH('FINAL DATA'!G$1,PRODUCT_MASTER!$A$1:$F$1,0),0)</f>
        <v>Product25</v>
      </c>
      <c r="H58" t="str">
        <f>VLOOKUP($B58,PRODUCT_MASTER!$A:$F,MATCH('FINAL DATA'!H$1,PRODUCT_MASTER!$A$1:$F$1,0),0)</f>
        <v>Seafood</v>
      </c>
      <c r="I58" t="str">
        <f>VLOOKUP($B58,PRODUCT_MASTER!$A:$F,MATCH('FINAL DATA'!I$1,PRODUCT_MASTER!$A$1:$F$1,0),0)</f>
        <v>No.</v>
      </c>
      <c r="J58" s="7">
        <f>VLOOKUP($B58,PRODUCT_MASTER!$A:$F,MATCH('FINAL DATA'!J$1,PRODUCT_MASTER!$A$1:$F$1,0),0)</f>
        <v>7</v>
      </c>
      <c r="K58" s="7">
        <f>VLOOKUP($B58,PRODUCT_MASTER!$A:$F,MATCH('FINAL DATA'!K$1,PRODUCT_MASTER!$A$1:$F$1,0),0)</f>
        <v>8.33</v>
      </c>
      <c r="L58" s="7">
        <f t="shared" si="0"/>
        <v>77</v>
      </c>
      <c r="M58" s="7">
        <f t="shared" si="1"/>
        <v>91.63</v>
      </c>
      <c r="N58">
        <f t="shared" si="2"/>
        <v>11</v>
      </c>
      <c r="O58" t="str">
        <f t="shared" si="3"/>
        <v>Mar</v>
      </c>
      <c r="P58">
        <f t="shared" si="4"/>
        <v>2021</v>
      </c>
    </row>
    <row r="59" spans="1:16" x14ac:dyDescent="0.2">
      <c r="A59" s="1">
        <v>44268</v>
      </c>
      <c r="B59" t="s">
        <v>61</v>
      </c>
      <c r="C59">
        <v>10</v>
      </c>
      <c r="D59" t="s">
        <v>100</v>
      </c>
      <c r="E59" t="s">
        <v>102</v>
      </c>
      <c r="F59" s="5">
        <v>0</v>
      </c>
      <c r="G59" t="str">
        <f>VLOOKUP($B59,PRODUCT_MASTER!$A:$F,MATCH('FINAL DATA'!G$1,PRODUCT_MASTER!$A$1:$F$1,0),0)</f>
        <v>Product28</v>
      </c>
      <c r="H59" t="str">
        <f>VLOOKUP($B59,PRODUCT_MASTER!$A:$F,MATCH('FINAL DATA'!H$1,PRODUCT_MASTER!$A$1:$F$1,0),0)</f>
        <v>Cheese And Dairy</v>
      </c>
      <c r="I59" t="str">
        <f>VLOOKUP($B59,PRODUCT_MASTER!$A:$F,MATCH('FINAL DATA'!I$1,PRODUCT_MASTER!$A$1:$F$1,0),0)</f>
        <v>No.</v>
      </c>
      <c r="J59" s="7">
        <f>VLOOKUP($B59,PRODUCT_MASTER!$A:$F,MATCH('FINAL DATA'!J$1,PRODUCT_MASTER!$A$1:$F$1,0),0)</f>
        <v>37</v>
      </c>
      <c r="K59" s="7">
        <f>VLOOKUP($B59,PRODUCT_MASTER!$A:$F,MATCH('FINAL DATA'!K$1,PRODUCT_MASTER!$A$1:$F$1,0),0)</f>
        <v>41.81</v>
      </c>
      <c r="L59" s="7">
        <f t="shared" si="0"/>
        <v>370</v>
      </c>
      <c r="M59" s="7">
        <f t="shared" si="1"/>
        <v>418.1</v>
      </c>
      <c r="N59">
        <f t="shared" si="2"/>
        <v>13</v>
      </c>
      <c r="O59" t="str">
        <f t="shared" si="3"/>
        <v>Mar</v>
      </c>
      <c r="P59">
        <f t="shared" si="4"/>
        <v>2021</v>
      </c>
    </row>
    <row r="60" spans="1:16" x14ac:dyDescent="0.2">
      <c r="A60" s="1">
        <v>44270</v>
      </c>
      <c r="B60" t="s">
        <v>83</v>
      </c>
      <c r="C60">
        <v>11</v>
      </c>
      <c r="D60" t="s">
        <v>101</v>
      </c>
      <c r="E60" t="s">
        <v>102</v>
      </c>
      <c r="F60" s="5">
        <v>0</v>
      </c>
      <c r="G60" t="str">
        <f>VLOOKUP($B60,PRODUCT_MASTER!$A:$F,MATCH('FINAL DATA'!G$1,PRODUCT_MASTER!$A$1:$F$1,0),0)</f>
        <v>Product39</v>
      </c>
      <c r="H60" t="str">
        <f>VLOOKUP($B60,PRODUCT_MASTER!$A:$F,MATCH('FINAL DATA'!H$1,PRODUCT_MASTER!$A$1:$F$1,0),0)</f>
        <v>Snacks</v>
      </c>
      <c r="I60" t="str">
        <f>VLOOKUP($B60,PRODUCT_MASTER!$A:$F,MATCH('FINAL DATA'!I$1,PRODUCT_MASTER!$A$1:$F$1,0),0)</f>
        <v>No.</v>
      </c>
      <c r="J60" s="7">
        <f>VLOOKUP($B60,PRODUCT_MASTER!$A:$F,MATCH('FINAL DATA'!J$1,PRODUCT_MASTER!$A$1:$F$1,0),0)</f>
        <v>37</v>
      </c>
      <c r="K60" s="7">
        <f>VLOOKUP($B60,PRODUCT_MASTER!$A:$F,MATCH('FINAL DATA'!K$1,PRODUCT_MASTER!$A$1:$F$1,0),0)</f>
        <v>42.55</v>
      </c>
      <c r="L60" s="7">
        <f t="shared" si="0"/>
        <v>407</v>
      </c>
      <c r="M60" s="7">
        <f t="shared" si="1"/>
        <v>468.04999999999995</v>
      </c>
      <c r="N60">
        <f t="shared" si="2"/>
        <v>15</v>
      </c>
      <c r="O60" t="str">
        <f t="shared" si="3"/>
        <v>Mar</v>
      </c>
      <c r="P60">
        <f t="shared" si="4"/>
        <v>2021</v>
      </c>
    </row>
    <row r="61" spans="1:16" x14ac:dyDescent="0.2">
      <c r="A61" s="1">
        <v>44271</v>
      </c>
      <c r="B61" t="s">
        <v>29</v>
      </c>
      <c r="C61">
        <v>14</v>
      </c>
      <c r="D61" t="s">
        <v>103</v>
      </c>
      <c r="E61" t="s">
        <v>102</v>
      </c>
      <c r="F61" s="5">
        <v>0</v>
      </c>
      <c r="G61" t="str">
        <f>VLOOKUP($B61,PRODUCT_MASTER!$A:$F,MATCH('FINAL DATA'!G$1,PRODUCT_MASTER!$A$1:$F$1,0),0)</f>
        <v>Product12</v>
      </c>
      <c r="H61" t="str">
        <f>VLOOKUP($B61,PRODUCT_MASTER!$A:$F,MATCH('FINAL DATA'!H$1,PRODUCT_MASTER!$A$1:$F$1,0),0)</f>
        <v>Meat</v>
      </c>
      <c r="I61" t="str">
        <f>VLOOKUP($B61,PRODUCT_MASTER!$A:$F,MATCH('FINAL DATA'!I$1,PRODUCT_MASTER!$A$1:$F$1,0),0)</f>
        <v>Kg</v>
      </c>
      <c r="J61" s="7">
        <f>VLOOKUP($B61,PRODUCT_MASTER!$A:$F,MATCH('FINAL DATA'!J$1,PRODUCT_MASTER!$A$1:$F$1,0),0)</f>
        <v>73</v>
      </c>
      <c r="K61" s="7">
        <f>VLOOKUP($B61,PRODUCT_MASTER!$A:$F,MATCH('FINAL DATA'!K$1,PRODUCT_MASTER!$A$1:$F$1,0),0)</f>
        <v>94.17</v>
      </c>
      <c r="L61" s="7">
        <f t="shared" si="0"/>
        <v>1022</v>
      </c>
      <c r="M61" s="7">
        <f t="shared" si="1"/>
        <v>1318.38</v>
      </c>
      <c r="N61">
        <f t="shared" si="2"/>
        <v>16</v>
      </c>
      <c r="O61" t="str">
        <f t="shared" si="3"/>
        <v>Mar</v>
      </c>
      <c r="P61">
        <f t="shared" si="4"/>
        <v>2021</v>
      </c>
    </row>
    <row r="62" spans="1:16" x14ac:dyDescent="0.2">
      <c r="A62" s="1">
        <v>44273</v>
      </c>
      <c r="B62" t="s">
        <v>89</v>
      </c>
      <c r="C62">
        <v>8</v>
      </c>
      <c r="D62" t="s">
        <v>100</v>
      </c>
      <c r="E62" t="s">
        <v>102</v>
      </c>
      <c r="F62" s="5">
        <v>0</v>
      </c>
      <c r="G62" t="str">
        <f>VLOOKUP($B62,PRODUCT_MASTER!$A:$F,MATCH('FINAL DATA'!G$1,PRODUCT_MASTER!$A$1:$F$1,0),0)</f>
        <v>Product42</v>
      </c>
      <c r="H62" t="str">
        <f>VLOOKUP($B62,PRODUCT_MASTER!$A:$F,MATCH('FINAL DATA'!H$1,PRODUCT_MASTER!$A$1:$F$1,0),0)</f>
        <v>Candy</v>
      </c>
      <c r="I62" t="str">
        <f>VLOOKUP($B62,PRODUCT_MASTER!$A:$F,MATCH('FINAL DATA'!I$1,PRODUCT_MASTER!$A$1:$F$1,0),0)</f>
        <v>Ft</v>
      </c>
      <c r="J62" s="7">
        <f>VLOOKUP($B62,PRODUCT_MASTER!$A:$F,MATCH('FINAL DATA'!J$1,PRODUCT_MASTER!$A$1:$F$1,0),0)</f>
        <v>120</v>
      </c>
      <c r="K62" s="7">
        <f>VLOOKUP($B62,PRODUCT_MASTER!$A:$F,MATCH('FINAL DATA'!K$1,PRODUCT_MASTER!$A$1:$F$1,0),0)</f>
        <v>162</v>
      </c>
      <c r="L62" s="7">
        <f t="shared" si="0"/>
        <v>960</v>
      </c>
      <c r="M62" s="7">
        <f t="shared" si="1"/>
        <v>1296</v>
      </c>
      <c r="N62">
        <f t="shared" si="2"/>
        <v>18</v>
      </c>
      <c r="O62" t="str">
        <f t="shared" si="3"/>
        <v>Mar</v>
      </c>
      <c r="P62">
        <f t="shared" si="4"/>
        <v>2021</v>
      </c>
    </row>
    <row r="63" spans="1:16" x14ac:dyDescent="0.2">
      <c r="A63" s="1">
        <v>44274</v>
      </c>
      <c r="B63" t="s">
        <v>61</v>
      </c>
      <c r="C63">
        <v>9</v>
      </c>
      <c r="D63" t="s">
        <v>101</v>
      </c>
      <c r="E63" t="s">
        <v>102</v>
      </c>
      <c r="F63" s="5">
        <v>0</v>
      </c>
      <c r="G63" t="str">
        <f>VLOOKUP($B63,PRODUCT_MASTER!$A:$F,MATCH('FINAL DATA'!G$1,PRODUCT_MASTER!$A$1:$F$1,0),0)</f>
        <v>Product28</v>
      </c>
      <c r="H63" t="str">
        <f>VLOOKUP($B63,PRODUCT_MASTER!$A:$F,MATCH('FINAL DATA'!H$1,PRODUCT_MASTER!$A$1:$F$1,0),0)</f>
        <v>Cheese And Dairy</v>
      </c>
      <c r="I63" t="str">
        <f>VLOOKUP($B63,PRODUCT_MASTER!$A:$F,MATCH('FINAL DATA'!I$1,PRODUCT_MASTER!$A$1:$F$1,0),0)</f>
        <v>No.</v>
      </c>
      <c r="J63" s="7">
        <f>VLOOKUP($B63,PRODUCT_MASTER!$A:$F,MATCH('FINAL DATA'!J$1,PRODUCT_MASTER!$A$1:$F$1,0),0)</f>
        <v>37</v>
      </c>
      <c r="K63" s="7">
        <f>VLOOKUP($B63,PRODUCT_MASTER!$A:$F,MATCH('FINAL DATA'!K$1,PRODUCT_MASTER!$A$1:$F$1,0),0)</f>
        <v>41.81</v>
      </c>
      <c r="L63" s="7">
        <f t="shared" si="0"/>
        <v>333</v>
      </c>
      <c r="M63" s="7">
        <f t="shared" si="1"/>
        <v>376.29</v>
      </c>
      <c r="N63">
        <f t="shared" si="2"/>
        <v>19</v>
      </c>
      <c r="O63" t="str">
        <f t="shared" si="3"/>
        <v>Mar</v>
      </c>
      <c r="P63">
        <f t="shared" si="4"/>
        <v>2021</v>
      </c>
    </row>
    <row r="64" spans="1:16" x14ac:dyDescent="0.2">
      <c r="A64" s="1">
        <v>44276</v>
      </c>
      <c r="B64" t="s">
        <v>45</v>
      </c>
      <c r="C64">
        <v>13</v>
      </c>
      <c r="D64" t="s">
        <v>101</v>
      </c>
      <c r="E64" t="s">
        <v>101</v>
      </c>
      <c r="F64" s="5">
        <v>0</v>
      </c>
      <c r="G64" t="str">
        <f>VLOOKUP($B64,PRODUCT_MASTER!$A:$F,MATCH('FINAL DATA'!G$1,PRODUCT_MASTER!$A$1:$F$1,0),0)</f>
        <v>Product20</v>
      </c>
      <c r="H64" t="str">
        <f>VLOOKUP($B64,PRODUCT_MASTER!$A:$F,MATCH('FINAL DATA'!H$1,PRODUCT_MASTER!$A$1:$F$1,0),0)</f>
        <v>Poultry</v>
      </c>
      <c r="I64" t="str">
        <f>VLOOKUP($B64,PRODUCT_MASTER!$A:$F,MATCH('FINAL DATA'!I$1,PRODUCT_MASTER!$A$1:$F$1,0),0)</f>
        <v>Lt</v>
      </c>
      <c r="J64" s="7">
        <f>VLOOKUP($B64,PRODUCT_MASTER!$A:$F,MATCH('FINAL DATA'!J$1,PRODUCT_MASTER!$A$1:$F$1,0),0)</f>
        <v>61</v>
      </c>
      <c r="K64" s="7">
        <f>VLOOKUP($B64,PRODUCT_MASTER!$A:$F,MATCH('FINAL DATA'!K$1,PRODUCT_MASTER!$A$1:$F$1,0),0)</f>
        <v>76.25</v>
      </c>
      <c r="L64" s="7">
        <f t="shared" si="0"/>
        <v>793</v>
      </c>
      <c r="M64" s="7">
        <f t="shared" si="1"/>
        <v>991.25</v>
      </c>
      <c r="N64">
        <f t="shared" si="2"/>
        <v>21</v>
      </c>
      <c r="O64" t="str">
        <f t="shared" si="3"/>
        <v>Mar</v>
      </c>
      <c r="P64">
        <f t="shared" si="4"/>
        <v>2021</v>
      </c>
    </row>
    <row r="65" spans="1:16" x14ac:dyDescent="0.2">
      <c r="A65" s="1">
        <v>44276</v>
      </c>
      <c r="B65" t="s">
        <v>83</v>
      </c>
      <c r="C65">
        <v>7</v>
      </c>
      <c r="D65" t="s">
        <v>103</v>
      </c>
      <c r="E65" t="s">
        <v>101</v>
      </c>
      <c r="F65" s="5">
        <v>0</v>
      </c>
      <c r="G65" t="str">
        <f>VLOOKUP($B65,PRODUCT_MASTER!$A:$F,MATCH('FINAL DATA'!G$1,PRODUCT_MASTER!$A$1:$F$1,0),0)</f>
        <v>Product39</v>
      </c>
      <c r="H65" t="str">
        <f>VLOOKUP($B65,PRODUCT_MASTER!$A:$F,MATCH('FINAL DATA'!H$1,PRODUCT_MASTER!$A$1:$F$1,0),0)</f>
        <v>Snacks</v>
      </c>
      <c r="I65" t="str">
        <f>VLOOKUP($B65,PRODUCT_MASTER!$A:$F,MATCH('FINAL DATA'!I$1,PRODUCT_MASTER!$A$1:$F$1,0),0)</f>
        <v>No.</v>
      </c>
      <c r="J65" s="7">
        <f>VLOOKUP($B65,PRODUCT_MASTER!$A:$F,MATCH('FINAL DATA'!J$1,PRODUCT_MASTER!$A$1:$F$1,0),0)</f>
        <v>37</v>
      </c>
      <c r="K65" s="7">
        <f>VLOOKUP($B65,PRODUCT_MASTER!$A:$F,MATCH('FINAL DATA'!K$1,PRODUCT_MASTER!$A$1:$F$1,0),0)</f>
        <v>42.55</v>
      </c>
      <c r="L65" s="7">
        <f t="shared" si="0"/>
        <v>259</v>
      </c>
      <c r="M65" s="7">
        <f t="shared" si="1"/>
        <v>297.84999999999997</v>
      </c>
      <c r="N65">
        <f t="shared" si="2"/>
        <v>21</v>
      </c>
      <c r="O65" t="str">
        <f t="shared" si="3"/>
        <v>Mar</v>
      </c>
      <c r="P65">
        <f t="shared" si="4"/>
        <v>2021</v>
      </c>
    </row>
    <row r="66" spans="1:16" x14ac:dyDescent="0.2">
      <c r="A66" s="1">
        <v>44277</v>
      </c>
      <c r="B66" t="s">
        <v>9</v>
      </c>
      <c r="C66">
        <v>8</v>
      </c>
      <c r="D66" t="s">
        <v>101</v>
      </c>
      <c r="E66" t="s">
        <v>101</v>
      </c>
      <c r="F66" s="5">
        <v>0</v>
      </c>
      <c r="G66" t="str">
        <f>VLOOKUP($B66,PRODUCT_MASTER!$A:$F,MATCH('FINAL DATA'!G$1,PRODUCT_MASTER!$A$1:$F$1,0),0)</f>
        <v>Product02</v>
      </c>
      <c r="H66" t="str">
        <f>VLOOKUP($B66,PRODUCT_MASTER!$A:$F,MATCH('FINAL DATA'!H$1,PRODUCT_MASTER!$A$1:$F$1,0),0)</f>
        <v>Organic</v>
      </c>
      <c r="I66" t="str">
        <f>VLOOKUP($B66,PRODUCT_MASTER!$A:$F,MATCH('FINAL DATA'!I$1,PRODUCT_MASTER!$A$1:$F$1,0),0)</f>
        <v>Kg</v>
      </c>
      <c r="J66" s="7">
        <f>VLOOKUP($B66,PRODUCT_MASTER!$A:$F,MATCH('FINAL DATA'!J$1,PRODUCT_MASTER!$A$1:$F$1,0),0)</f>
        <v>105</v>
      </c>
      <c r="K66" s="7">
        <f>VLOOKUP($B66,PRODUCT_MASTER!$A:$F,MATCH('FINAL DATA'!K$1,PRODUCT_MASTER!$A$1:$F$1,0),0)</f>
        <v>142.80000000000001</v>
      </c>
      <c r="L66" s="7">
        <f t="shared" si="0"/>
        <v>840</v>
      </c>
      <c r="M66" s="7">
        <f t="shared" si="1"/>
        <v>1142.4000000000001</v>
      </c>
      <c r="N66">
        <f t="shared" si="2"/>
        <v>22</v>
      </c>
      <c r="O66" t="str">
        <f t="shared" si="3"/>
        <v>Mar</v>
      </c>
      <c r="P66">
        <f t="shared" si="4"/>
        <v>2021</v>
      </c>
    </row>
    <row r="67" spans="1:16" x14ac:dyDescent="0.2">
      <c r="A67" s="1">
        <v>44277</v>
      </c>
      <c r="B67" t="s">
        <v>29</v>
      </c>
      <c r="C67">
        <v>4</v>
      </c>
      <c r="D67" t="s">
        <v>101</v>
      </c>
      <c r="E67" t="s">
        <v>101</v>
      </c>
      <c r="F67" s="5">
        <v>0</v>
      </c>
      <c r="G67" t="str">
        <f>VLOOKUP($B67,PRODUCT_MASTER!$A:$F,MATCH('FINAL DATA'!G$1,PRODUCT_MASTER!$A$1:$F$1,0),0)</f>
        <v>Product12</v>
      </c>
      <c r="H67" t="str">
        <f>VLOOKUP($B67,PRODUCT_MASTER!$A:$F,MATCH('FINAL DATA'!H$1,PRODUCT_MASTER!$A$1:$F$1,0),0)</f>
        <v>Meat</v>
      </c>
      <c r="I67" t="str">
        <f>VLOOKUP($B67,PRODUCT_MASTER!$A:$F,MATCH('FINAL DATA'!I$1,PRODUCT_MASTER!$A$1:$F$1,0),0)</f>
        <v>Kg</v>
      </c>
      <c r="J67" s="7">
        <f>VLOOKUP($B67,PRODUCT_MASTER!$A:$F,MATCH('FINAL DATA'!J$1,PRODUCT_MASTER!$A$1:$F$1,0),0)</f>
        <v>73</v>
      </c>
      <c r="K67" s="7">
        <f>VLOOKUP($B67,PRODUCT_MASTER!$A:$F,MATCH('FINAL DATA'!K$1,PRODUCT_MASTER!$A$1:$F$1,0),0)</f>
        <v>94.17</v>
      </c>
      <c r="L67" s="7">
        <f t="shared" ref="L67:L130" si="5">C67*J67</f>
        <v>292</v>
      </c>
      <c r="M67" s="7">
        <f t="shared" ref="M67:M130" si="6">(K67-(K67*F67))*C67</f>
        <v>376.68</v>
      </c>
      <c r="N67">
        <f t="shared" ref="N67:N130" si="7">DAY(A67)</f>
        <v>22</v>
      </c>
      <c r="O67" t="str">
        <f t="shared" ref="O67:O130" si="8">TEXT(A67,"MMM")</f>
        <v>Mar</v>
      </c>
      <c r="P67">
        <f t="shared" ref="P67:P130" si="9">YEAR(A67)</f>
        <v>2021</v>
      </c>
    </row>
    <row r="68" spans="1:16" x14ac:dyDescent="0.2">
      <c r="A68" s="1">
        <v>44280</v>
      </c>
      <c r="B68" t="s">
        <v>53</v>
      </c>
      <c r="C68">
        <v>14</v>
      </c>
      <c r="D68" t="s">
        <v>101</v>
      </c>
      <c r="E68" t="s">
        <v>102</v>
      </c>
      <c r="F68" s="5">
        <v>0</v>
      </c>
      <c r="G68" t="str">
        <f>VLOOKUP($B68,PRODUCT_MASTER!$A:$F,MATCH('FINAL DATA'!G$1,PRODUCT_MASTER!$A$1:$F$1,0),0)</f>
        <v>Product24</v>
      </c>
      <c r="H68" t="str">
        <f>VLOOKUP($B68,PRODUCT_MASTER!$A:$F,MATCH('FINAL DATA'!H$1,PRODUCT_MASTER!$A$1:$F$1,0),0)</f>
        <v>Seafood</v>
      </c>
      <c r="I68" t="str">
        <f>VLOOKUP($B68,PRODUCT_MASTER!$A:$F,MATCH('FINAL DATA'!I$1,PRODUCT_MASTER!$A$1:$F$1,0),0)</f>
        <v>Ft</v>
      </c>
      <c r="J68" s="7">
        <f>VLOOKUP($B68,PRODUCT_MASTER!$A:$F,MATCH('FINAL DATA'!J$1,PRODUCT_MASTER!$A$1:$F$1,0),0)</f>
        <v>144</v>
      </c>
      <c r="K68" s="7">
        <f>VLOOKUP($B68,PRODUCT_MASTER!$A:$F,MATCH('FINAL DATA'!K$1,PRODUCT_MASTER!$A$1:$F$1,0),0)</f>
        <v>156.96</v>
      </c>
      <c r="L68" s="7">
        <f t="shared" si="5"/>
        <v>2016</v>
      </c>
      <c r="M68" s="7">
        <f t="shared" si="6"/>
        <v>2197.44</v>
      </c>
      <c r="N68">
        <f t="shared" si="7"/>
        <v>25</v>
      </c>
      <c r="O68" t="str">
        <f t="shared" si="8"/>
        <v>Mar</v>
      </c>
      <c r="P68">
        <f t="shared" si="9"/>
        <v>2021</v>
      </c>
    </row>
    <row r="69" spans="1:16" x14ac:dyDescent="0.2">
      <c r="A69" s="1">
        <v>44280</v>
      </c>
      <c r="B69" t="s">
        <v>17</v>
      </c>
      <c r="C69">
        <v>4</v>
      </c>
      <c r="D69" t="s">
        <v>103</v>
      </c>
      <c r="E69" t="s">
        <v>102</v>
      </c>
      <c r="F69" s="5">
        <v>0</v>
      </c>
      <c r="G69" t="str">
        <f>VLOOKUP($B69,PRODUCT_MASTER!$A:$F,MATCH('FINAL DATA'!G$1,PRODUCT_MASTER!$A$1:$F$1,0),0)</f>
        <v>Product06</v>
      </c>
      <c r="H69" t="str">
        <f>VLOOKUP($B69,PRODUCT_MASTER!$A:$F,MATCH('FINAL DATA'!H$1,PRODUCT_MASTER!$A$1:$F$1,0),0)</f>
        <v>Gourmet Foods</v>
      </c>
      <c r="I69" t="str">
        <f>VLOOKUP($B69,PRODUCT_MASTER!$A:$F,MATCH('FINAL DATA'!I$1,PRODUCT_MASTER!$A$1:$F$1,0),0)</f>
        <v>Kg</v>
      </c>
      <c r="J69" s="7">
        <f>VLOOKUP($B69,PRODUCT_MASTER!$A:$F,MATCH('FINAL DATA'!J$1,PRODUCT_MASTER!$A$1:$F$1,0),0)</f>
        <v>75</v>
      </c>
      <c r="K69" s="7">
        <f>VLOOKUP($B69,PRODUCT_MASTER!$A:$F,MATCH('FINAL DATA'!K$1,PRODUCT_MASTER!$A$1:$F$1,0),0)</f>
        <v>85.5</v>
      </c>
      <c r="L69" s="7">
        <f t="shared" si="5"/>
        <v>300</v>
      </c>
      <c r="M69" s="7">
        <f t="shared" si="6"/>
        <v>342</v>
      </c>
      <c r="N69">
        <f t="shared" si="7"/>
        <v>25</v>
      </c>
      <c r="O69" t="str">
        <f t="shared" si="8"/>
        <v>Mar</v>
      </c>
      <c r="P69">
        <f t="shared" si="9"/>
        <v>2021</v>
      </c>
    </row>
    <row r="70" spans="1:16" x14ac:dyDescent="0.2">
      <c r="A70" s="1">
        <v>44280</v>
      </c>
      <c r="B70" t="s">
        <v>63</v>
      </c>
      <c r="C70">
        <v>8</v>
      </c>
      <c r="D70" t="s">
        <v>103</v>
      </c>
      <c r="E70" t="s">
        <v>102</v>
      </c>
      <c r="F70" s="5">
        <v>0</v>
      </c>
      <c r="G70" t="str">
        <f>VLOOKUP($B70,PRODUCT_MASTER!$A:$F,MATCH('FINAL DATA'!G$1,PRODUCT_MASTER!$A$1:$F$1,0),0)</f>
        <v>Product29</v>
      </c>
      <c r="H70" t="str">
        <f>VLOOKUP($B70,PRODUCT_MASTER!$A:$F,MATCH('FINAL DATA'!H$1,PRODUCT_MASTER!$A$1:$F$1,0),0)</f>
        <v>Cheese And Dairy</v>
      </c>
      <c r="I70" t="str">
        <f>VLOOKUP($B70,PRODUCT_MASTER!$A:$F,MATCH('FINAL DATA'!I$1,PRODUCT_MASTER!$A$1:$F$1,0),0)</f>
        <v>Lt</v>
      </c>
      <c r="J70" s="7">
        <f>VLOOKUP($B70,PRODUCT_MASTER!$A:$F,MATCH('FINAL DATA'!J$1,PRODUCT_MASTER!$A$1:$F$1,0),0)</f>
        <v>47</v>
      </c>
      <c r="K70" s="7">
        <f>VLOOKUP($B70,PRODUCT_MASTER!$A:$F,MATCH('FINAL DATA'!K$1,PRODUCT_MASTER!$A$1:$F$1,0),0)</f>
        <v>53.11</v>
      </c>
      <c r="L70" s="7">
        <f t="shared" si="5"/>
        <v>376</v>
      </c>
      <c r="M70" s="7">
        <f t="shared" si="6"/>
        <v>424.88</v>
      </c>
      <c r="N70">
        <f t="shared" si="7"/>
        <v>25</v>
      </c>
      <c r="O70" t="str">
        <f t="shared" si="8"/>
        <v>Mar</v>
      </c>
      <c r="P70">
        <f t="shared" si="9"/>
        <v>2021</v>
      </c>
    </row>
    <row r="71" spans="1:16" x14ac:dyDescent="0.2">
      <c r="A71" s="1">
        <v>44280</v>
      </c>
      <c r="B71" t="s">
        <v>81</v>
      </c>
      <c r="C71">
        <v>2</v>
      </c>
      <c r="D71" t="s">
        <v>103</v>
      </c>
      <c r="E71" t="s">
        <v>101</v>
      </c>
      <c r="F71" s="5">
        <v>0</v>
      </c>
      <c r="G71" t="str">
        <f>VLOOKUP($B71,PRODUCT_MASTER!$A:$F,MATCH('FINAL DATA'!G$1,PRODUCT_MASTER!$A$1:$F$1,0),0)</f>
        <v>Product38</v>
      </c>
      <c r="H71" t="str">
        <f>VLOOKUP($B71,PRODUCT_MASTER!$A:$F,MATCH('FINAL DATA'!H$1,PRODUCT_MASTER!$A$1:$F$1,0),0)</f>
        <v>Snacks</v>
      </c>
      <c r="I71" t="str">
        <f>VLOOKUP($B71,PRODUCT_MASTER!$A:$F,MATCH('FINAL DATA'!I$1,PRODUCT_MASTER!$A$1:$F$1,0),0)</f>
        <v>Kg</v>
      </c>
      <c r="J71" s="7">
        <f>VLOOKUP($B71,PRODUCT_MASTER!$A:$F,MATCH('FINAL DATA'!J$1,PRODUCT_MASTER!$A$1:$F$1,0),0)</f>
        <v>72</v>
      </c>
      <c r="K71" s="7">
        <f>VLOOKUP($B71,PRODUCT_MASTER!$A:$F,MATCH('FINAL DATA'!K$1,PRODUCT_MASTER!$A$1:$F$1,0),0)</f>
        <v>79.92</v>
      </c>
      <c r="L71" s="7">
        <f t="shared" si="5"/>
        <v>144</v>
      </c>
      <c r="M71" s="7">
        <f t="shared" si="6"/>
        <v>159.84</v>
      </c>
      <c r="N71">
        <f t="shared" si="7"/>
        <v>25</v>
      </c>
      <c r="O71" t="str">
        <f t="shared" si="8"/>
        <v>Mar</v>
      </c>
      <c r="P71">
        <f t="shared" si="9"/>
        <v>2021</v>
      </c>
    </row>
    <row r="72" spans="1:16" x14ac:dyDescent="0.2">
      <c r="A72" s="1">
        <v>44281</v>
      </c>
      <c r="B72" t="s">
        <v>6</v>
      </c>
      <c r="C72">
        <v>4</v>
      </c>
      <c r="D72" t="s">
        <v>103</v>
      </c>
      <c r="E72" t="s">
        <v>102</v>
      </c>
      <c r="F72" s="5">
        <v>0</v>
      </c>
      <c r="G72" t="str">
        <f>VLOOKUP($B72,PRODUCT_MASTER!$A:$F,MATCH('FINAL DATA'!G$1,PRODUCT_MASTER!$A$1:$F$1,0),0)</f>
        <v>Product01</v>
      </c>
      <c r="H72" t="str">
        <f>VLOOKUP($B72,PRODUCT_MASTER!$A:$F,MATCH('FINAL DATA'!H$1,PRODUCT_MASTER!$A$1:$F$1,0),0)</f>
        <v>Organic</v>
      </c>
      <c r="I72" t="str">
        <f>VLOOKUP($B72,PRODUCT_MASTER!$A:$F,MATCH('FINAL DATA'!I$1,PRODUCT_MASTER!$A$1:$F$1,0),0)</f>
        <v>Kg</v>
      </c>
      <c r="J72" s="7">
        <f>VLOOKUP($B72,PRODUCT_MASTER!$A:$F,MATCH('FINAL DATA'!J$1,PRODUCT_MASTER!$A$1:$F$1,0),0)</f>
        <v>98</v>
      </c>
      <c r="K72" s="7">
        <f>VLOOKUP($B72,PRODUCT_MASTER!$A:$F,MATCH('FINAL DATA'!K$1,PRODUCT_MASTER!$A$1:$F$1,0),0)</f>
        <v>103.88</v>
      </c>
      <c r="L72" s="7">
        <f t="shared" si="5"/>
        <v>392</v>
      </c>
      <c r="M72" s="7">
        <f t="shared" si="6"/>
        <v>415.52</v>
      </c>
      <c r="N72">
        <f t="shared" si="7"/>
        <v>26</v>
      </c>
      <c r="O72" t="str">
        <f t="shared" si="8"/>
        <v>Mar</v>
      </c>
      <c r="P72">
        <f t="shared" si="9"/>
        <v>2021</v>
      </c>
    </row>
    <row r="73" spans="1:16" x14ac:dyDescent="0.2">
      <c r="A73" s="1">
        <v>44281</v>
      </c>
      <c r="B73" t="s">
        <v>89</v>
      </c>
      <c r="C73">
        <v>1</v>
      </c>
      <c r="D73" t="s">
        <v>103</v>
      </c>
      <c r="E73" t="s">
        <v>102</v>
      </c>
      <c r="F73" s="5">
        <v>0</v>
      </c>
      <c r="G73" t="str">
        <f>VLOOKUP($B73,PRODUCT_MASTER!$A:$F,MATCH('FINAL DATA'!G$1,PRODUCT_MASTER!$A$1:$F$1,0),0)</f>
        <v>Product42</v>
      </c>
      <c r="H73" t="str">
        <f>VLOOKUP($B73,PRODUCT_MASTER!$A:$F,MATCH('FINAL DATA'!H$1,PRODUCT_MASTER!$A$1:$F$1,0),0)</f>
        <v>Candy</v>
      </c>
      <c r="I73" t="str">
        <f>VLOOKUP($B73,PRODUCT_MASTER!$A:$F,MATCH('FINAL DATA'!I$1,PRODUCT_MASTER!$A$1:$F$1,0),0)</f>
        <v>Ft</v>
      </c>
      <c r="J73" s="7">
        <f>VLOOKUP($B73,PRODUCT_MASTER!$A:$F,MATCH('FINAL DATA'!J$1,PRODUCT_MASTER!$A$1:$F$1,0),0)</f>
        <v>120</v>
      </c>
      <c r="K73" s="7">
        <f>VLOOKUP($B73,PRODUCT_MASTER!$A:$F,MATCH('FINAL DATA'!K$1,PRODUCT_MASTER!$A$1:$F$1,0),0)</f>
        <v>162</v>
      </c>
      <c r="L73" s="7">
        <f t="shared" si="5"/>
        <v>120</v>
      </c>
      <c r="M73" s="7">
        <f t="shared" si="6"/>
        <v>162</v>
      </c>
      <c r="N73">
        <f t="shared" si="7"/>
        <v>26</v>
      </c>
      <c r="O73" t="str">
        <f t="shared" si="8"/>
        <v>Mar</v>
      </c>
      <c r="P73">
        <f t="shared" si="9"/>
        <v>2021</v>
      </c>
    </row>
    <row r="74" spans="1:16" x14ac:dyDescent="0.2">
      <c r="A74" s="1">
        <v>44281</v>
      </c>
      <c r="B74" t="s">
        <v>25</v>
      </c>
      <c r="C74">
        <v>9</v>
      </c>
      <c r="D74" t="s">
        <v>103</v>
      </c>
      <c r="E74" t="s">
        <v>101</v>
      </c>
      <c r="F74" s="5">
        <v>0</v>
      </c>
      <c r="G74" t="str">
        <f>VLOOKUP($B74,PRODUCT_MASTER!$A:$F,MATCH('FINAL DATA'!G$1,PRODUCT_MASTER!$A$1:$F$1,0),0)</f>
        <v>Product10</v>
      </c>
      <c r="H74" t="str">
        <f>VLOOKUP($B74,PRODUCT_MASTER!$A:$F,MATCH('FINAL DATA'!H$1,PRODUCT_MASTER!$A$1:$F$1,0),0)</f>
        <v>Gourmet Foods</v>
      </c>
      <c r="I74" t="str">
        <f>VLOOKUP($B74,PRODUCT_MASTER!$A:$F,MATCH('FINAL DATA'!I$1,PRODUCT_MASTER!$A$1:$F$1,0),0)</f>
        <v>Ft</v>
      </c>
      <c r="J74" s="7">
        <f>VLOOKUP($B74,PRODUCT_MASTER!$A:$F,MATCH('FINAL DATA'!J$1,PRODUCT_MASTER!$A$1:$F$1,0),0)</f>
        <v>148</v>
      </c>
      <c r="K74" s="7">
        <f>VLOOKUP($B74,PRODUCT_MASTER!$A:$F,MATCH('FINAL DATA'!K$1,PRODUCT_MASTER!$A$1:$F$1,0),0)</f>
        <v>164.28</v>
      </c>
      <c r="L74" s="7">
        <f t="shared" si="5"/>
        <v>1332</v>
      </c>
      <c r="M74" s="7">
        <f t="shared" si="6"/>
        <v>1478.52</v>
      </c>
      <c r="N74">
        <f t="shared" si="7"/>
        <v>26</v>
      </c>
      <c r="O74" t="str">
        <f t="shared" si="8"/>
        <v>Mar</v>
      </c>
      <c r="P74">
        <f t="shared" si="9"/>
        <v>2021</v>
      </c>
    </row>
    <row r="75" spans="1:16" x14ac:dyDescent="0.2">
      <c r="A75" s="1">
        <v>44282</v>
      </c>
      <c r="B75" t="s">
        <v>65</v>
      </c>
      <c r="C75">
        <v>3</v>
      </c>
      <c r="D75" t="s">
        <v>103</v>
      </c>
      <c r="E75" t="s">
        <v>101</v>
      </c>
      <c r="F75" s="5">
        <v>0</v>
      </c>
      <c r="G75" t="str">
        <f>VLOOKUP($B75,PRODUCT_MASTER!$A:$F,MATCH('FINAL DATA'!G$1,PRODUCT_MASTER!$A$1:$F$1,0),0)</f>
        <v>Product30</v>
      </c>
      <c r="H75" t="str">
        <f>VLOOKUP($B75,PRODUCT_MASTER!$A:$F,MATCH('FINAL DATA'!H$1,PRODUCT_MASTER!$A$1:$F$1,0),0)</f>
        <v>Cheese And Dairy</v>
      </c>
      <c r="I75" t="str">
        <f>VLOOKUP($B75,PRODUCT_MASTER!$A:$F,MATCH('FINAL DATA'!I$1,PRODUCT_MASTER!$A$1:$F$1,0),0)</f>
        <v>Ft</v>
      </c>
      <c r="J75" s="7">
        <f>VLOOKUP($B75,PRODUCT_MASTER!$A:$F,MATCH('FINAL DATA'!J$1,PRODUCT_MASTER!$A$1:$F$1,0),0)</f>
        <v>148</v>
      </c>
      <c r="K75" s="7">
        <f>VLOOKUP($B75,PRODUCT_MASTER!$A:$F,MATCH('FINAL DATA'!K$1,PRODUCT_MASTER!$A$1:$F$1,0),0)</f>
        <v>201.28</v>
      </c>
      <c r="L75" s="7">
        <f t="shared" si="5"/>
        <v>444</v>
      </c>
      <c r="M75" s="7">
        <f t="shared" si="6"/>
        <v>603.84</v>
      </c>
      <c r="N75">
        <f t="shared" si="7"/>
        <v>27</v>
      </c>
      <c r="O75" t="str">
        <f t="shared" si="8"/>
        <v>Mar</v>
      </c>
      <c r="P75">
        <f t="shared" si="9"/>
        <v>2021</v>
      </c>
    </row>
    <row r="76" spans="1:16" x14ac:dyDescent="0.2">
      <c r="A76" s="1">
        <v>44283</v>
      </c>
      <c r="B76" t="s">
        <v>19</v>
      </c>
      <c r="C76">
        <v>8</v>
      </c>
      <c r="D76" t="s">
        <v>101</v>
      </c>
      <c r="E76" t="s">
        <v>102</v>
      </c>
      <c r="F76" s="5">
        <v>0</v>
      </c>
      <c r="G76" t="str">
        <f>VLOOKUP($B76,PRODUCT_MASTER!$A:$F,MATCH('FINAL DATA'!G$1,PRODUCT_MASTER!$A$1:$F$1,0),0)</f>
        <v>Product07</v>
      </c>
      <c r="H76" t="str">
        <f>VLOOKUP($B76,PRODUCT_MASTER!$A:$F,MATCH('FINAL DATA'!H$1,PRODUCT_MASTER!$A$1:$F$1,0),0)</f>
        <v>Gourmet Foods</v>
      </c>
      <c r="I76" t="str">
        <f>VLOOKUP($B76,PRODUCT_MASTER!$A:$F,MATCH('FINAL DATA'!I$1,PRODUCT_MASTER!$A$1:$F$1,0),0)</f>
        <v>Lt</v>
      </c>
      <c r="J76" s="7">
        <f>VLOOKUP($B76,PRODUCT_MASTER!$A:$F,MATCH('FINAL DATA'!J$1,PRODUCT_MASTER!$A$1:$F$1,0),0)</f>
        <v>43</v>
      </c>
      <c r="K76" s="7">
        <f>VLOOKUP($B76,PRODUCT_MASTER!$A:$F,MATCH('FINAL DATA'!K$1,PRODUCT_MASTER!$A$1:$F$1,0),0)</f>
        <v>47.730000000000004</v>
      </c>
      <c r="L76" s="7">
        <f t="shared" si="5"/>
        <v>344</v>
      </c>
      <c r="M76" s="7">
        <f t="shared" si="6"/>
        <v>381.84000000000003</v>
      </c>
      <c r="N76">
        <f t="shared" si="7"/>
        <v>28</v>
      </c>
      <c r="O76" t="str">
        <f t="shared" si="8"/>
        <v>Mar</v>
      </c>
      <c r="P76">
        <f t="shared" si="9"/>
        <v>2021</v>
      </c>
    </row>
    <row r="77" spans="1:16" x14ac:dyDescent="0.2">
      <c r="A77" s="1">
        <v>44285</v>
      </c>
      <c r="B77" t="s">
        <v>81</v>
      </c>
      <c r="C77">
        <v>1</v>
      </c>
      <c r="D77" t="s">
        <v>101</v>
      </c>
      <c r="E77" t="s">
        <v>102</v>
      </c>
      <c r="F77" s="5">
        <v>0</v>
      </c>
      <c r="G77" t="str">
        <f>VLOOKUP($B77,PRODUCT_MASTER!$A:$F,MATCH('FINAL DATA'!G$1,PRODUCT_MASTER!$A$1:$F$1,0),0)</f>
        <v>Product38</v>
      </c>
      <c r="H77" t="str">
        <f>VLOOKUP($B77,PRODUCT_MASTER!$A:$F,MATCH('FINAL DATA'!H$1,PRODUCT_MASTER!$A$1:$F$1,0),0)</f>
        <v>Snacks</v>
      </c>
      <c r="I77" t="str">
        <f>VLOOKUP($B77,PRODUCT_MASTER!$A:$F,MATCH('FINAL DATA'!I$1,PRODUCT_MASTER!$A$1:$F$1,0),0)</f>
        <v>Kg</v>
      </c>
      <c r="J77" s="7">
        <f>VLOOKUP($B77,PRODUCT_MASTER!$A:$F,MATCH('FINAL DATA'!J$1,PRODUCT_MASTER!$A$1:$F$1,0),0)</f>
        <v>72</v>
      </c>
      <c r="K77" s="7">
        <f>VLOOKUP($B77,PRODUCT_MASTER!$A:$F,MATCH('FINAL DATA'!K$1,PRODUCT_MASTER!$A$1:$F$1,0),0)</f>
        <v>79.92</v>
      </c>
      <c r="L77" s="7">
        <f t="shared" si="5"/>
        <v>72</v>
      </c>
      <c r="M77" s="7">
        <f t="shared" si="6"/>
        <v>79.92</v>
      </c>
      <c r="N77">
        <f t="shared" si="7"/>
        <v>30</v>
      </c>
      <c r="O77" t="str">
        <f t="shared" si="8"/>
        <v>Mar</v>
      </c>
      <c r="P77">
        <f t="shared" si="9"/>
        <v>2021</v>
      </c>
    </row>
    <row r="78" spans="1:16" x14ac:dyDescent="0.2">
      <c r="A78" s="1">
        <v>44286</v>
      </c>
      <c r="B78" t="s">
        <v>89</v>
      </c>
      <c r="C78">
        <v>3</v>
      </c>
      <c r="D78" t="s">
        <v>103</v>
      </c>
      <c r="E78" t="s">
        <v>102</v>
      </c>
      <c r="F78" s="5">
        <v>0</v>
      </c>
      <c r="G78" t="str">
        <f>VLOOKUP($B78,PRODUCT_MASTER!$A:$F,MATCH('FINAL DATA'!G$1,PRODUCT_MASTER!$A$1:$F$1,0),0)</f>
        <v>Product42</v>
      </c>
      <c r="H78" t="str">
        <f>VLOOKUP($B78,PRODUCT_MASTER!$A:$F,MATCH('FINAL DATA'!H$1,PRODUCT_MASTER!$A$1:$F$1,0),0)</f>
        <v>Candy</v>
      </c>
      <c r="I78" t="str">
        <f>VLOOKUP($B78,PRODUCT_MASTER!$A:$F,MATCH('FINAL DATA'!I$1,PRODUCT_MASTER!$A$1:$F$1,0),0)</f>
        <v>Ft</v>
      </c>
      <c r="J78" s="7">
        <f>VLOOKUP($B78,PRODUCT_MASTER!$A:$F,MATCH('FINAL DATA'!J$1,PRODUCT_MASTER!$A$1:$F$1,0),0)</f>
        <v>120</v>
      </c>
      <c r="K78" s="7">
        <f>VLOOKUP($B78,PRODUCT_MASTER!$A:$F,MATCH('FINAL DATA'!K$1,PRODUCT_MASTER!$A$1:$F$1,0),0)</f>
        <v>162</v>
      </c>
      <c r="L78" s="7">
        <f t="shared" si="5"/>
        <v>360</v>
      </c>
      <c r="M78" s="7">
        <f t="shared" si="6"/>
        <v>486</v>
      </c>
      <c r="N78">
        <f t="shared" si="7"/>
        <v>31</v>
      </c>
      <c r="O78" t="str">
        <f t="shared" si="8"/>
        <v>Mar</v>
      </c>
      <c r="P78">
        <f t="shared" si="9"/>
        <v>2021</v>
      </c>
    </row>
    <row r="79" spans="1:16" x14ac:dyDescent="0.2">
      <c r="A79" s="1">
        <v>44290</v>
      </c>
      <c r="B79" t="s">
        <v>85</v>
      </c>
      <c r="C79">
        <v>4</v>
      </c>
      <c r="D79" t="s">
        <v>103</v>
      </c>
      <c r="E79" t="s">
        <v>102</v>
      </c>
      <c r="F79" s="5">
        <v>0</v>
      </c>
      <c r="G79" t="str">
        <f>VLOOKUP($B79,PRODUCT_MASTER!$A:$F,MATCH('FINAL DATA'!G$1,PRODUCT_MASTER!$A$1:$F$1,0),0)</f>
        <v>Product40</v>
      </c>
      <c r="H79" t="str">
        <f>VLOOKUP($B79,PRODUCT_MASTER!$A:$F,MATCH('FINAL DATA'!H$1,PRODUCT_MASTER!$A$1:$F$1,0),0)</f>
        <v>Snacks</v>
      </c>
      <c r="I79" t="str">
        <f>VLOOKUP($B79,PRODUCT_MASTER!$A:$F,MATCH('FINAL DATA'!I$1,PRODUCT_MASTER!$A$1:$F$1,0),0)</f>
        <v>Kg</v>
      </c>
      <c r="J79" s="7">
        <f>VLOOKUP($B79,PRODUCT_MASTER!$A:$F,MATCH('FINAL DATA'!J$1,PRODUCT_MASTER!$A$1:$F$1,0),0)</f>
        <v>90</v>
      </c>
      <c r="K79" s="7">
        <f>VLOOKUP($B79,PRODUCT_MASTER!$A:$F,MATCH('FINAL DATA'!K$1,PRODUCT_MASTER!$A$1:$F$1,0),0)</f>
        <v>115.2</v>
      </c>
      <c r="L79" s="7">
        <f t="shared" si="5"/>
        <v>360</v>
      </c>
      <c r="M79" s="7">
        <f t="shared" si="6"/>
        <v>460.8</v>
      </c>
      <c r="N79">
        <f t="shared" si="7"/>
        <v>4</v>
      </c>
      <c r="O79" t="str">
        <f t="shared" si="8"/>
        <v>Apr</v>
      </c>
      <c r="P79">
        <f t="shared" si="9"/>
        <v>2021</v>
      </c>
    </row>
    <row r="80" spans="1:16" x14ac:dyDescent="0.2">
      <c r="A80" s="1">
        <v>44290</v>
      </c>
      <c r="B80" t="s">
        <v>23</v>
      </c>
      <c r="C80">
        <v>9</v>
      </c>
      <c r="D80" t="s">
        <v>101</v>
      </c>
      <c r="E80" t="s">
        <v>102</v>
      </c>
      <c r="F80" s="5">
        <v>0</v>
      </c>
      <c r="G80" t="str">
        <f>VLOOKUP($B80,PRODUCT_MASTER!$A:$F,MATCH('FINAL DATA'!G$1,PRODUCT_MASTER!$A$1:$F$1,0),0)</f>
        <v>Product09</v>
      </c>
      <c r="H80" t="str">
        <f>VLOOKUP($B80,PRODUCT_MASTER!$A:$F,MATCH('FINAL DATA'!H$1,PRODUCT_MASTER!$A$1:$F$1,0),0)</f>
        <v>Gourmet Foods</v>
      </c>
      <c r="I80" t="str">
        <f>VLOOKUP($B80,PRODUCT_MASTER!$A:$F,MATCH('FINAL DATA'!I$1,PRODUCT_MASTER!$A$1:$F$1,0),0)</f>
        <v>No.</v>
      </c>
      <c r="J80" s="7">
        <f>VLOOKUP($B80,PRODUCT_MASTER!$A:$F,MATCH('FINAL DATA'!J$1,PRODUCT_MASTER!$A$1:$F$1,0),0)</f>
        <v>6</v>
      </c>
      <c r="K80" s="7">
        <f>VLOOKUP($B80,PRODUCT_MASTER!$A:$F,MATCH('FINAL DATA'!K$1,PRODUCT_MASTER!$A$1:$F$1,0),0)</f>
        <v>7.8599999999999994</v>
      </c>
      <c r="L80" s="7">
        <f t="shared" si="5"/>
        <v>54</v>
      </c>
      <c r="M80" s="7">
        <f t="shared" si="6"/>
        <v>70.739999999999995</v>
      </c>
      <c r="N80">
        <f t="shared" si="7"/>
        <v>4</v>
      </c>
      <c r="O80" t="str">
        <f t="shared" si="8"/>
        <v>Apr</v>
      </c>
      <c r="P80">
        <f t="shared" si="9"/>
        <v>2021</v>
      </c>
    </row>
    <row r="81" spans="1:16" x14ac:dyDescent="0.2">
      <c r="A81" s="1">
        <v>44291</v>
      </c>
      <c r="B81" t="s">
        <v>67</v>
      </c>
      <c r="C81">
        <v>15</v>
      </c>
      <c r="D81" t="s">
        <v>101</v>
      </c>
      <c r="E81" t="s">
        <v>101</v>
      </c>
      <c r="F81" s="5">
        <v>0</v>
      </c>
      <c r="G81" t="str">
        <f>VLOOKUP($B81,PRODUCT_MASTER!$A:$F,MATCH('FINAL DATA'!G$1,PRODUCT_MASTER!$A$1:$F$1,0),0)</f>
        <v>Product31</v>
      </c>
      <c r="H81" t="str">
        <f>VLOOKUP($B81,PRODUCT_MASTER!$A:$F,MATCH('FINAL DATA'!H$1,PRODUCT_MASTER!$A$1:$F$1,0),0)</f>
        <v>Cheese And Dairy</v>
      </c>
      <c r="I81" t="str">
        <f>VLOOKUP($B81,PRODUCT_MASTER!$A:$F,MATCH('FINAL DATA'!I$1,PRODUCT_MASTER!$A$1:$F$1,0),0)</f>
        <v>Kg</v>
      </c>
      <c r="J81" s="7">
        <f>VLOOKUP($B81,PRODUCT_MASTER!$A:$F,MATCH('FINAL DATA'!J$1,PRODUCT_MASTER!$A$1:$F$1,0),0)</f>
        <v>93</v>
      </c>
      <c r="K81" s="7">
        <f>VLOOKUP($B81,PRODUCT_MASTER!$A:$F,MATCH('FINAL DATA'!K$1,PRODUCT_MASTER!$A$1:$F$1,0),0)</f>
        <v>104.16</v>
      </c>
      <c r="L81" s="7">
        <f t="shared" si="5"/>
        <v>1395</v>
      </c>
      <c r="M81" s="7">
        <f t="shared" si="6"/>
        <v>1562.3999999999999</v>
      </c>
      <c r="N81">
        <f t="shared" si="7"/>
        <v>5</v>
      </c>
      <c r="O81" t="str">
        <f t="shared" si="8"/>
        <v>Apr</v>
      </c>
      <c r="P81">
        <f t="shared" si="9"/>
        <v>2021</v>
      </c>
    </row>
    <row r="82" spans="1:16" x14ac:dyDescent="0.2">
      <c r="A82" s="1">
        <v>44295</v>
      </c>
      <c r="B82" t="s">
        <v>15</v>
      </c>
      <c r="C82">
        <v>3</v>
      </c>
      <c r="D82" t="s">
        <v>101</v>
      </c>
      <c r="E82" t="s">
        <v>101</v>
      </c>
      <c r="F82" s="5">
        <v>0</v>
      </c>
      <c r="G82" t="str">
        <f>VLOOKUP($B82,PRODUCT_MASTER!$A:$F,MATCH('FINAL DATA'!G$1,PRODUCT_MASTER!$A$1:$F$1,0),0)</f>
        <v>Product05</v>
      </c>
      <c r="H82" t="str">
        <f>VLOOKUP($B82,PRODUCT_MASTER!$A:$F,MATCH('FINAL DATA'!H$1,PRODUCT_MASTER!$A$1:$F$1,0),0)</f>
        <v>Organic</v>
      </c>
      <c r="I82" t="str">
        <f>VLOOKUP($B82,PRODUCT_MASTER!$A:$F,MATCH('FINAL DATA'!I$1,PRODUCT_MASTER!$A$1:$F$1,0),0)</f>
        <v>Ft</v>
      </c>
      <c r="J82" s="7">
        <f>VLOOKUP($B82,PRODUCT_MASTER!$A:$F,MATCH('FINAL DATA'!J$1,PRODUCT_MASTER!$A$1:$F$1,0),0)</f>
        <v>133</v>
      </c>
      <c r="K82" s="7">
        <f>VLOOKUP($B82,PRODUCT_MASTER!$A:$F,MATCH('FINAL DATA'!K$1,PRODUCT_MASTER!$A$1:$F$1,0),0)</f>
        <v>155.61000000000001</v>
      </c>
      <c r="L82" s="7">
        <f t="shared" si="5"/>
        <v>399</v>
      </c>
      <c r="M82" s="7">
        <f t="shared" si="6"/>
        <v>466.83000000000004</v>
      </c>
      <c r="N82">
        <f t="shared" si="7"/>
        <v>9</v>
      </c>
      <c r="O82" t="str">
        <f t="shared" si="8"/>
        <v>Apr</v>
      </c>
      <c r="P82">
        <f t="shared" si="9"/>
        <v>2021</v>
      </c>
    </row>
    <row r="83" spans="1:16" x14ac:dyDescent="0.2">
      <c r="A83" s="1">
        <v>44296</v>
      </c>
      <c r="B83" t="s">
        <v>49</v>
      </c>
      <c r="C83">
        <v>14</v>
      </c>
      <c r="D83" t="s">
        <v>103</v>
      </c>
      <c r="E83" t="s">
        <v>101</v>
      </c>
      <c r="F83" s="5">
        <v>0</v>
      </c>
      <c r="G83" t="str">
        <f>VLOOKUP($B83,PRODUCT_MASTER!$A:$F,MATCH('FINAL DATA'!G$1,PRODUCT_MASTER!$A$1:$F$1,0),0)</f>
        <v>Product22</v>
      </c>
      <c r="H83" t="str">
        <f>VLOOKUP($B83,PRODUCT_MASTER!$A:$F,MATCH('FINAL DATA'!H$1,PRODUCT_MASTER!$A$1:$F$1,0),0)</f>
        <v>Seafood</v>
      </c>
      <c r="I83" t="str">
        <f>VLOOKUP($B83,PRODUCT_MASTER!$A:$F,MATCH('FINAL DATA'!I$1,PRODUCT_MASTER!$A$1:$F$1,0),0)</f>
        <v>Ft</v>
      </c>
      <c r="J83" s="7">
        <f>VLOOKUP($B83,PRODUCT_MASTER!$A:$F,MATCH('FINAL DATA'!J$1,PRODUCT_MASTER!$A$1:$F$1,0),0)</f>
        <v>121</v>
      </c>
      <c r="K83" s="7">
        <f>VLOOKUP($B83,PRODUCT_MASTER!$A:$F,MATCH('FINAL DATA'!K$1,PRODUCT_MASTER!$A$1:$F$1,0),0)</f>
        <v>141.57</v>
      </c>
      <c r="L83" s="7">
        <f t="shared" si="5"/>
        <v>1694</v>
      </c>
      <c r="M83" s="7">
        <f t="shared" si="6"/>
        <v>1981.98</v>
      </c>
      <c r="N83">
        <f t="shared" si="7"/>
        <v>10</v>
      </c>
      <c r="O83" t="str">
        <f t="shared" si="8"/>
        <v>Apr</v>
      </c>
      <c r="P83">
        <f t="shared" si="9"/>
        <v>2021</v>
      </c>
    </row>
    <row r="84" spans="1:16" x14ac:dyDescent="0.2">
      <c r="A84" s="1">
        <v>44298</v>
      </c>
      <c r="B84" t="s">
        <v>79</v>
      </c>
      <c r="C84">
        <v>3</v>
      </c>
      <c r="D84" t="s">
        <v>103</v>
      </c>
      <c r="E84" t="s">
        <v>102</v>
      </c>
      <c r="F84" s="5">
        <v>0</v>
      </c>
      <c r="G84" t="str">
        <f>VLOOKUP($B84,PRODUCT_MASTER!$A:$F,MATCH('FINAL DATA'!G$1,PRODUCT_MASTER!$A$1:$F$1,0),0)</f>
        <v>Product37</v>
      </c>
      <c r="H84" t="str">
        <f>VLOOKUP($B84,PRODUCT_MASTER!$A:$F,MATCH('FINAL DATA'!H$1,PRODUCT_MASTER!$A$1:$F$1,0),0)</f>
        <v>Snacks</v>
      </c>
      <c r="I84" t="str">
        <f>VLOOKUP($B84,PRODUCT_MASTER!$A:$F,MATCH('FINAL DATA'!I$1,PRODUCT_MASTER!$A$1:$F$1,0),0)</f>
        <v>Kg</v>
      </c>
      <c r="J84" s="7">
        <f>VLOOKUP($B84,PRODUCT_MASTER!$A:$F,MATCH('FINAL DATA'!J$1,PRODUCT_MASTER!$A$1:$F$1,0),0)</f>
        <v>67</v>
      </c>
      <c r="K84" s="7">
        <f>VLOOKUP($B84,PRODUCT_MASTER!$A:$F,MATCH('FINAL DATA'!K$1,PRODUCT_MASTER!$A$1:$F$1,0),0)</f>
        <v>85.76</v>
      </c>
      <c r="L84" s="7">
        <f t="shared" si="5"/>
        <v>201</v>
      </c>
      <c r="M84" s="7">
        <f t="shared" si="6"/>
        <v>257.28000000000003</v>
      </c>
      <c r="N84">
        <f t="shared" si="7"/>
        <v>12</v>
      </c>
      <c r="O84" t="str">
        <f t="shared" si="8"/>
        <v>Apr</v>
      </c>
      <c r="P84">
        <f t="shared" si="9"/>
        <v>2021</v>
      </c>
    </row>
    <row r="85" spans="1:16" x14ac:dyDescent="0.2">
      <c r="A85" s="1">
        <v>44298</v>
      </c>
      <c r="B85" t="s">
        <v>63</v>
      </c>
      <c r="C85">
        <v>4</v>
      </c>
      <c r="D85" t="s">
        <v>103</v>
      </c>
      <c r="E85" t="s">
        <v>101</v>
      </c>
      <c r="F85" s="5">
        <v>0</v>
      </c>
      <c r="G85" t="str">
        <f>VLOOKUP($B85,PRODUCT_MASTER!$A:$F,MATCH('FINAL DATA'!G$1,PRODUCT_MASTER!$A$1:$F$1,0),0)</f>
        <v>Product29</v>
      </c>
      <c r="H85" t="str">
        <f>VLOOKUP($B85,PRODUCT_MASTER!$A:$F,MATCH('FINAL DATA'!H$1,PRODUCT_MASTER!$A$1:$F$1,0),0)</f>
        <v>Cheese And Dairy</v>
      </c>
      <c r="I85" t="str">
        <f>VLOOKUP($B85,PRODUCT_MASTER!$A:$F,MATCH('FINAL DATA'!I$1,PRODUCT_MASTER!$A$1:$F$1,0),0)</f>
        <v>Lt</v>
      </c>
      <c r="J85" s="7">
        <f>VLOOKUP($B85,PRODUCT_MASTER!$A:$F,MATCH('FINAL DATA'!J$1,PRODUCT_MASTER!$A$1:$F$1,0),0)</f>
        <v>47</v>
      </c>
      <c r="K85" s="7">
        <f>VLOOKUP($B85,PRODUCT_MASTER!$A:$F,MATCH('FINAL DATA'!K$1,PRODUCT_MASTER!$A$1:$F$1,0),0)</f>
        <v>53.11</v>
      </c>
      <c r="L85" s="7">
        <f t="shared" si="5"/>
        <v>188</v>
      </c>
      <c r="M85" s="7">
        <f t="shared" si="6"/>
        <v>212.44</v>
      </c>
      <c r="N85">
        <f t="shared" si="7"/>
        <v>12</v>
      </c>
      <c r="O85" t="str">
        <f t="shared" si="8"/>
        <v>Apr</v>
      </c>
      <c r="P85">
        <f t="shared" si="9"/>
        <v>2021</v>
      </c>
    </row>
    <row r="86" spans="1:16" x14ac:dyDescent="0.2">
      <c r="A86" s="1">
        <v>44298</v>
      </c>
      <c r="B86" t="s">
        <v>59</v>
      </c>
      <c r="C86">
        <v>9</v>
      </c>
      <c r="D86" t="s">
        <v>103</v>
      </c>
      <c r="E86" t="s">
        <v>101</v>
      </c>
      <c r="F86" s="5">
        <v>0</v>
      </c>
      <c r="G86" t="str">
        <f>VLOOKUP($B86,PRODUCT_MASTER!$A:$F,MATCH('FINAL DATA'!G$1,PRODUCT_MASTER!$A$1:$F$1,0),0)</f>
        <v>Product27</v>
      </c>
      <c r="H86" t="str">
        <f>VLOOKUP($B86,PRODUCT_MASTER!$A:$F,MATCH('FINAL DATA'!H$1,PRODUCT_MASTER!$A$1:$F$1,0),0)</f>
        <v>Cheese And Dairy</v>
      </c>
      <c r="I86" t="str">
        <f>VLOOKUP($B86,PRODUCT_MASTER!$A:$F,MATCH('FINAL DATA'!I$1,PRODUCT_MASTER!$A$1:$F$1,0),0)</f>
        <v>Lt</v>
      </c>
      <c r="J86" s="7">
        <f>VLOOKUP($B86,PRODUCT_MASTER!$A:$F,MATCH('FINAL DATA'!J$1,PRODUCT_MASTER!$A$1:$F$1,0),0)</f>
        <v>48</v>
      </c>
      <c r="K86" s="7">
        <f>VLOOKUP($B86,PRODUCT_MASTER!$A:$F,MATCH('FINAL DATA'!K$1,PRODUCT_MASTER!$A$1:$F$1,0),0)</f>
        <v>57.120000000000005</v>
      </c>
      <c r="L86" s="7">
        <f t="shared" si="5"/>
        <v>432</v>
      </c>
      <c r="M86" s="7">
        <f t="shared" si="6"/>
        <v>514.08000000000004</v>
      </c>
      <c r="N86">
        <f t="shared" si="7"/>
        <v>12</v>
      </c>
      <c r="O86" t="str">
        <f t="shared" si="8"/>
        <v>Apr</v>
      </c>
      <c r="P86">
        <f t="shared" si="9"/>
        <v>2021</v>
      </c>
    </row>
    <row r="87" spans="1:16" x14ac:dyDescent="0.2">
      <c r="A87" s="1">
        <v>44298</v>
      </c>
      <c r="B87" t="s">
        <v>71</v>
      </c>
      <c r="C87">
        <v>13</v>
      </c>
      <c r="D87" t="s">
        <v>103</v>
      </c>
      <c r="E87" t="s">
        <v>102</v>
      </c>
      <c r="F87" s="5">
        <v>0</v>
      </c>
      <c r="G87" t="str">
        <f>VLOOKUP($B87,PRODUCT_MASTER!$A:$F,MATCH('FINAL DATA'!G$1,PRODUCT_MASTER!$A$1:$F$1,0),0)</f>
        <v>Product33</v>
      </c>
      <c r="H87" t="str">
        <f>VLOOKUP($B87,PRODUCT_MASTER!$A:$F,MATCH('FINAL DATA'!H$1,PRODUCT_MASTER!$A$1:$F$1,0),0)</f>
        <v>Bakery And Desserts</v>
      </c>
      <c r="I87" t="str">
        <f>VLOOKUP($B87,PRODUCT_MASTER!$A:$F,MATCH('FINAL DATA'!I$1,PRODUCT_MASTER!$A$1:$F$1,0),0)</f>
        <v>Kg</v>
      </c>
      <c r="J87" s="7">
        <f>VLOOKUP($B87,PRODUCT_MASTER!$A:$F,MATCH('FINAL DATA'!J$1,PRODUCT_MASTER!$A$1:$F$1,0),0)</f>
        <v>95</v>
      </c>
      <c r="K87" s="7">
        <f>VLOOKUP($B87,PRODUCT_MASTER!$A:$F,MATCH('FINAL DATA'!K$1,PRODUCT_MASTER!$A$1:$F$1,0),0)</f>
        <v>119.7</v>
      </c>
      <c r="L87" s="7">
        <f t="shared" si="5"/>
        <v>1235</v>
      </c>
      <c r="M87" s="7">
        <f t="shared" si="6"/>
        <v>1556.1000000000001</v>
      </c>
      <c r="N87">
        <f t="shared" si="7"/>
        <v>12</v>
      </c>
      <c r="O87" t="str">
        <f t="shared" si="8"/>
        <v>Apr</v>
      </c>
      <c r="P87">
        <f t="shared" si="9"/>
        <v>2021</v>
      </c>
    </row>
    <row r="88" spans="1:16" x14ac:dyDescent="0.2">
      <c r="A88" s="1">
        <v>44301</v>
      </c>
      <c r="B88" t="s">
        <v>39</v>
      </c>
      <c r="C88">
        <v>3</v>
      </c>
      <c r="D88" t="s">
        <v>103</v>
      </c>
      <c r="E88" t="s">
        <v>101</v>
      </c>
      <c r="F88" s="5">
        <v>0</v>
      </c>
      <c r="G88" t="str">
        <f>VLOOKUP($B88,PRODUCT_MASTER!$A:$F,MATCH('FINAL DATA'!G$1,PRODUCT_MASTER!$A$1:$F$1,0),0)</f>
        <v>Product17</v>
      </c>
      <c r="H88" t="str">
        <f>VLOOKUP($B88,PRODUCT_MASTER!$A:$F,MATCH('FINAL DATA'!H$1,PRODUCT_MASTER!$A$1:$F$1,0),0)</f>
        <v>Poultry</v>
      </c>
      <c r="I88" t="str">
        <f>VLOOKUP($B88,PRODUCT_MASTER!$A:$F,MATCH('FINAL DATA'!I$1,PRODUCT_MASTER!$A$1:$F$1,0),0)</f>
        <v>Ft</v>
      </c>
      <c r="J88" s="7">
        <f>VLOOKUP($B88,PRODUCT_MASTER!$A:$F,MATCH('FINAL DATA'!J$1,PRODUCT_MASTER!$A$1:$F$1,0),0)</f>
        <v>134</v>
      </c>
      <c r="K88" s="7">
        <f>VLOOKUP($B88,PRODUCT_MASTER!$A:$F,MATCH('FINAL DATA'!K$1,PRODUCT_MASTER!$A$1:$F$1,0),0)</f>
        <v>156.78</v>
      </c>
      <c r="L88" s="7">
        <f t="shared" si="5"/>
        <v>402</v>
      </c>
      <c r="M88" s="7">
        <f t="shared" si="6"/>
        <v>470.34000000000003</v>
      </c>
      <c r="N88">
        <f t="shared" si="7"/>
        <v>15</v>
      </c>
      <c r="O88" t="str">
        <f t="shared" si="8"/>
        <v>Apr</v>
      </c>
      <c r="P88">
        <f t="shared" si="9"/>
        <v>2021</v>
      </c>
    </row>
    <row r="89" spans="1:16" x14ac:dyDescent="0.2">
      <c r="A89" s="1">
        <v>44302</v>
      </c>
      <c r="B89" t="s">
        <v>41</v>
      </c>
      <c r="C89">
        <v>15</v>
      </c>
      <c r="D89" t="s">
        <v>103</v>
      </c>
      <c r="E89" t="s">
        <v>102</v>
      </c>
      <c r="F89" s="5">
        <v>0</v>
      </c>
      <c r="G89" t="str">
        <f>VLOOKUP($B89,PRODUCT_MASTER!$A:$F,MATCH('FINAL DATA'!G$1,PRODUCT_MASTER!$A$1:$F$1,0),0)</f>
        <v>Product18</v>
      </c>
      <c r="H89" t="str">
        <f>VLOOKUP($B89,PRODUCT_MASTER!$A:$F,MATCH('FINAL DATA'!H$1,PRODUCT_MASTER!$A$1:$F$1,0),0)</f>
        <v>Poultry</v>
      </c>
      <c r="I89" t="str">
        <f>VLOOKUP($B89,PRODUCT_MASTER!$A:$F,MATCH('FINAL DATA'!I$1,PRODUCT_MASTER!$A$1:$F$1,0),0)</f>
        <v>No.</v>
      </c>
      <c r="J89" s="7">
        <f>VLOOKUP($B89,PRODUCT_MASTER!$A:$F,MATCH('FINAL DATA'!J$1,PRODUCT_MASTER!$A$1:$F$1,0),0)</f>
        <v>37</v>
      </c>
      <c r="K89" s="7">
        <f>VLOOKUP($B89,PRODUCT_MASTER!$A:$F,MATCH('FINAL DATA'!K$1,PRODUCT_MASTER!$A$1:$F$1,0),0)</f>
        <v>49.21</v>
      </c>
      <c r="L89" s="7">
        <f t="shared" si="5"/>
        <v>555</v>
      </c>
      <c r="M89" s="7">
        <f t="shared" si="6"/>
        <v>738.15</v>
      </c>
      <c r="N89">
        <f t="shared" si="7"/>
        <v>16</v>
      </c>
      <c r="O89" t="str">
        <f t="shared" si="8"/>
        <v>Apr</v>
      </c>
      <c r="P89">
        <f t="shared" si="9"/>
        <v>2021</v>
      </c>
    </row>
    <row r="90" spans="1:16" x14ac:dyDescent="0.2">
      <c r="A90" s="1">
        <v>44304</v>
      </c>
      <c r="B90" t="s">
        <v>81</v>
      </c>
      <c r="C90">
        <v>9</v>
      </c>
      <c r="D90" t="s">
        <v>100</v>
      </c>
      <c r="E90" t="s">
        <v>101</v>
      </c>
      <c r="F90" s="5">
        <v>0</v>
      </c>
      <c r="G90" t="str">
        <f>VLOOKUP($B90,PRODUCT_MASTER!$A:$F,MATCH('FINAL DATA'!G$1,PRODUCT_MASTER!$A$1:$F$1,0),0)</f>
        <v>Product38</v>
      </c>
      <c r="H90" t="str">
        <f>VLOOKUP($B90,PRODUCT_MASTER!$A:$F,MATCH('FINAL DATA'!H$1,PRODUCT_MASTER!$A$1:$F$1,0),0)</f>
        <v>Snacks</v>
      </c>
      <c r="I90" t="str">
        <f>VLOOKUP($B90,PRODUCT_MASTER!$A:$F,MATCH('FINAL DATA'!I$1,PRODUCT_MASTER!$A$1:$F$1,0),0)</f>
        <v>Kg</v>
      </c>
      <c r="J90" s="7">
        <f>VLOOKUP($B90,PRODUCT_MASTER!$A:$F,MATCH('FINAL DATA'!J$1,PRODUCT_MASTER!$A$1:$F$1,0),0)</f>
        <v>72</v>
      </c>
      <c r="K90" s="7">
        <f>VLOOKUP($B90,PRODUCT_MASTER!$A:$F,MATCH('FINAL DATA'!K$1,PRODUCT_MASTER!$A$1:$F$1,0),0)</f>
        <v>79.92</v>
      </c>
      <c r="L90" s="7">
        <f t="shared" si="5"/>
        <v>648</v>
      </c>
      <c r="M90" s="7">
        <f t="shared" si="6"/>
        <v>719.28</v>
      </c>
      <c r="N90">
        <f t="shared" si="7"/>
        <v>18</v>
      </c>
      <c r="O90" t="str">
        <f t="shared" si="8"/>
        <v>Apr</v>
      </c>
      <c r="P90">
        <f t="shared" si="9"/>
        <v>2021</v>
      </c>
    </row>
    <row r="91" spans="1:16" x14ac:dyDescent="0.2">
      <c r="A91" s="1">
        <v>44304</v>
      </c>
      <c r="B91" t="s">
        <v>43</v>
      </c>
      <c r="C91">
        <v>13</v>
      </c>
      <c r="D91" t="s">
        <v>103</v>
      </c>
      <c r="E91" t="s">
        <v>102</v>
      </c>
      <c r="F91" s="5">
        <v>0</v>
      </c>
      <c r="G91" t="str">
        <f>VLOOKUP($B91,PRODUCT_MASTER!$A:$F,MATCH('FINAL DATA'!G$1,PRODUCT_MASTER!$A$1:$F$1,0),0)</f>
        <v>Product19</v>
      </c>
      <c r="H91" t="str">
        <f>VLOOKUP($B91,PRODUCT_MASTER!$A:$F,MATCH('FINAL DATA'!H$1,PRODUCT_MASTER!$A$1:$F$1,0),0)</f>
        <v>Poultry</v>
      </c>
      <c r="I91" t="str">
        <f>VLOOKUP($B91,PRODUCT_MASTER!$A:$F,MATCH('FINAL DATA'!I$1,PRODUCT_MASTER!$A$1:$F$1,0),0)</f>
        <v>Ft</v>
      </c>
      <c r="J91" s="7">
        <f>VLOOKUP($B91,PRODUCT_MASTER!$A:$F,MATCH('FINAL DATA'!J$1,PRODUCT_MASTER!$A$1:$F$1,0),0)</f>
        <v>150</v>
      </c>
      <c r="K91" s="7">
        <f>VLOOKUP($B91,PRODUCT_MASTER!$A:$F,MATCH('FINAL DATA'!K$1,PRODUCT_MASTER!$A$1:$F$1,0),0)</f>
        <v>210</v>
      </c>
      <c r="L91" s="7">
        <f t="shared" si="5"/>
        <v>1950</v>
      </c>
      <c r="M91" s="7">
        <f t="shared" si="6"/>
        <v>2730</v>
      </c>
      <c r="N91">
        <f t="shared" si="7"/>
        <v>18</v>
      </c>
      <c r="O91" t="str">
        <f t="shared" si="8"/>
        <v>Apr</v>
      </c>
      <c r="P91">
        <f t="shared" si="9"/>
        <v>2021</v>
      </c>
    </row>
    <row r="92" spans="1:16" x14ac:dyDescent="0.2">
      <c r="A92" s="1">
        <v>44309</v>
      </c>
      <c r="B92" t="s">
        <v>89</v>
      </c>
      <c r="C92">
        <v>6</v>
      </c>
      <c r="D92" t="s">
        <v>103</v>
      </c>
      <c r="E92" t="s">
        <v>101</v>
      </c>
      <c r="F92" s="5">
        <v>0</v>
      </c>
      <c r="G92" t="str">
        <f>VLOOKUP($B92,PRODUCT_MASTER!$A:$F,MATCH('FINAL DATA'!G$1,PRODUCT_MASTER!$A$1:$F$1,0),0)</f>
        <v>Product42</v>
      </c>
      <c r="H92" t="str">
        <f>VLOOKUP($B92,PRODUCT_MASTER!$A:$F,MATCH('FINAL DATA'!H$1,PRODUCT_MASTER!$A$1:$F$1,0),0)</f>
        <v>Candy</v>
      </c>
      <c r="I92" t="str">
        <f>VLOOKUP($B92,PRODUCT_MASTER!$A:$F,MATCH('FINAL DATA'!I$1,PRODUCT_MASTER!$A$1:$F$1,0),0)</f>
        <v>Ft</v>
      </c>
      <c r="J92" s="7">
        <f>VLOOKUP($B92,PRODUCT_MASTER!$A:$F,MATCH('FINAL DATA'!J$1,PRODUCT_MASTER!$A$1:$F$1,0),0)</f>
        <v>120</v>
      </c>
      <c r="K92" s="7">
        <f>VLOOKUP($B92,PRODUCT_MASTER!$A:$F,MATCH('FINAL DATA'!K$1,PRODUCT_MASTER!$A$1:$F$1,0),0)</f>
        <v>162</v>
      </c>
      <c r="L92" s="7">
        <f t="shared" si="5"/>
        <v>720</v>
      </c>
      <c r="M92" s="7">
        <f t="shared" si="6"/>
        <v>972</v>
      </c>
      <c r="N92">
        <f t="shared" si="7"/>
        <v>23</v>
      </c>
      <c r="O92" t="str">
        <f t="shared" si="8"/>
        <v>Apr</v>
      </c>
      <c r="P92">
        <f t="shared" si="9"/>
        <v>2021</v>
      </c>
    </row>
    <row r="93" spans="1:16" x14ac:dyDescent="0.2">
      <c r="A93" s="1">
        <v>44309</v>
      </c>
      <c r="B93" t="s">
        <v>61</v>
      </c>
      <c r="C93">
        <v>10</v>
      </c>
      <c r="D93" t="s">
        <v>103</v>
      </c>
      <c r="E93" t="s">
        <v>101</v>
      </c>
      <c r="F93" s="5">
        <v>0</v>
      </c>
      <c r="G93" t="str">
        <f>VLOOKUP($B93,PRODUCT_MASTER!$A:$F,MATCH('FINAL DATA'!G$1,PRODUCT_MASTER!$A$1:$F$1,0),0)</f>
        <v>Product28</v>
      </c>
      <c r="H93" t="str">
        <f>VLOOKUP($B93,PRODUCT_MASTER!$A:$F,MATCH('FINAL DATA'!H$1,PRODUCT_MASTER!$A$1:$F$1,0),0)</f>
        <v>Cheese And Dairy</v>
      </c>
      <c r="I93" t="str">
        <f>VLOOKUP($B93,PRODUCT_MASTER!$A:$F,MATCH('FINAL DATA'!I$1,PRODUCT_MASTER!$A$1:$F$1,0),0)</f>
        <v>No.</v>
      </c>
      <c r="J93" s="7">
        <f>VLOOKUP($B93,PRODUCT_MASTER!$A:$F,MATCH('FINAL DATA'!J$1,PRODUCT_MASTER!$A$1:$F$1,0),0)</f>
        <v>37</v>
      </c>
      <c r="K93" s="7">
        <f>VLOOKUP($B93,PRODUCT_MASTER!$A:$F,MATCH('FINAL DATA'!K$1,PRODUCT_MASTER!$A$1:$F$1,0),0)</f>
        <v>41.81</v>
      </c>
      <c r="L93" s="7">
        <f t="shared" si="5"/>
        <v>370</v>
      </c>
      <c r="M93" s="7">
        <f t="shared" si="6"/>
        <v>418.1</v>
      </c>
      <c r="N93">
        <f t="shared" si="7"/>
        <v>23</v>
      </c>
      <c r="O93" t="str">
        <f t="shared" si="8"/>
        <v>Apr</v>
      </c>
      <c r="P93">
        <f t="shared" si="9"/>
        <v>2021</v>
      </c>
    </row>
    <row r="94" spans="1:16" x14ac:dyDescent="0.2">
      <c r="A94" s="1">
        <v>44310</v>
      </c>
      <c r="B94" t="s">
        <v>65</v>
      </c>
      <c r="C94">
        <v>2</v>
      </c>
      <c r="D94" t="s">
        <v>101</v>
      </c>
      <c r="E94" t="s">
        <v>101</v>
      </c>
      <c r="F94" s="5">
        <v>0</v>
      </c>
      <c r="G94" t="str">
        <f>VLOOKUP($B94,PRODUCT_MASTER!$A:$F,MATCH('FINAL DATA'!G$1,PRODUCT_MASTER!$A$1:$F$1,0),0)</f>
        <v>Product30</v>
      </c>
      <c r="H94" t="str">
        <f>VLOOKUP($B94,PRODUCT_MASTER!$A:$F,MATCH('FINAL DATA'!H$1,PRODUCT_MASTER!$A$1:$F$1,0),0)</f>
        <v>Cheese And Dairy</v>
      </c>
      <c r="I94" t="str">
        <f>VLOOKUP($B94,PRODUCT_MASTER!$A:$F,MATCH('FINAL DATA'!I$1,PRODUCT_MASTER!$A$1:$F$1,0),0)</f>
        <v>Ft</v>
      </c>
      <c r="J94" s="7">
        <f>VLOOKUP($B94,PRODUCT_MASTER!$A:$F,MATCH('FINAL DATA'!J$1,PRODUCT_MASTER!$A$1:$F$1,0),0)</f>
        <v>148</v>
      </c>
      <c r="K94" s="7">
        <f>VLOOKUP($B94,PRODUCT_MASTER!$A:$F,MATCH('FINAL DATA'!K$1,PRODUCT_MASTER!$A$1:$F$1,0),0)</f>
        <v>201.28</v>
      </c>
      <c r="L94" s="7">
        <f t="shared" si="5"/>
        <v>296</v>
      </c>
      <c r="M94" s="7">
        <f t="shared" si="6"/>
        <v>402.56</v>
      </c>
      <c r="N94">
        <f t="shared" si="7"/>
        <v>24</v>
      </c>
      <c r="O94" t="str">
        <f t="shared" si="8"/>
        <v>Apr</v>
      </c>
      <c r="P94">
        <f t="shared" si="9"/>
        <v>2021</v>
      </c>
    </row>
    <row r="95" spans="1:16" x14ac:dyDescent="0.2">
      <c r="A95" s="1">
        <v>44312</v>
      </c>
      <c r="B95" t="s">
        <v>79</v>
      </c>
      <c r="C95">
        <v>3</v>
      </c>
      <c r="D95" t="s">
        <v>103</v>
      </c>
      <c r="E95" t="s">
        <v>101</v>
      </c>
      <c r="F95" s="5">
        <v>0</v>
      </c>
      <c r="G95" t="str">
        <f>VLOOKUP($B95,PRODUCT_MASTER!$A:$F,MATCH('FINAL DATA'!G$1,PRODUCT_MASTER!$A$1:$F$1,0),0)</f>
        <v>Product37</v>
      </c>
      <c r="H95" t="str">
        <f>VLOOKUP($B95,PRODUCT_MASTER!$A:$F,MATCH('FINAL DATA'!H$1,PRODUCT_MASTER!$A$1:$F$1,0),0)</f>
        <v>Snacks</v>
      </c>
      <c r="I95" t="str">
        <f>VLOOKUP($B95,PRODUCT_MASTER!$A:$F,MATCH('FINAL DATA'!I$1,PRODUCT_MASTER!$A$1:$F$1,0),0)</f>
        <v>Kg</v>
      </c>
      <c r="J95" s="7">
        <f>VLOOKUP($B95,PRODUCT_MASTER!$A:$F,MATCH('FINAL DATA'!J$1,PRODUCT_MASTER!$A$1:$F$1,0),0)</f>
        <v>67</v>
      </c>
      <c r="K95" s="7">
        <f>VLOOKUP($B95,PRODUCT_MASTER!$A:$F,MATCH('FINAL DATA'!K$1,PRODUCT_MASTER!$A$1:$F$1,0),0)</f>
        <v>85.76</v>
      </c>
      <c r="L95" s="7">
        <f t="shared" si="5"/>
        <v>201</v>
      </c>
      <c r="M95" s="7">
        <f t="shared" si="6"/>
        <v>257.28000000000003</v>
      </c>
      <c r="N95">
        <f t="shared" si="7"/>
        <v>26</v>
      </c>
      <c r="O95" t="str">
        <f t="shared" si="8"/>
        <v>Apr</v>
      </c>
      <c r="P95">
        <f t="shared" si="9"/>
        <v>2021</v>
      </c>
    </row>
    <row r="96" spans="1:16" x14ac:dyDescent="0.2">
      <c r="A96" s="1">
        <v>44315</v>
      </c>
      <c r="B96" t="s">
        <v>65</v>
      </c>
      <c r="C96">
        <v>7</v>
      </c>
      <c r="D96" t="s">
        <v>103</v>
      </c>
      <c r="E96" t="s">
        <v>101</v>
      </c>
      <c r="F96" s="5">
        <v>0</v>
      </c>
      <c r="G96" t="str">
        <f>VLOOKUP($B96,PRODUCT_MASTER!$A:$F,MATCH('FINAL DATA'!G$1,PRODUCT_MASTER!$A$1:$F$1,0),0)</f>
        <v>Product30</v>
      </c>
      <c r="H96" t="str">
        <f>VLOOKUP($B96,PRODUCT_MASTER!$A:$F,MATCH('FINAL DATA'!H$1,PRODUCT_MASTER!$A$1:$F$1,0),0)</f>
        <v>Cheese And Dairy</v>
      </c>
      <c r="I96" t="str">
        <f>VLOOKUP($B96,PRODUCT_MASTER!$A:$F,MATCH('FINAL DATA'!I$1,PRODUCT_MASTER!$A$1:$F$1,0),0)</f>
        <v>Ft</v>
      </c>
      <c r="J96" s="7">
        <f>VLOOKUP($B96,PRODUCT_MASTER!$A:$F,MATCH('FINAL DATA'!J$1,PRODUCT_MASTER!$A$1:$F$1,0),0)</f>
        <v>148</v>
      </c>
      <c r="K96" s="7">
        <f>VLOOKUP($B96,PRODUCT_MASTER!$A:$F,MATCH('FINAL DATA'!K$1,PRODUCT_MASTER!$A$1:$F$1,0),0)</f>
        <v>201.28</v>
      </c>
      <c r="L96" s="7">
        <f t="shared" si="5"/>
        <v>1036</v>
      </c>
      <c r="M96" s="7">
        <f t="shared" si="6"/>
        <v>1408.96</v>
      </c>
      <c r="N96">
        <f t="shared" si="7"/>
        <v>29</v>
      </c>
      <c r="O96" t="str">
        <f t="shared" si="8"/>
        <v>Apr</v>
      </c>
      <c r="P96">
        <f t="shared" si="9"/>
        <v>2021</v>
      </c>
    </row>
    <row r="97" spans="1:16" x14ac:dyDescent="0.2">
      <c r="A97" s="1">
        <v>44316</v>
      </c>
      <c r="B97" t="s">
        <v>63</v>
      </c>
      <c r="C97">
        <v>1</v>
      </c>
      <c r="D97" t="s">
        <v>103</v>
      </c>
      <c r="E97" t="s">
        <v>101</v>
      </c>
      <c r="F97" s="5">
        <v>0</v>
      </c>
      <c r="G97" t="str">
        <f>VLOOKUP($B97,PRODUCT_MASTER!$A:$F,MATCH('FINAL DATA'!G$1,PRODUCT_MASTER!$A$1:$F$1,0),0)</f>
        <v>Product29</v>
      </c>
      <c r="H97" t="str">
        <f>VLOOKUP($B97,PRODUCT_MASTER!$A:$F,MATCH('FINAL DATA'!H$1,PRODUCT_MASTER!$A$1:$F$1,0),0)</f>
        <v>Cheese And Dairy</v>
      </c>
      <c r="I97" t="str">
        <f>VLOOKUP($B97,PRODUCT_MASTER!$A:$F,MATCH('FINAL DATA'!I$1,PRODUCT_MASTER!$A$1:$F$1,0),0)</f>
        <v>Lt</v>
      </c>
      <c r="J97" s="7">
        <f>VLOOKUP($B97,PRODUCT_MASTER!$A:$F,MATCH('FINAL DATA'!J$1,PRODUCT_MASTER!$A$1:$F$1,0),0)</f>
        <v>47</v>
      </c>
      <c r="K97" s="7">
        <f>VLOOKUP($B97,PRODUCT_MASTER!$A:$F,MATCH('FINAL DATA'!K$1,PRODUCT_MASTER!$A$1:$F$1,0),0)</f>
        <v>53.11</v>
      </c>
      <c r="L97" s="7">
        <f t="shared" si="5"/>
        <v>47</v>
      </c>
      <c r="M97" s="7">
        <f t="shared" si="6"/>
        <v>53.11</v>
      </c>
      <c r="N97">
        <f t="shared" si="7"/>
        <v>30</v>
      </c>
      <c r="O97" t="str">
        <f t="shared" si="8"/>
        <v>Apr</v>
      </c>
      <c r="P97">
        <f t="shared" si="9"/>
        <v>2021</v>
      </c>
    </row>
    <row r="98" spans="1:16" x14ac:dyDescent="0.2">
      <c r="A98" s="1">
        <v>44317</v>
      </c>
      <c r="B98" t="s">
        <v>41</v>
      </c>
      <c r="C98">
        <v>3</v>
      </c>
      <c r="D98" t="s">
        <v>101</v>
      </c>
      <c r="E98" t="s">
        <v>102</v>
      </c>
      <c r="F98" s="5">
        <v>0</v>
      </c>
      <c r="G98" t="str">
        <f>VLOOKUP($B98,PRODUCT_MASTER!$A:$F,MATCH('FINAL DATA'!G$1,PRODUCT_MASTER!$A$1:$F$1,0),0)</f>
        <v>Product18</v>
      </c>
      <c r="H98" t="str">
        <f>VLOOKUP($B98,PRODUCT_MASTER!$A:$F,MATCH('FINAL DATA'!H$1,PRODUCT_MASTER!$A$1:$F$1,0),0)</f>
        <v>Poultry</v>
      </c>
      <c r="I98" t="str">
        <f>VLOOKUP($B98,PRODUCT_MASTER!$A:$F,MATCH('FINAL DATA'!I$1,PRODUCT_MASTER!$A$1:$F$1,0),0)</f>
        <v>No.</v>
      </c>
      <c r="J98" s="7">
        <f>VLOOKUP($B98,PRODUCT_MASTER!$A:$F,MATCH('FINAL DATA'!J$1,PRODUCT_MASTER!$A$1:$F$1,0),0)</f>
        <v>37</v>
      </c>
      <c r="K98" s="7">
        <f>VLOOKUP($B98,PRODUCT_MASTER!$A:$F,MATCH('FINAL DATA'!K$1,PRODUCT_MASTER!$A$1:$F$1,0),0)</f>
        <v>49.21</v>
      </c>
      <c r="L98" s="7">
        <f t="shared" si="5"/>
        <v>111</v>
      </c>
      <c r="M98" s="7">
        <f t="shared" si="6"/>
        <v>147.63</v>
      </c>
      <c r="N98">
        <f t="shared" si="7"/>
        <v>1</v>
      </c>
      <c r="O98" t="str">
        <f t="shared" si="8"/>
        <v>May</v>
      </c>
      <c r="P98">
        <f t="shared" si="9"/>
        <v>2021</v>
      </c>
    </row>
    <row r="99" spans="1:16" x14ac:dyDescent="0.2">
      <c r="A99" s="1">
        <v>44317</v>
      </c>
      <c r="B99" t="s">
        <v>89</v>
      </c>
      <c r="C99">
        <v>1</v>
      </c>
      <c r="D99" t="s">
        <v>101</v>
      </c>
      <c r="E99" t="s">
        <v>102</v>
      </c>
      <c r="F99" s="5">
        <v>0</v>
      </c>
      <c r="G99" t="str">
        <f>VLOOKUP($B99,PRODUCT_MASTER!$A:$F,MATCH('FINAL DATA'!G$1,PRODUCT_MASTER!$A$1:$F$1,0),0)</f>
        <v>Product42</v>
      </c>
      <c r="H99" t="str">
        <f>VLOOKUP($B99,PRODUCT_MASTER!$A:$F,MATCH('FINAL DATA'!H$1,PRODUCT_MASTER!$A$1:$F$1,0),0)</f>
        <v>Candy</v>
      </c>
      <c r="I99" t="str">
        <f>VLOOKUP($B99,PRODUCT_MASTER!$A:$F,MATCH('FINAL DATA'!I$1,PRODUCT_MASTER!$A$1:$F$1,0),0)</f>
        <v>Ft</v>
      </c>
      <c r="J99" s="7">
        <f>VLOOKUP($B99,PRODUCT_MASTER!$A:$F,MATCH('FINAL DATA'!J$1,PRODUCT_MASTER!$A$1:$F$1,0),0)</f>
        <v>120</v>
      </c>
      <c r="K99" s="7">
        <f>VLOOKUP($B99,PRODUCT_MASTER!$A:$F,MATCH('FINAL DATA'!K$1,PRODUCT_MASTER!$A$1:$F$1,0),0)</f>
        <v>162</v>
      </c>
      <c r="L99" s="7">
        <f t="shared" si="5"/>
        <v>120</v>
      </c>
      <c r="M99" s="7">
        <f t="shared" si="6"/>
        <v>162</v>
      </c>
      <c r="N99">
        <f t="shared" si="7"/>
        <v>1</v>
      </c>
      <c r="O99" t="str">
        <f t="shared" si="8"/>
        <v>May</v>
      </c>
      <c r="P99">
        <f t="shared" si="9"/>
        <v>2021</v>
      </c>
    </row>
    <row r="100" spans="1:16" x14ac:dyDescent="0.2">
      <c r="A100" s="1">
        <v>44319</v>
      </c>
      <c r="B100" t="s">
        <v>73</v>
      </c>
      <c r="C100">
        <v>3</v>
      </c>
      <c r="D100" t="s">
        <v>101</v>
      </c>
      <c r="E100" t="s">
        <v>101</v>
      </c>
      <c r="F100" s="5">
        <v>0</v>
      </c>
      <c r="G100" t="str">
        <f>VLOOKUP($B100,PRODUCT_MASTER!$A:$F,MATCH('FINAL DATA'!G$1,PRODUCT_MASTER!$A$1:$F$1,0),0)</f>
        <v>Product34</v>
      </c>
      <c r="H100" t="str">
        <f>VLOOKUP($B100,PRODUCT_MASTER!$A:$F,MATCH('FINAL DATA'!H$1,PRODUCT_MASTER!$A$1:$F$1,0),0)</f>
        <v>Bakery And Desserts</v>
      </c>
      <c r="I100" t="str">
        <f>VLOOKUP($B100,PRODUCT_MASTER!$A:$F,MATCH('FINAL DATA'!I$1,PRODUCT_MASTER!$A$1:$F$1,0),0)</f>
        <v>Lt</v>
      </c>
      <c r="J100" s="7">
        <f>VLOOKUP($B100,PRODUCT_MASTER!$A:$F,MATCH('FINAL DATA'!J$1,PRODUCT_MASTER!$A$1:$F$1,0),0)</f>
        <v>55</v>
      </c>
      <c r="K100" s="7">
        <f>VLOOKUP($B100,PRODUCT_MASTER!$A:$F,MATCH('FINAL DATA'!K$1,PRODUCT_MASTER!$A$1:$F$1,0),0)</f>
        <v>58.3</v>
      </c>
      <c r="L100" s="7">
        <f t="shared" si="5"/>
        <v>165</v>
      </c>
      <c r="M100" s="7">
        <f t="shared" si="6"/>
        <v>174.89999999999998</v>
      </c>
      <c r="N100">
        <f t="shared" si="7"/>
        <v>3</v>
      </c>
      <c r="O100" t="str">
        <f t="shared" si="8"/>
        <v>May</v>
      </c>
      <c r="P100">
        <f t="shared" si="9"/>
        <v>2021</v>
      </c>
    </row>
    <row r="101" spans="1:16" x14ac:dyDescent="0.2">
      <c r="A101" s="1">
        <v>44320</v>
      </c>
      <c r="B101" t="s">
        <v>35</v>
      </c>
      <c r="C101">
        <v>13</v>
      </c>
      <c r="D101" t="s">
        <v>101</v>
      </c>
      <c r="E101" t="s">
        <v>101</v>
      </c>
      <c r="F101" s="5">
        <v>0</v>
      </c>
      <c r="G101" t="str">
        <f>VLOOKUP($B101,PRODUCT_MASTER!$A:$F,MATCH('FINAL DATA'!G$1,PRODUCT_MASTER!$A$1:$F$1,0),0)</f>
        <v>Product15</v>
      </c>
      <c r="H101" t="str">
        <f>VLOOKUP($B101,PRODUCT_MASTER!$A:$F,MATCH('FINAL DATA'!H$1,PRODUCT_MASTER!$A$1:$F$1,0),0)</f>
        <v>Meat</v>
      </c>
      <c r="I101" t="str">
        <f>VLOOKUP($B101,PRODUCT_MASTER!$A:$F,MATCH('FINAL DATA'!I$1,PRODUCT_MASTER!$A$1:$F$1,0),0)</f>
        <v>No.</v>
      </c>
      <c r="J101" s="7">
        <f>VLOOKUP($B101,PRODUCT_MASTER!$A:$F,MATCH('FINAL DATA'!J$1,PRODUCT_MASTER!$A$1:$F$1,0),0)</f>
        <v>12</v>
      </c>
      <c r="K101" s="7">
        <f>VLOOKUP($B101,PRODUCT_MASTER!$A:$F,MATCH('FINAL DATA'!K$1,PRODUCT_MASTER!$A$1:$F$1,0),0)</f>
        <v>15.719999999999999</v>
      </c>
      <c r="L101" s="7">
        <f t="shared" si="5"/>
        <v>156</v>
      </c>
      <c r="M101" s="7">
        <f t="shared" si="6"/>
        <v>204.35999999999999</v>
      </c>
      <c r="N101">
        <f t="shared" si="7"/>
        <v>4</v>
      </c>
      <c r="O101" t="str">
        <f t="shared" si="8"/>
        <v>May</v>
      </c>
      <c r="P101">
        <f t="shared" si="9"/>
        <v>2021</v>
      </c>
    </row>
    <row r="102" spans="1:16" x14ac:dyDescent="0.2">
      <c r="A102" s="1">
        <v>44320</v>
      </c>
      <c r="B102" t="s">
        <v>33</v>
      </c>
      <c r="C102">
        <v>4</v>
      </c>
      <c r="D102" t="s">
        <v>103</v>
      </c>
      <c r="E102" t="s">
        <v>102</v>
      </c>
      <c r="F102" s="5">
        <v>0</v>
      </c>
      <c r="G102" t="str">
        <f>VLOOKUP($B102,PRODUCT_MASTER!$A:$F,MATCH('FINAL DATA'!G$1,PRODUCT_MASTER!$A$1:$F$1,0),0)</f>
        <v>Product14</v>
      </c>
      <c r="H102" t="str">
        <f>VLOOKUP($B102,PRODUCT_MASTER!$A:$F,MATCH('FINAL DATA'!H$1,PRODUCT_MASTER!$A$1:$F$1,0),0)</f>
        <v>Meat</v>
      </c>
      <c r="I102" t="str">
        <f>VLOOKUP($B102,PRODUCT_MASTER!$A:$F,MATCH('FINAL DATA'!I$1,PRODUCT_MASTER!$A$1:$F$1,0),0)</f>
        <v>Kg</v>
      </c>
      <c r="J102" s="7">
        <f>VLOOKUP($B102,PRODUCT_MASTER!$A:$F,MATCH('FINAL DATA'!J$1,PRODUCT_MASTER!$A$1:$F$1,0),0)</f>
        <v>112</v>
      </c>
      <c r="K102" s="7">
        <f>VLOOKUP($B102,PRODUCT_MASTER!$A:$F,MATCH('FINAL DATA'!K$1,PRODUCT_MASTER!$A$1:$F$1,0),0)</f>
        <v>146.72</v>
      </c>
      <c r="L102" s="7">
        <f t="shared" si="5"/>
        <v>448</v>
      </c>
      <c r="M102" s="7">
        <f t="shared" si="6"/>
        <v>586.88</v>
      </c>
      <c r="N102">
        <f t="shared" si="7"/>
        <v>4</v>
      </c>
      <c r="O102" t="str">
        <f t="shared" si="8"/>
        <v>May</v>
      </c>
      <c r="P102">
        <f t="shared" si="9"/>
        <v>2021</v>
      </c>
    </row>
    <row r="103" spans="1:16" x14ac:dyDescent="0.2">
      <c r="A103" s="1">
        <v>44321</v>
      </c>
      <c r="B103" t="s">
        <v>23</v>
      </c>
      <c r="C103">
        <v>13</v>
      </c>
      <c r="D103" t="s">
        <v>103</v>
      </c>
      <c r="E103" t="s">
        <v>102</v>
      </c>
      <c r="F103" s="5">
        <v>0</v>
      </c>
      <c r="G103" t="str">
        <f>VLOOKUP($B103,PRODUCT_MASTER!$A:$F,MATCH('FINAL DATA'!G$1,PRODUCT_MASTER!$A$1:$F$1,0),0)</f>
        <v>Product09</v>
      </c>
      <c r="H103" t="str">
        <f>VLOOKUP($B103,PRODUCT_MASTER!$A:$F,MATCH('FINAL DATA'!H$1,PRODUCT_MASTER!$A$1:$F$1,0),0)</f>
        <v>Gourmet Foods</v>
      </c>
      <c r="I103" t="str">
        <f>VLOOKUP($B103,PRODUCT_MASTER!$A:$F,MATCH('FINAL DATA'!I$1,PRODUCT_MASTER!$A$1:$F$1,0),0)</f>
        <v>No.</v>
      </c>
      <c r="J103" s="7">
        <f>VLOOKUP($B103,PRODUCT_MASTER!$A:$F,MATCH('FINAL DATA'!J$1,PRODUCT_MASTER!$A$1:$F$1,0),0)</f>
        <v>6</v>
      </c>
      <c r="K103" s="7">
        <f>VLOOKUP($B103,PRODUCT_MASTER!$A:$F,MATCH('FINAL DATA'!K$1,PRODUCT_MASTER!$A$1:$F$1,0),0)</f>
        <v>7.8599999999999994</v>
      </c>
      <c r="L103" s="7">
        <f t="shared" si="5"/>
        <v>78</v>
      </c>
      <c r="M103" s="7">
        <f t="shared" si="6"/>
        <v>102.17999999999999</v>
      </c>
      <c r="N103">
        <f t="shared" si="7"/>
        <v>5</v>
      </c>
      <c r="O103" t="str">
        <f t="shared" si="8"/>
        <v>May</v>
      </c>
      <c r="P103">
        <f t="shared" si="9"/>
        <v>2021</v>
      </c>
    </row>
    <row r="104" spans="1:16" x14ac:dyDescent="0.2">
      <c r="A104" s="1">
        <v>44322</v>
      </c>
      <c r="B104" t="s">
        <v>21</v>
      </c>
      <c r="C104">
        <v>15</v>
      </c>
      <c r="D104" t="s">
        <v>103</v>
      </c>
      <c r="E104" t="s">
        <v>101</v>
      </c>
      <c r="F104" s="5">
        <v>0</v>
      </c>
      <c r="G104" t="str">
        <f>VLOOKUP($B104,PRODUCT_MASTER!$A:$F,MATCH('FINAL DATA'!G$1,PRODUCT_MASTER!$A$1:$F$1,0),0)</f>
        <v>Product08</v>
      </c>
      <c r="H104" t="str">
        <f>VLOOKUP($B104,PRODUCT_MASTER!$A:$F,MATCH('FINAL DATA'!H$1,PRODUCT_MASTER!$A$1:$F$1,0),0)</f>
        <v>Gourmet Foods</v>
      </c>
      <c r="I104" t="str">
        <f>VLOOKUP($B104,PRODUCT_MASTER!$A:$F,MATCH('FINAL DATA'!I$1,PRODUCT_MASTER!$A$1:$F$1,0),0)</f>
        <v>Kg</v>
      </c>
      <c r="J104" s="7">
        <f>VLOOKUP($B104,PRODUCT_MASTER!$A:$F,MATCH('FINAL DATA'!J$1,PRODUCT_MASTER!$A$1:$F$1,0),0)</f>
        <v>83</v>
      </c>
      <c r="K104" s="7">
        <f>VLOOKUP($B104,PRODUCT_MASTER!$A:$F,MATCH('FINAL DATA'!K$1,PRODUCT_MASTER!$A$1:$F$1,0),0)</f>
        <v>94.62</v>
      </c>
      <c r="L104" s="7">
        <f t="shared" si="5"/>
        <v>1245</v>
      </c>
      <c r="M104" s="7">
        <f t="shared" si="6"/>
        <v>1419.3000000000002</v>
      </c>
      <c r="N104">
        <f t="shared" si="7"/>
        <v>6</v>
      </c>
      <c r="O104" t="str">
        <f t="shared" si="8"/>
        <v>May</v>
      </c>
      <c r="P104">
        <f t="shared" si="9"/>
        <v>2021</v>
      </c>
    </row>
    <row r="105" spans="1:16" x14ac:dyDescent="0.2">
      <c r="A105" s="1">
        <v>44322</v>
      </c>
      <c r="B105" t="s">
        <v>23</v>
      </c>
      <c r="C105">
        <v>6</v>
      </c>
      <c r="D105" t="s">
        <v>101</v>
      </c>
      <c r="E105" t="s">
        <v>101</v>
      </c>
      <c r="F105" s="5">
        <v>0</v>
      </c>
      <c r="G105" t="str">
        <f>VLOOKUP($B105,PRODUCT_MASTER!$A:$F,MATCH('FINAL DATA'!G$1,PRODUCT_MASTER!$A$1:$F$1,0),0)</f>
        <v>Product09</v>
      </c>
      <c r="H105" t="str">
        <f>VLOOKUP($B105,PRODUCT_MASTER!$A:$F,MATCH('FINAL DATA'!H$1,PRODUCT_MASTER!$A$1:$F$1,0),0)</f>
        <v>Gourmet Foods</v>
      </c>
      <c r="I105" t="str">
        <f>VLOOKUP($B105,PRODUCT_MASTER!$A:$F,MATCH('FINAL DATA'!I$1,PRODUCT_MASTER!$A$1:$F$1,0),0)</f>
        <v>No.</v>
      </c>
      <c r="J105" s="7">
        <f>VLOOKUP($B105,PRODUCT_MASTER!$A:$F,MATCH('FINAL DATA'!J$1,PRODUCT_MASTER!$A$1:$F$1,0),0)</f>
        <v>6</v>
      </c>
      <c r="K105" s="7">
        <f>VLOOKUP($B105,PRODUCT_MASTER!$A:$F,MATCH('FINAL DATA'!K$1,PRODUCT_MASTER!$A$1:$F$1,0),0)</f>
        <v>7.8599999999999994</v>
      </c>
      <c r="L105" s="7">
        <f t="shared" si="5"/>
        <v>36</v>
      </c>
      <c r="M105" s="7">
        <f t="shared" si="6"/>
        <v>47.16</v>
      </c>
      <c r="N105">
        <f t="shared" si="7"/>
        <v>6</v>
      </c>
      <c r="O105" t="str">
        <f t="shared" si="8"/>
        <v>May</v>
      </c>
      <c r="P105">
        <f t="shared" si="9"/>
        <v>2021</v>
      </c>
    </row>
    <row r="106" spans="1:16" x14ac:dyDescent="0.2">
      <c r="A106" s="1">
        <v>44323</v>
      </c>
      <c r="B106" t="s">
        <v>41</v>
      </c>
      <c r="C106">
        <v>1</v>
      </c>
      <c r="D106" t="s">
        <v>103</v>
      </c>
      <c r="E106" t="s">
        <v>102</v>
      </c>
      <c r="F106" s="5">
        <v>0</v>
      </c>
      <c r="G106" t="str">
        <f>VLOOKUP($B106,PRODUCT_MASTER!$A:$F,MATCH('FINAL DATA'!G$1,PRODUCT_MASTER!$A$1:$F$1,0),0)</f>
        <v>Product18</v>
      </c>
      <c r="H106" t="str">
        <f>VLOOKUP($B106,PRODUCT_MASTER!$A:$F,MATCH('FINAL DATA'!H$1,PRODUCT_MASTER!$A$1:$F$1,0),0)</f>
        <v>Poultry</v>
      </c>
      <c r="I106" t="str">
        <f>VLOOKUP($B106,PRODUCT_MASTER!$A:$F,MATCH('FINAL DATA'!I$1,PRODUCT_MASTER!$A$1:$F$1,0),0)</f>
        <v>No.</v>
      </c>
      <c r="J106" s="7">
        <f>VLOOKUP($B106,PRODUCT_MASTER!$A:$F,MATCH('FINAL DATA'!J$1,PRODUCT_MASTER!$A$1:$F$1,0),0)</f>
        <v>37</v>
      </c>
      <c r="K106" s="7">
        <f>VLOOKUP($B106,PRODUCT_MASTER!$A:$F,MATCH('FINAL DATA'!K$1,PRODUCT_MASTER!$A$1:$F$1,0),0)</f>
        <v>49.21</v>
      </c>
      <c r="L106" s="7">
        <f t="shared" si="5"/>
        <v>37</v>
      </c>
      <c r="M106" s="7">
        <f t="shared" si="6"/>
        <v>49.21</v>
      </c>
      <c r="N106">
        <f t="shared" si="7"/>
        <v>7</v>
      </c>
      <c r="O106" t="str">
        <f t="shared" si="8"/>
        <v>May</v>
      </c>
      <c r="P106">
        <f t="shared" si="9"/>
        <v>2021</v>
      </c>
    </row>
    <row r="107" spans="1:16" x14ac:dyDescent="0.2">
      <c r="A107" s="1">
        <v>44325</v>
      </c>
      <c r="B107" t="s">
        <v>37</v>
      </c>
      <c r="C107">
        <v>6</v>
      </c>
      <c r="D107" t="s">
        <v>101</v>
      </c>
      <c r="E107" t="s">
        <v>101</v>
      </c>
      <c r="F107" s="5">
        <v>0</v>
      </c>
      <c r="G107" t="str">
        <f>VLOOKUP($B107,PRODUCT_MASTER!$A:$F,MATCH('FINAL DATA'!G$1,PRODUCT_MASTER!$A$1:$F$1,0),0)</f>
        <v>Product16</v>
      </c>
      <c r="H107" t="str">
        <f>VLOOKUP($B107,PRODUCT_MASTER!$A:$F,MATCH('FINAL DATA'!H$1,PRODUCT_MASTER!$A$1:$F$1,0),0)</f>
        <v>Meat</v>
      </c>
      <c r="I107" t="str">
        <f>VLOOKUP($B107,PRODUCT_MASTER!$A:$F,MATCH('FINAL DATA'!I$1,PRODUCT_MASTER!$A$1:$F$1,0),0)</f>
        <v>No.</v>
      </c>
      <c r="J107" s="7">
        <f>VLOOKUP($B107,PRODUCT_MASTER!$A:$F,MATCH('FINAL DATA'!J$1,PRODUCT_MASTER!$A$1:$F$1,0),0)</f>
        <v>13</v>
      </c>
      <c r="K107" s="7">
        <f>VLOOKUP($B107,PRODUCT_MASTER!$A:$F,MATCH('FINAL DATA'!K$1,PRODUCT_MASTER!$A$1:$F$1,0),0)</f>
        <v>16.64</v>
      </c>
      <c r="L107" s="7">
        <f t="shared" si="5"/>
        <v>78</v>
      </c>
      <c r="M107" s="7">
        <f t="shared" si="6"/>
        <v>99.84</v>
      </c>
      <c r="N107">
        <f t="shared" si="7"/>
        <v>9</v>
      </c>
      <c r="O107" t="str">
        <f t="shared" si="8"/>
        <v>May</v>
      </c>
      <c r="P107">
        <f t="shared" si="9"/>
        <v>2021</v>
      </c>
    </row>
    <row r="108" spans="1:16" x14ac:dyDescent="0.2">
      <c r="A108" s="1">
        <v>44325</v>
      </c>
      <c r="B108" t="s">
        <v>61</v>
      </c>
      <c r="C108">
        <v>8</v>
      </c>
      <c r="D108" t="s">
        <v>103</v>
      </c>
      <c r="E108" t="s">
        <v>102</v>
      </c>
      <c r="F108" s="5">
        <v>0</v>
      </c>
      <c r="G108" t="str">
        <f>VLOOKUP($B108,PRODUCT_MASTER!$A:$F,MATCH('FINAL DATA'!G$1,PRODUCT_MASTER!$A$1:$F$1,0),0)</f>
        <v>Product28</v>
      </c>
      <c r="H108" t="str">
        <f>VLOOKUP($B108,PRODUCT_MASTER!$A:$F,MATCH('FINAL DATA'!H$1,PRODUCT_MASTER!$A$1:$F$1,0),0)</f>
        <v>Cheese And Dairy</v>
      </c>
      <c r="I108" t="str">
        <f>VLOOKUP($B108,PRODUCT_MASTER!$A:$F,MATCH('FINAL DATA'!I$1,PRODUCT_MASTER!$A$1:$F$1,0),0)</f>
        <v>No.</v>
      </c>
      <c r="J108" s="7">
        <f>VLOOKUP($B108,PRODUCT_MASTER!$A:$F,MATCH('FINAL DATA'!J$1,PRODUCT_MASTER!$A$1:$F$1,0),0)</f>
        <v>37</v>
      </c>
      <c r="K108" s="7">
        <f>VLOOKUP($B108,PRODUCT_MASTER!$A:$F,MATCH('FINAL DATA'!K$1,PRODUCT_MASTER!$A$1:$F$1,0),0)</f>
        <v>41.81</v>
      </c>
      <c r="L108" s="7">
        <f t="shared" si="5"/>
        <v>296</v>
      </c>
      <c r="M108" s="7">
        <f t="shared" si="6"/>
        <v>334.48</v>
      </c>
      <c r="N108">
        <f t="shared" si="7"/>
        <v>9</v>
      </c>
      <c r="O108" t="str">
        <f t="shared" si="8"/>
        <v>May</v>
      </c>
      <c r="P108">
        <f t="shared" si="9"/>
        <v>2021</v>
      </c>
    </row>
    <row r="109" spans="1:16" x14ac:dyDescent="0.2">
      <c r="A109" s="1">
        <v>44328</v>
      </c>
      <c r="B109" t="s">
        <v>37</v>
      </c>
      <c r="C109">
        <v>3</v>
      </c>
      <c r="D109" t="s">
        <v>103</v>
      </c>
      <c r="E109" t="s">
        <v>101</v>
      </c>
      <c r="F109" s="5">
        <v>0</v>
      </c>
      <c r="G109" t="str">
        <f>VLOOKUP($B109,PRODUCT_MASTER!$A:$F,MATCH('FINAL DATA'!G$1,PRODUCT_MASTER!$A$1:$F$1,0),0)</f>
        <v>Product16</v>
      </c>
      <c r="H109" t="str">
        <f>VLOOKUP($B109,PRODUCT_MASTER!$A:$F,MATCH('FINAL DATA'!H$1,PRODUCT_MASTER!$A$1:$F$1,0),0)</f>
        <v>Meat</v>
      </c>
      <c r="I109" t="str">
        <f>VLOOKUP($B109,PRODUCT_MASTER!$A:$F,MATCH('FINAL DATA'!I$1,PRODUCT_MASTER!$A$1:$F$1,0),0)</f>
        <v>No.</v>
      </c>
      <c r="J109" s="7">
        <f>VLOOKUP($B109,PRODUCT_MASTER!$A:$F,MATCH('FINAL DATA'!J$1,PRODUCT_MASTER!$A$1:$F$1,0),0)</f>
        <v>13</v>
      </c>
      <c r="K109" s="7">
        <f>VLOOKUP($B109,PRODUCT_MASTER!$A:$F,MATCH('FINAL DATA'!K$1,PRODUCT_MASTER!$A$1:$F$1,0),0)</f>
        <v>16.64</v>
      </c>
      <c r="L109" s="7">
        <f t="shared" si="5"/>
        <v>39</v>
      </c>
      <c r="M109" s="7">
        <f t="shared" si="6"/>
        <v>49.92</v>
      </c>
      <c r="N109">
        <f t="shared" si="7"/>
        <v>12</v>
      </c>
      <c r="O109" t="str">
        <f t="shared" si="8"/>
        <v>May</v>
      </c>
      <c r="P109">
        <f t="shared" si="9"/>
        <v>2021</v>
      </c>
    </row>
    <row r="110" spans="1:16" x14ac:dyDescent="0.2">
      <c r="A110" s="1">
        <v>44328</v>
      </c>
      <c r="B110" t="s">
        <v>75</v>
      </c>
      <c r="C110">
        <v>15</v>
      </c>
      <c r="D110" t="s">
        <v>103</v>
      </c>
      <c r="E110" t="s">
        <v>101</v>
      </c>
      <c r="F110" s="5">
        <v>0</v>
      </c>
      <c r="G110" t="str">
        <f>VLOOKUP($B110,PRODUCT_MASTER!$A:$F,MATCH('FINAL DATA'!G$1,PRODUCT_MASTER!$A$1:$F$1,0),0)</f>
        <v>Product35</v>
      </c>
      <c r="H110" t="str">
        <f>VLOOKUP($B110,PRODUCT_MASTER!$A:$F,MATCH('FINAL DATA'!H$1,PRODUCT_MASTER!$A$1:$F$1,0),0)</f>
        <v>Bakery And Desserts</v>
      </c>
      <c r="I110" t="str">
        <f>VLOOKUP($B110,PRODUCT_MASTER!$A:$F,MATCH('FINAL DATA'!I$1,PRODUCT_MASTER!$A$1:$F$1,0),0)</f>
        <v>No.</v>
      </c>
      <c r="J110" s="7">
        <f>VLOOKUP($B110,PRODUCT_MASTER!$A:$F,MATCH('FINAL DATA'!J$1,PRODUCT_MASTER!$A$1:$F$1,0),0)</f>
        <v>5</v>
      </c>
      <c r="K110" s="7">
        <f>VLOOKUP($B110,PRODUCT_MASTER!$A:$F,MATCH('FINAL DATA'!K$1,PRODUCT_MASTER!$A$1:$F$1,0),0)</f>
        <v>6.7</v>
      </c>
      <c r="L110" s="7">
        <f t="shared" si="5"/>
        <v>75</v>
      </c>
      <c r="M110" s="7">
        <f t="shared" si="6"/>
        <v>100.5</v>
      </c>
      <c r="N110">
        <f t="shared" si="7"/>
        <v>12</v>
      </c>
      <c r="O110" t="str">
        <f t="shared" si="8"/>
        <v>May</v>
      </c>
      <c r="P110">
        <f t="shared" si="9"/>
        <v>2021</v>
      </c>
    </row>
    <row r="111" spans="1:16" x14ac:dyDescent="0.2">
      <c r="A111" s="1">
        <v>44329</v>
      </c>
      <c r="B111" t="s">
        <v>63</v>
      </c>
      <c r="C111">
        <v>4</v>
      </c>
      <c r="D111" t="s">
        <v>103</v>
      </c>
      <c r="E111" t="s">
        <v>101</v>
      </c>
      <c r="F111" s="5">
        <v>0</v>
      </c>
      <c r="G111" t="str">
        <f>VLOOKUP($B111,PRODUCT_MASTER!$A:$F,MATCH('FINAL DATA'!G$1,PRODUCT_MASTER!$A$1:$F$1,0),0)</f>
        <v>Product29</v>
      </c>
      <c r="H111" t="str">
        <f>VLOOKUP($B111,PRODUCT_MASTER!$A:$F,MATCH('FINAL DATA'!H$1,PRODUCT_MASTER!$A$1:$F$1,0),0)</f>
        <v>Cheese And Dairy</v>
      </c>
      <c r="I111" t="str">
        <f>VLOOKUP($B111,PRODUCT_MASTER!$A:$F,MATCH('FINAL DATA'!I$1,PRODUCT_MASTER!$A$1:$F$1,0),0)</f>
        <v>Lt</v>
      </c>
      <c r="J111" s="7">
        <f>VLOOKUP($B111,PRODUCT_MASTER!$A:$F,MATCH('FINAL DATA'!J$1,PRODUCT_MASTER!$A$1:$F$1,0),0)</f>
        <v>47</v>
      </c>
      <c r="K111" s="7">
        <f>VLOOKUP($B111,PRODUCT_MASTER!$A:$F,MATCH('FINAL DATA'!K$1,PRODUCT_MASTER!$A$1:$F$1,0),0)</f>
        <v>53.11</v>
      </c>
      <c r="L111" s="7">
        <f t="shared" si="5"/>
        <v>188</v>
      </c>
      <c r="M111" s="7">
        <f t="shared" si="6"/>
        <v>212.44</v>
      </c>
      <c r="N111">
        <f t="shared" si="7"/>
        <v>13</v>
      </c>
      <c r="O111" t="str">
        <f t="shared" si="8"/>
        <v>May</v>
      </c>
      <c r="P111">
        <f t="shared" si="9"/>
        <v>2021</v>
      </c>
    </row>
    <row r="112" spans="1:16" x14ac:dyDescent="0.2">
      <c r="A112" s="1">
        <v>44336</v>
      </c>
      <c r="B112" t="s">
        <v>89</v>
      </c>
      <c r="C112">
        <v>2</v>
      </c>
      <c r="D112" t="s">
        <v>101</v>
      </c>
      <c r="E112" t="s">
        <v>102</v>
      </c>
      <c r="F112" s="5">
        <v>0</v>
      </c>
      <c r="G112" t="str">
        <f>VLOOKUP($B112,PRODUCT_MASTER!$A:$F,MATCH('FINAL DATA'!G$1,PRODUCT_MASTER!$A$1:$F$1,0),0)</f>
        <v>Product42</v>
      </c>
      <c r="H112" t="str">
        <f>VLOOKUP($B112,PRODUCT_MASTER!$A:$F,MATCH('FINAL DATA'!H$1,PRODUCT_MASTER!$A$1:$F$1,0),0)</f>
        <v>Candy</v>
      </c>
      <c r="I112" t="str">
        <f>VLOOKUP($B112,PRODUCT_MASTER!$A:$F,MATCH('FINAL DATA'!I$1,PRODUCT_MASTER!$A$1:$F$1,0),0)</f>
        <v>Ft</v>
      </c>
      <c r="J112" s="7">
        <f>VLOOKUP($B112,PRODUCT_MASTER!$A:$F,MATCH('FINAL DATA'!J$1,PRODUCT_MASTER!$A$1:$F$1,0),0)</f>
        <v>120</v>
      </c>
      <c r="K112" s="7">
        <f>VLOOKUP($B112,PRODUCT_MASTER!$A:$F,MATCH('FINAL DATA'!K$1,PRODUCT_MASTER!$A$1:$F$1,0),0)</f>
        <v>162</v>
      </c>
      <c r="L112" s="7">
        <f t="shared" si="5"/>
        <v>240</v>
      </c>
      <c r="M112" s="7">
        <f t="shared" si="6"/>
        <v>324</v>
      </c>
      <c r="N112">
        <f t="shared" si="7"/>
        <v>20</v>
      </c>
      <c r="O112" t="str">
        <f t="shared" si="8"/>
        <v>May</v>
      </c>
      <c r="P112">
        <f t="shared" si="9"/>
        <v>2021</v>
      </c>
    </row>
    <row r="113" spans="1:16" x14ac:dyDescent="0.2">
      <c r="A113" s="1">
        <v>44339</v>
      </c>
      <c r="B113" t="s">
        <v>85</v>
      </c>
      <c r="C113">
        <v>11</v>
      </c>
      <c r="D113" t="s">
        <v>103</v>
      </c>
      <c r="E113" t="s">
        <v>101</v>
      </c>
      <c r="F113" s="5">
        <v>0</v>
      </c>
      <c r="G113" t="str">
        <f>VLOOKUP($B113,PRODUCT_MASTER!$A:$F,MATCH('FINAL DATA'!G$1,PRODUCT_MASTER!$A$1:$F$1,0),0)</f>
        <v>Product40</v>
      </c>
      <c r="H113" t="str">
        <f>VLOOKUP($B113,PRODUCT_MASTER!$A:$F,MATCH('FINAL DATA'!H$1,PRODUCT_MASTER!$A$1:$F$1,0),0)</f>
        <v>Snacks</v>
      </c>
      <c r="I113" t="str">
        <f>VLOOKUP($B113,PRODUCT_MASTER!$A:$F,MATCH('FINAL DATA'!I$1,PRODUCT_MASTER!$A$1:$F$1,0),0)</f>
        <v>Kg</v>
      </c>
      <c r="J113" s="7">
        <f>VLOOKUP($B113,PRODUCT_MASTER!$A:$F,MATCH('FINAL DATA'!J$1,PRODUCT_MASTER!$A$1:$F$1,0),0)</f>
        <v>90</v>
      </c>
      <c r="K113" s="7">
        <f>VLOOKUP($B113,PRODUCT_MASTER!$A:$F,MATCH('FINAL DATA'!K$1,PRODUCT_MASTER!$A$1:$F$1,0),0)</f>
        <v>115.2</v>
      </c>
      <c r="L113" s="7">
        <f t="shared" si="5"/>
        <v>990</v>
      </c>
      <c r="M113" s="7">
        <f t="shared" si="6"/>
        <v>1267.2</v>
      </c>
      <c r="N113">
        <f t="shared" si="7"/>
        <v>23</v>
      </c>
      <c r="O113" t="str">
        <f t="shared" si="8"/>
        <v>May</v>
      </c>
      <c r="P113">
        <f t="shared" si="9"/>
        <v>2021</v>
      </c>
    </row>
    <row r="114" spans="1:16" x14ac:dyDescent="0.2">
      <c r="A114" s="1">
        <v>44346</v>
      </c>
      <c r="B114" t="s">
        <v>51</v>
      </c>
      <c r="C114">
        <v>13</v>
      </c>
      <c r="D114" t="s">
        <v>101</v>
      </c>
      <c r="E114" t="s">
        <v>101</v>
      </c>
      <c r="F114" s="5">
        <v>0</v>
      </c>
      <c r="G114" t="str">
        <f>VLOOKUP($B114,PRODUCT_MASTER!$A:$F,MATCH('FINAL DATA'!G$1,PRODUCT_MASTER!$A$1:$F$1,0),0)</f>
        <v>Product23</v>
      </c>
      <c r="H114" t="str">
        <f>VLOOKUP($B114,PRODUCT_MASTER!$A:$F,MATCH('FINAL DATA'!H$1,PRODUCT_MASTER!$A$1:$F$1,0),0)</f>
        <v>Seafood</v>
      </c>
      <c r="I114" t="str">
        <f>VLOOKUP($B114,PRODUCT_MASTER!$A:$F,MATCH('FINAL DATA'!I$1,PRODUCT_MASTER!$A$1:$F$1,0),0)</f>
        <v>Ft</v>
      </c>
      <c r="J114" s="7">
        <f>VLOOKUP($B114,PRODUCT_MASTER!$A:$F,MATCH('FINAL DATA'!J$1,PRODUCT_MASTER!$A$1:$F$1,0),0)</f>
        <v>141</v>
      </c>
      <c r="K114" s="7">
        <f>VLOOKUP($B114,PRODUCT_MASTER!$A:$F,MATCH('FINAL DATA'!K$1,PRODUCT_MASTER!$A$1:$F$1,0),0)</f>
        <v>149.46</v>
      </c>
      <c r="L114" s="7">
        <f t="shared" si="5"/>
        <v>1833</v>
      </c>
      <c r="M114" s="7">
        <f t="shared" si="6"/>
        <v>1942.98</v>
      </c>
      <c r="N114">
        <f t="shared" si="7"/>
        <v>30</v>
      </c>
      <c r="O114" t="str">
        <f t="shared" si="8"/>
        <v>May</v>
      </c>
      <c r="P114">
        <f t="shared" si="9"/>
        <v>2021</v>
      </c>
    </row>
    <row r="115" spans="1:16" x14ac:dyDescent="0.2">
      <c r="A115" s="1">
        <v>44346</v>
      </c>
      <c r="B115" t="s">
        <v>31</v>
      </c>
      <c r="C115">
        <v>6</v>
      </c>
      <c r="D115" t="s">
        <v>101</v>
      </c>
      <c r="E115" t="s">
        <v>102</v>
      </c>
      <c r="F115" s="5">
        <v>0</v>
      </c>
      <c r="G115" t="str">
        <f>VLOOKUP($B115,PRODUCT_MASTER!$A:$F,MATCH('FINAL DATA'!G$1,PRODUCT_MASTER!$A$1:$F$1,0),0)</f>
        <v>Product13</v>
      </c>
      <c r="H115" t="str">
        <f>VLOOKUP($B115,PRODUCT_MASTER!$A:$F,MATCH('FINAL DATA'!H$1,PRODUCT_MASTER!$A$1:$F$1,0),0)</f>
        <v>Meat</v>
      </c>
      <c r="I115" t="str">
        <f>VLOOKUP($B115,PRODUCT_MASTER!$A:$F,MATCH('FINAL DATA'!I$1,PRODUCT_MASTER!$A$1:$F$1,0),0)</f>
        <v>Kg</v>
      </c>
      <c r="J115" s="7">
        <f>VLOOKUP($B115,PRODUCT_MASTER!$A:$F,MATCH('FINAL DATA'!J$1,PRODUCT_MASTER!$A$1:$F$1,0),0)</f>
        <v>112</v>
      </c>
      <c r="K115" s="7">
        <f>VLOOKUP($B115,PRODUCT_MASTER!$A:$F,MATCH('FINAL DATA'!K$1,PRODUCT_MASTER!$A$1:$F$1,0),0)</f>
        <v>122.08</v>
      </c>
      <c r="L115" s="7">
        <f t="shared" si="5"/>
        <v>672</v>
      </c>
      <c r="M115" s="7">
        <f t="shared" si="6"/>
        <v>732.48</v>
      </c>
      <c r="N115">
        <f t="shared" si="7"/>
        <v>30</v>
      </c>
      <c r="O115" t="str">
        <f t="shared" si="8"/>
        <v>May</v>
      </c>
      <c r="P115">
        <f t="shared" si="9"/>
        <v>2021</v>
      </c>
    </row>
    <row r="116" spans="1:16" x14ac:dyDescent="0.2">
      <c r="A116" s="1">
        <v>44350</v>
      </c>
      <c r="B116" t="s">
        <v>47</v>
      </c>
      <c r="C116">
        <v>10</v>
      </c>
      <c r="D116" t="s">
        <v>103</v>
      </c>
      <c r="E116" t="s">
        <v>102</v>
      </c>
      <c r="F116" s="5">
        <v>0</v>
      </c>
      <c r="G116" t="str">
        <f>VLOOKUP($B116,PRODUCT_MASTER!$A:$F,MATCH('FINAL DATA'!G$1,PRODUCT_MASTER!$A$1:$F$1,0),0)</f>
        <v>Product21</v>
      </c>
      <c r="H116" t="str">
        <f>VLOOKUP($B116,PRODUCT_MASTER!$A:$F,MATCH('FINAL DATA'!H$1,PRODUCT_MASTER!$A$1:$F$1,0),0)</f>
        <v>Poultry</v>
      </c>
      <c r="I116" t="str">
        <f>VLOOKUP($B116,PRODUCT_MASTER!$A:$F,MATCH('FINAL DATA'!I$1,PRODUCT_MASTER!$A$1:$F$1,0),0)</f>
        <v>Ft</v>
      </c>
      <c r="J116" s="7">
        <f>VLOOKUP($B116,PRODUCT_MASTER!$A:$F,MATCH('FINAL DATA'!J$1,PRODUCT_MASTER!$A$1:$F$1,0),0)</f>
        <v>126</v>
      </c>
      <c r="K116" s="7">
        <f>VLOOKUP($B116,PRODUCT_MASTER!$A:$F,MATCH('FINAL DATA'!K$1,PRODUCT_MASTER!$A$1:$F$1,0),0)</f>
        <v>162.54</v>
      </c>
      <c r="L116" s="7">
        <f t="shared" si="5"/>
        <v>1260</v>
      </c>
      <c r="M116" s="7">
        <f t="shared" si="6"/>
        <v>1625.3999999999999</v>
      </c>
      <c r="N116">
        <f t="shared" si="7"/>
        <v>3</v>
      </c>
      <c r="O116" t="str">
        <f t="shared" si="8"/>
        <v>Jun</v>
      </c>
      <c r="P116">
        <f t="shared" si="9"/>
        <v>2021</v>
      </c>
    </row>
    <row r="117" spans="1:16" x14ac:dyDescent="0.2">
      <c r="A117" s="1">
        <v>44351</v>
      </c>
      <c r="B117" t="s">
        <v>45</v>
      </c>
      <c r="C117">
        <v>8</v>
      </c>
      <c r="D117" t="s">
        <v>100</v>
      </c>
      <c r="E117" t="s">
        <v>101</v>
      </c>
      <c r="F117" s="5">
        <v>0</v>
      </c>
      <c r="G117" t="str">
        <f>VLOOKUP($B117,PRODUCT_MASTER!$A:$F,MATCH('FINAL DATA'!G$1,PRODUCT_MASTER!$A$1:$F$1,0),0)</f>
        <v>Product20</v>
      </c>
      <c r="H117" t="str">
        <f>VLOOKUP($B117,PRODUCT_MASTER!$A:$F,MATCH('FINAL DATA'!H$1,PRODUCT_MASTER!$A$1:$F$1,0),0)</f>
        <v>Poultry</v>
      </c>
      <c r="I117" t="str">
        <f>VLOOKUP($B117,PRODUCT_MASTER!$A:$F,MATCH('FINAL DATA'!I$1,PRODUCT_MASTER!$A$1:$F$1,0),0)</f>
        <v>Lt</v>
      </c>
      <c r="J117" s="7">
        <f>VLOOKUP($B117,PRODUCT_MASTER!$A:$F,MATCH('FINAL DATA'!J$1,PRODUCT_MASTER!$A$1:$F$1,0),0)</f>
        <v>61</v>
      </c>
      <c r="K117" s="7">
        <f>VLOOKUP($B117,PRODUCT_MASTER!$A:$F,MATCH('FINAL DATA'!K$1,PRODUCT_MASTER!$A$1:$F$1,0),0)</f>
        <v>76.25</v>
      </c>
      <c r="L117" s="7">
        <f t="shared" si="5"/>
        <v>488</v>
      </c>
      <c r="M117" s="7">
        <f t="shared" si="6"/>
        <v>610</v>
      </c>
      <c r="N117">
        <f t="shared" si="7"/>
        <v>4</v>
      </c>
      <c r="O117" t="str">
        <f t="shared" si="8"/>
        <v>Jun</v>
      </c>
      <c r="P117">
        <f t="shared" si="9"/>
        <v>2021</v>
      </c>
    </row>
    <row r="118" spans="1:16" x14ac:dyDescent="0.2">
      <c r="A118" s="1">
        <v>44351</v>
      </c>
      <c r="B118" t="s">
        <v>45</v>
      </c>
      <c r="C118">
        <v>12</v>
      </c>
      <c r="D118" t="s">
        <v>101</v>
      </c>
      <c r="E118" t="s">
        <v>102</v>
      </c>
      <c r="F118" s="5">
        <v>0</v>
      </c>
      <c r="G118" t="str">
        <f>VLOOKUP($B118,PRODUCT_MASTER!$A:$F,MATCH('FINAL DATA'!G$1,PRODUCT_MASTER!$A$1:$F$1,0),0)</f>
        <v>Product20</v>
      </c>
      <c r="H118" t="str">
        <f>VLOOKUP($B118,PRODUCT_MASTER!$A:$F,MATCH('FINAL DATA'!H$1,PRODUCT_MASTER!$A$1:$F$1,0),0)</f>
        <v>Poultry</v>
      </c>
      <c r="I118" t="str">
        <f>VLOOKUP($B118,PRODUCT_MASTER!$A:$F,MATCH('FINAL DATA'!I$1,PRODUCT_MASTER!$A$1:$F$1,0),0)</f>
        <v>Lt</v>
      </c>
      <c r="J118" s="7">
        <f>VLOOKUP($B118,PRODUCT_MASTER!$A:$F,MATCH('FINAL DATA'!J$1,PRODUCT_MASTER!$A$1:$F$1,0),0)</f>
        <v>61</v>
      </c>
      <c r="K118" s="7">
        <f>VLOOKUP($B118,PRODUCT_MASTER!$A:$F,MATCH('FINAL DATA'!K$1,PRODUCT_MASTER!$A$1:$F$1,0),0)</f>
        <v>76.25</v>
      </c>
      <c r="L118" s="7">
        <f t="shared" si="5"/>
        <v>732</v>
      </c>
      <c r="M118" s="7">
        <f t="shared" si="6"/>
        <v>915</v>
      </c>
      <c r="N118">
        <f t="shared" si="7"/>
        <v>4</v>
      </c>
      <c r="O118" t="str">
        <f t="shared" si="8"/>
        <v>Jun</v>
      </c>
      <c r="P118">
        <f t="shared" si="9"/>
        <v>2021</v>
      </c>
    </row>
    <row r="119" spans="1:16" x14ac:dyDescent="0.2">
      <c r="A119" s="1">
        <v>44352</v>
      </c>
      <c r="B119" t="s">
        <v>49</v>
      </c>
      <c r="C119">
        <v>15</v>
      </c>
      <c r="D119" t="s">
        <v>100</v>
      </c>
      <c r="E119" t="s">
        <v>101</v>
      </c>
      <c r="F119" s="5">
        <v>0</v>
      </c>
      <c r="G119" t="str">
        <f>VLOOKUP($B119,PRODUCT_MASTER!$A:$F,MATCH('FINAL DATA'!G$1,PRODUCT_MASTER!$A$1:$F$1,0),0)</f>
        <v>Product22</v>
      </c>
      <c r="H119" t="str">
        <f>VLOOKUP($B119,PRODUCT_MASTER!$A:$F,MATCH('FINAL DATA'!H$1,PRODUCT_MASTER!$A$1:$F$1,0),0)</f>
        <v>Seafood</v>
      </c>
      <c r="I119" t="str">
        <f>VLOOKUP($B119,PRODUCT_MASTER!$A:$F,MATCH('FINAL DATA'!I$1,PRODUCT_MASTER!$A$1:$F$1,0),0)</f>
        <v>Ft</v>
      </c>
      <c r="J119" s="7">
        <f>VLOOKUP($B119,PRODUCT_MASTER!$A:$F,MATCH('FINAL DATA'!J$1,PRODUCT_MASTER!$A$1:$F$1,0),0)</f>
        <v>121</v>
      </c>
      <c r="K119" s="7">
        <f>VLOOKUP($B119,PRODUCT_MASTER!$A:$F,MATCH('FINAL DATA'!K$1,PRODUCT_MASTER!$A$1:$F$1,0),0)</f>
        <v>141.57</v>
      </c>
      <c r="L119" s="7">
        <f t="shared" si="5"/>
        <v>1815</v>
      </c>
      <c r="M119" s="7">
        <f t="shared" si="6"/>
        <v>2123.5499999999997</v>
      </c>
      <c r="N119">
        <f t="shared" si="7"/>
        <v>5</v>
      </c>
      <c r="O119" t="str">
        <f t="shared" si="8"/>
        <v>Jun</v>
      </c>
      <c r="P119">
        <f t="shared" si="9"/>
        <v>2021</v>
      </c>
    </row>
    <row r="120" spans="1:16" x14ac:dyDescent="0.2">
      <c r="A120" s="1">
        <v>44352</v>
      </c>
      <c r="B120" t="s">
        <v>75</v>
      </c>
      <c r="C120">
        <v>10</v>
      </c>
      <c r="D120" t="s">
        <v>103</v>
      </c>
      <c r="E120" t="s">
        <v>101</v>
      </c>
      <c r="F120" s="5">
        <v>0</v>
      </c>
      <c r="G120" t="str">
        <f>VLOOKUP($B120,PRODUCT_MASTER!$A:$F,MATCH('FINAL DATA'!G$1,PRODUCT_MASTER!$A$1:$F$1,0),0)</f>
        <v>Product35</v>
      </c>
      <c r="H120" t="str">
        <f>VLOOKUP($B120,PRODUCT_MASTER!$A:$F,MATCH('FINAL DATA'!H$1,PRODUCT_MASTER!$A$1:$F$1,0),0)</f>
        <v>Bakery And Desserts</v>
      </c>
      <c r="I120" t="str">
        <f>VLOOKUP($B120,PRODUCT_MASTER!$A:$F,MATCH('FINAL DATA'!I$1,PRODUCT_MASTER!$A$1:$F$1,0),0)</f>
        <v>No.</v>
      </c>
      <c r="J120" s="7">
        <f>VLOOKUP($B120,PRODUCT_MASTER!$A:$F,MATCH('FINAL DATA'!J$1,PRODUCT_MASTER!$A$1:$F$1,0),0)</f>
        <v>5</v>
      </c>
      <c r="K120" s="7">
        <f>VLOOKUP($B120,PRODUCT_MASTER!$A:$F,MATCH('FINAL DATA'!K$1,PRODUCT_MASTER!$A$1:$F$1,0),0)</f>
        <v>6.7</v>
      </c>
      <c r="L120" s="7">
        <f t="shared" si="5"/>
        <v>50</v>
      </c>
      <c r="M120" s="7">
        <f t="shared" si="6"/>
        <v>67</v>
      </c>
      <c r="N120">
        <f t="shared" si="7"/>
        <v>5</v>
      </c>
      <c r="O120" t="str">
        <f t="shared" si="8"/>
        <v>Jun</v>
      </c>
      <c r="P120">
        <f t="shared" si="9"/>
        <v>2021</v>
      </c>
    </row>
    <row r="121" spans="1:16" x14ac:dyDescent="0.2">
      <c r="A121" s="1">
        <v>44353</v>
      </c>
      <c r="B121" t="s">
        <v>71</v>
      </c>
      <c r="C121">
        <v>6</v>
      </c>
      <c r="D121" t="s">
        <v>103</v>
      </c>
      <c r="E121" t="s">
        <v>101</v>
      </c>
      <c r="F121" s="5">
        <v>0</v>
      </c>
      <c r="G121" t="str">
        <f>VLOOKUP($B121,PRODUCT_MASTER!$A:$F,MATCH('FINAL DATA'!G$1,PRODUCT_MASTER!$A$1:$F$1,0),0)</f>
        <v>Product33</v>
      </c>
      <c r="H121" t="str">
        <f>VLOOKUP($B121,PRODUCT_MASTER!$A:$F,MATCH('FINAL DATA'!H$1,PRODUCT_MASTER!$A$1:$F$1,0),0)</f>
        <v>Bakery And Desserts</v>
      </c>
      <c r="I121" t="str">
        <f>VLOOKUP($B121,PRODUCT_MASTER!$A:$F,MATCH('FINAL DATA'!I$1,PRODUCT_MASTER!$A$1:$F$1,0),0)</f>
        <v>Kg</v>
      </c>
      <c r="J121" s="7">
        <f>VLOOKUP($B121,PRODUCT_MASTER!$A:$F,MATCH('FINAL DATA'!J$1,PRODUCT_MASTER!$A$1:$F$1,0),0)</f>
        <v>95</v>
      </c>
      <c r="K121" s="7">
        <f>VLOOKUP($B121,PRODUCT_MASTER!$A:$F,MATCH('FINAL DATA'!K$1,PRODUCT_MASTER!$A$1:$F$1,0),0)</f>
        <v>119.7</v>
      </c>
      <c r="L121" s="7">
        <f t="shared" si="5"/>
        <v>570</v>
      </c>
      <c r="M121" s="7">
        <f t="shared" si="6"/>
        <v>718.2</v>
      </c>
      <c r="N121">
        <f t="shared" si="7"/>
        <v>6</v>
      </c>
      <c r="O121" t="str">
        <f t="shared" si="8"/>
        <v>Jun</v>
      </c>
      <c r="P121">
        <f t="shared" si="9"/>
        <v>2021</v>
      </c>
    </row>
    <row r="122" spans="1:16" x14ac:dyDescent="0.2">
      <c r="A122" s="1">
        <v>44355</v>
      </c>
      <c r="B122" t="s">
        <v>61</v>
      </c>
      <c r="C122">
        <v>11</v>
      </c>
      <c r="D122" t="s">
        <v>103</v>
      </c>
      <c r="E122" t="s">
        <v>101</v>
      </c>
      <c r="F122" s="5">
        <v>0</v>
      </c>
      <c r="G122" t="str">
        <f>VLOOKUP($B122,PRODUCT_MASTER!$A:$F,MATCH('FINAL DATA'!G$1,PRODUCT_MASTER!$A$1:$F$1,0),0)</f>
        <v>Product28</v>
      </c>
      <c r="H122" t="str">
        <f>VLOOKUP($B122,PRODUCT_MASTER!$A:$F,MATCH('FINAL DATA'!H$1,PRODUCT_MASTER!$A$1:$F$1,0),0)</f>
        <v>Cheese And Dairy</v>
      </c>
      <c r="I122" t="str">
        <f>VLOOKUP($B122,PRODUCT_MASTER!$A:$F,MATCH('FINAL DATA'!I$1,PRODUCT_MASTER!$A$1:$F$1,0),0)</f>
        <v>No.</v>
      </c>
      <c r="J122" s="7">
        <f>VLOOKUP($B122,PRODUCT_MASTER!$A:$F,MATCH('FINAL DATA'!J$1,PRODUCT_MASTER!$A$1:$F$1,0),0)</f>
        <v>37</v>
      </c>
      <c r="K122" s="7">
        <f>VLOOKUP($B122,PRODUCT_MASTER!$A:$F,MATCH('FINAL DATA'!K$1,PRODUCT_MASTER!$A$1:$F$1,0),0)</f>
        <v>41.81</v>
      </c>
      <c r="L122" s="7">
        <f t="shared" si="5"/>
        <v>407</v>
      </c>
      <c r="M122" s="7">
        <f t="shared" si="6"/>
        <v>459.91</v>
      </c>
      <c r="N122">
        <f t="shared" si="7"/>
        <v>8</v>
      </c>
      <c r="O122" t="str">
        <f t="shared" si="8"/>
        <v>Jun</v>
      </c>
      <c r="P122">
        <f t="shared" si="9"/>
        <v>2021</v>
      </c>
    </row>
    <row r="123" spans="1:16" x14ac:dyDescent="0.2">
      <c r="A123" s="1">
        <v>44355</v>
      </c>
      <c r="B123" t="s">
        <v>13</v>
      </c>
      <c r="C123">
        <v>11</v>
      </c>
      <c r="D123" t="s">
        <v>100</v>
      </c>
      <c r="E123" t="s">
        <v>102</v>
      </c>
      <c r="F123" s="5">
        <v>0</v>
      </c>
      <c r="G123" t="str">
        <f>VLOOKUP($B123,PRODUCT_MASTER!$A:$F,MATCH('FINAL DATA'!G$1,PRODUCT_MASTER!$A$1:$F$1,0),0)</f>
        <v>Product04</v>
      </c>
      <c r="H123" t="str">
        <f>VLOOKUP($B123,PRODUCT_MASTER!$A:$F,MATCH('FINAL DATA'!H$1,PRODUCT_MASTER!$A$1:$F$1,0),0)</f>
        <v>Organic</v>
      </c>
      <c r="I123" t="str">
        <f>VLOOKUP($B123,PRODUCT_MASTER!$A:$F,MATCH('FINAL DATA'!I$1,PRODUCT_MASTER!$A$1:$F$1,0),0)</f>
        <v>Lt</v>
      </c>
      <c r="J123" s="7">
        <f>VLOOKUP($B123,PRODUCT_MASTER!$A:$F,MATCH('FINAL DATA'!J$1,PRODUCT_MASTER!$A$1:$F$1,0),0)</f>
        <v>44</v>
      </c>
      <c r="K123" s="7">
        <f>VLOOKUP($B123,PRODUCT_MASTER!$A:$F,MATCH('FINAL DATA'!K$1,PRODUCT_MASTER!$A$1:$F$1,0),0)</f>
        <v>48.84</v>
      </c>
      <c r="L123" s="7">
        <f t="shared" si="5"/>
        <v>484</v>
      </c>
      <c r="M123" s="7">
        <f t="shared" si="6"/>
        <v>537.24</v>
      </c>
      <c r="N123">
        <f t="shared" si="7"/>
        <v>8</v>
      </c>
      <c r="O123" t="str">
        <f t="shared" si="8"/>
        <v>Jun</v>
      </c>
      <c r="P123">
        <f t="shared" si="9"/>
        <v>2021</v>
      </c>
    </row>
    <row r="124" spans="1:16" x14ac:dyDescent="0.2">
      <c r="A124" s="1">
        <v>44356</v>
      </c>
      <c r="B124" t="s">
        <v>6</v>
      </c>
      <c r="C124">
        <v>7</v>
      </c>
      <c r="D124" t="s">
        <v>103</v>
      </c>
      <c r="E124" t="s">
        <v>101</v>
      </c>
      <c r="F124" s="5">
        <v>0</v>
      </c>
      <c r="G124" t="str">
        <f>VLOOKUP($B124,PRODUCT_MASTER!$A:$F,MATCH('FINAL DATA'!G$1,PRODUCT_MASTER!$A$1:$F$1,0),0)</f>
        <v>Product01</v>
      </c>
      <c r="H124" t="str">
        <f>VLOOKUP($B124,PRODUCT_MASTER!$A:$F,MATCH('FINAL DATA'!H$1,PRODUCT_MASTER!$A$1:$F$1,0),0)</f>
        <v>Organic</v>
      </c>
      <c r="I124" t="str">
        <f>VLOOKUP($B124,PRODUCT_MASTER!$A:$F,MATCH('FINAL DATA'!I$1,PRODUCT_MASTER!$A$1:$F$1,0),0)</f>
        <v>Kg</v>
      </c>
      <c r="J124" s="7">
        <f>VLOOKUP($B124,PRODUCT_MASTER!$A:$F,MATCH('FINAL DATA'!J$1,PRODUCT_MASTER!$A$1:$F$1,0),0)</f>
        <v>98</v>
      </c>
      <c r="K124" s="7">
        <f>VLOOKUP($B124,PRODUCT_MASTER!$A:$F,MATCH('FINAL DATA'!K$1,PRODUCT_MASTER!$A$1:$F$1,0),0)</f>
        <v>103.88</v>
      </c>
      <c r="L124" s="7">
        <f t="shared" si="5"/>
        <v>686</v>
      </c>
      <c r="M124" s="7">
        <f t="shared" si="6"/>
        <v>727.16</v>
      </c>
      <c r="N124">
        <f t="shared" si="7"/>
        <v>9</v>
      </c>
      <c r="O124" t="str">
        <f t="shared" si="8"/>
        <v>Jun</v>
      </c>
      <c r="P124">
        <f t="shared" si="9"/>
        <v>2021</v>
      </c>
    </row>
    <row r="125" spans="1:16" x14ac:dyDescent="0.2">
      <c r="A125" s="1">
        <v>44358</v>
      </c>
      <c r="B125" t="s">
        <v>69</v>
      </c>
      <c r="C125">
        <v>12</v>
      </c>
      <c r="D125" t="s">
        <v>100</v>
      </c>
      <c r="E125" t="s">
        <v>102</v>
      </c>
      <c r="F125" s="5">
        <v>0</v>
      </c>
      <c r="G125" t="str">
        <f>VLOOKUP($B125,PRODUCT_MASTER!$A:$F,MATCH('FINAL DATA'!G$1,PRODUCT_MASTER!$A$1:$F$1,0),0)</f>
        <v>Product32</v>
      </c>
      <c r="H125" t="str">
        <f>VLOOKUP($B125,PRODUCT_MASTER!$A:$F,MATCH('FINAL DATA'!H$1,PRODUCT_MASTER!$A$1:$F$1,0),0)</f>
        <v>Bakery And Desserts</v>
      </c>
      <c r="I125" t="str">
        <f>VLOOKUP($B125,PRODUCT_MASTER!$A:$F,MATCH('FINAL DATA'!I$1,PRODUCT_MASTER!$A$1:$F$1,0),0)</f>
        <v>Kg</v>
      </c>
      <c r="J125" s="7">
        <f>VLOOKUP($B125,PRODUCT_MASTER!$A:$F,MATCH('FINAL DATA'!J$1,PRODUCT_MASTER!$A$1:$F$1,0),0)</f>
        <v>89</v>
      </c>
      <c r="K125" s="7">
        <f>VLOOKUP($B125,PRODUCT_MASTER!$A:$F,MATCH('FINAL DATA'!K$1,PRODUCT_MASTER!$A$1:$F$1,0),0)</f>
        <v>117.48</v>
      </c>
      <c r="L125" s="7">
        <f t="shared" si="5"/>
        <v>1068</v>
      </c>
      <c r="M125" s="7">
        <f t="shared" si="6"/>
        <v>1409.76</v>
      </c>
      <c r="N125">
        <f t="shared" si="7"/>
        <v>11</v>
      </c>
      <c r="O125" t="str">
        <f t="shared" si="8"/>
        <v>Jun</v>
      </c>
      <c r="P125">
        <f t="shared" si="9"/>
        <v>2021</v>
      </c>
    </row>
    <row r="126" spans="1:16" x14ac:dyDescent="0.2">
      <c r="A126" s="1">
        <v>44359</v>
      </c>
      <c r="B126" t="s">
        <v>87</v>
      </c>
      <c r="C126">
        <v>6</v>
      </c>
      <c r="D126" t="s">
        <v>103</v>
      </c>
      <c r="E126" t="s">
        <v>101</v>
      </c>
      <c r="F126" s="5">
        <v>0</v>
      </c>
      <c r="G126" t="str">
        <f>VLOOKUP($B126,PRODUCT_MASTER!$A:$F,MATCH('FINAL DATA'!G$1,PRODUCT_MASTER!$A$1:$F$1,0),0)</f>
        <v>Product41</v>
      </c>
      <c r="H126" t="str">
        <f>VLOOKUP($B126,PRODUCT_MASTER!$A:$F,MATCH('FINAL DATA'!H$1,PRODUCT_MASTER!$A$1:$F$1,0),0)</f>
        <v>Snacks</v>
      </c>
      <c r="I126" t="str">
        <f>VLOOKUP($B126,PRODUCT_MASTER!$A:$F,MATCH('FINAL DATA'!I$1,PRODUCT_MASTER!$A$1:$F$1,0),0)</f>
        <v>Ft</v>
      </c>
      <c r="J126" s="7">
        <f>VLOOKUP($B126,PRODUCT_MASTER!$A:$F,MATCH('FINAL DATA'!J$1,PRODUCT_MASTER!$A$1:$F$1,0),0)</f>
        <v>138</v>
      </c>
      <c r="K126" s="7">
        <f>VLOOKUP($B126,PRODUCT_MASTER!$A:$F,MATCH('FINAL DATA'!K$1,PRODUCT_MASTER!$A$1:$F$1,0),0)</f>
        <v>173.88</v>
      </c>
      <c r="L126" s="7">
        <f t="shared" si="5"/>
        <v>828</v>
      </c>
      <c r="M126" s="7">
        <f t="shared" si="6"/>
        <v>1043.28</v>
      </c>
      <c r="N126">
        <f t="shared" si="7"/>
        <v>12</v>
      </c>
      <c r="O126" t="str">
        <f t="shared" si="8"/>
        <v>Jun</v>
      </c>
      <c r="P126">
        <f t="shared" si="9"/>
        <v>2021</v>
      </c>
    </row>
    <row r="127" spans="1:16" x14ac:dyDescent="0.2">
      <c r="A127" s="1">
        <v>44361</v>
      </c>
      <c r="B127" t="s">
        <v>55</v>
      </c>
      <c r="C127">
        <v>10</v>
      </c>
      <c r="D127" t="s">
        <v>101</v>
      </c>
      <c r="E127" t="s">
        <v>102</v>
      </c>
      <c r="F127" s="5">
        <v>0</v>
      </c>
      <c r="G127" t="str">
        <f>VLOOKUP($B127,PRODUCT_MASTER!$A:$F,MATCH('FINAL DATA'!G$1,PRODUCT_MASTER!$A$1:$F$1,0),0)</f>
        <v>Product25</v>
      </c>
      <c r="H127" t="str">
        <f>VLOOKUP($B127,PRODUCT_MASTER!$A:$F,MATCH('FINAL DATA'!H$1,PRODUCT_MASTER!$A$1:$F$1,0),0)</f>
        <v>Seafood</v>
      </c>
      <c r="I127" t="str">
        <f>VLOOKUP($B127,PRODUCT_MASTER!$A:$F,MATCH('FINAL DATA'!I$1,PRODUCT_MASTER!$A$1:$F$1,0),0)</f>
        <v>No.</v>
      </c>
      <c r="J127" s="7">
        <f>VLOOKUP($B127,PRODUCT_MASTER!$A:$F,MATCH('FINAL DATA'!J$1,PRODUCT_MASTER!$A$1:$F$1,0),0)</f>
        <v>7</v>
      </c>
      <c r="K127" s="7">
        <f>VLOOKUP($B127,PRODUCT_MASTER!$A:$F,MATCH('FINAL DATA'!K$1,PRODUCT_MASTER!$A$1:$F$1,0),0)</f>
        <v>8.33</v>
      </c>
      <c r="L127" s="7">
        <f t="shared" si="5"/>
        <v>70</v>
      </c>
      <c r="M127" s="7">
        <f t="shared" si="6"/>
        <v>83.3</v>
      </c>
      <c r="N127">
        <f t="shared" si="7"/>
        <v>14</v>
      </c>
      <c r="O127" t="str">
        <f t="shared" si="8"/>
        <v>Jun</v>
      </c>
      <c r="P127">
        <f t="shared" si="9"/>
        <v>2021</v>
      </c>
    </row>
    <row r="128" spans="1:16" x14ac:dyDescent="0.2">
      <c r="A128" s="1">
        <v>44363</v>
      </c>
      <c r="B128" t="s">
        <v>43</v>
      </c>
      <c r="C128">
        <v>5</v>
      </c>
      <c r="D128" t="s">
        <v>100</v>
      </c>
      <c r="E128" t="s">
        <v>102</v>
      </c>
      <c r="F128" s="5">
        <v>0</v>
      </c>
      <c r="G128" t="str">
        <f>VLOOKUP($B128,PRODUCT_MASTER!$A:$F,MATCH('FINAL DATA'!G$1,PRODUCT_MASTER!$A$1:$F$1,0),0)</f>
        <v>Product19</v>
      </c>
      <c r="H128" t="str">
        <f>VLOOKUP($B128,PRODUCT_MASTER!$A:$F,MATCH('FINAL DATA'!H$1,PRODUCT_MASTER!$A$1:$F$1,0),0)</f>
        <v>Poultry</v>
      </c>
      <c r="I128" t="str">
        <f>VLOOKUP($B128,PRODUCT_MASTER!$A:$F,MATCH('FINAL DATA'!I$1,PRODUCT_MASTER!$A$1:$F$1,0),0)</f>
        <v>Ft</v>
      </c>
      <c r="J128" s="7">
        <f>VLOOKUP($B128,PRODUCT_MASTER!$A:$F,MATCH('FINAL DATA'!J$1,PRODUCT_MASTER!$A$1:$F$1,0),0)</f>
        <v>150</v>
      </c>
      <c r="K128" s="7">
        <f>VLOOKUP($B128,PRODUCT_MASTER!$A:$F,MATCH('FINAL DATA'!K$1,PRODUCT_MASTER!$A$1:$F$1,0),0)</f>
        <v>210</v>
      </c>
      <c r="L128" s="7">
        <f t="shared" si="5"/>
        <v>750</v>
      </c>
      <c r="M128" s="7">
        <f t="shared" si="6"/>
        <v>1050</v>
      </c>
      <c r="N128">
        <f t="shared" si="7"/>
        <v>16</v>
      </c>
      <c r="O128" t="str">
        <f t="shared" si="8"/>
        <v>Jun</v>
      </c>
      <c r="P128">
        <f t="shared" si="9"/>
        <v>2021</v>
      </c>
    </row>
    <row r="129" spans="1:16" x14ac:dyDescent="0.2">
      <c r="A129" s="1">
        <v>44363</v>
      </c>
      <c r="B129" t="s">
        <v>35</v>
      </c>
      <c r="C129">
        <v>12</v>
      </c>
      <c r="D129" t="s">
        <v>101</v>
      </c>
      <c r="E129" t="s">
        <v>102</v>
      </c>
      <c r="F129" s="5">
        <v>0</v>
      </c>
      <c r="G129" t="str">
        <f>VLOOKUP($B129,PRODUCT_MASTER!$A:$F,MATCH('FINAL DATA'!G$1,PRODUCT_MASTER!$A$1:$F$1,0),0)</f>
        <v>Product15</v>
      </c>
      <c r="H129" t="str">
        <f>VLOOKUP($B129,PRODUCT_MASTER!$A:$F,MATCH('FINAL DATA'!H$1,PRODUCT_MASTER!$A$1:$F$1,0),0)</f>
        <v>Meat</v>
      </c>
      <c r="I129" t="str">
        <f>VLOOKUP($B129,PRODUCT_MASTER!$A:$F,MATCH('FINAL DATA'!I$1,PRODUCT_MASTER!$A$1:$F$1,0),0)</f>
        <v>No.</v>
      </c>
      <c r="J129" s="7">
        <f>VLOOKUP($B129,PRODUCT_MASTER!$A:$F,MATCH('FINAL DATA'!J$1,PRODUCT_MASTER!$A$1:$F$1,0),0)</f>
        <v>12</v>
      </c>
      <c r="K129" s="7">
        <f>VLOOKUP($B129,PRODUCT_MASTER!$A:$F,MATCH('FINAL DATA'!K$1,PRODUCT_MASTER!$A$1:$F$1,0),0)</f>
        <v>15.719999999999999</v>
      </c>
      <c r="L129" s="7">
        <f t="shared" si="5"/>
        <v>144</v>
      </c>
      <c r="M129" s="7">
        <f t="shared" si="6"/>
        <v>188.64</v>
      </c>
      <c r="N129">
        <f t="shared" si="7"/>
        <v>16</v>
      </c>
      <c r="O129" t="str">
        <f t="shared" si="8"/>
        <v>Jun</v>
      </c>
      <c r="P129">
        <f t="shared" si="9"/>
        <v>2021</v>
      </c>
    </row>
    <row r="130" spans="1:16" x14ac:dyDescent="0.2">
      <c r="A130" s="1">
        <v>44363</v>
      </c>
      <c r="B130" t="s">
        <v>83</v>
      </c>
      <c r="C130">
        <v>11</v>
      </c>
      <c r="D130" t="s">
        <v>103</v>
      </c>
      <c r="E130" t="s">
        <v>102</v>
      </c>
      <c r="F130" s="5">
        <v>0</v>
      </c>
      <c r="G130" t="str">
        <f>VLOOKUP($B130,PRODUCT_MASTER!$A:$F,MATCH('FINAL DATA'!G$1,PRODUCT_MASTER!$A$1:$F$1,0),0)</f>
        <v>Product39</v>
      </c>
      <c r="H130" t="str">
        <f>VLOOKUP($B130,PRODUCT_MASTER!$A:$F,MATCH('FINAL DATA'!H$1,PRODUCT_MASTER!$A$1:$F$1,0),0)</f>
        <v>Snacks</v>
      </c>
      <c r="I130" t="str">
        <f>VLOOKUP($B130,PRODUCT_MASTER!$A:$F,MATCH('FINAL DATA'!I$1,PRODUCT_MASTER!$A$1:$F$1,0),0)</f>
        <v>No.</v>
      </c>
      <c r="J130" s="7">
        <f>VLOOKUP($B130,PRODUCT_MASTER!$A:$F,MATCH('FINAL DATA'!J$1,PRODUCT_MASTER!$A$1:$F$1,0),0)</f>
        <v>37</v>
      </c>
      <c r="K130" s="7">
        <f>VLOOKUP($B130,PRODUCT_MASTER!$A:$F,MATCH('FINAL DATA'!K$1,PRODUCT_MASTER!$A$1:$F$1,0),0)</f>
        <v>42.55</v>
      </c>
      <c r="L130" s="7">
        <f t="shared" si="5"/>
        <v>407</v>
      </c>
      <c r="M130" s="7">
        <f t="shared" si="6"/>
        <v>468.04999999999995</v>
      </c>
      <c r="N130">
        <f t="shared" si="7"/>
        <v>16</v>
      </c>
      <c r="O130" t="str">
        <f t="shared" si="8"/>
        <v>Jun</v>
      </c>
      <c r="P130">
        <f t="shared" si="9"/>
        <v>2021</v>
      </c>
    </row>
    <row r="131" spans="1:16" x14ac:dyDescent="0.2">
      <c r="A131" s="1">
        <v>44365</v>
      </c>
      <c r="B131" t="s">
        <v>55</v>
      </c>
      <c r="C131">
        <v>13</v>
      </c>
      <c r="D131" t="s">
        <v>103</v>
      </c>
      <c r="E131" t="s">
        <v>102</v>
      </c>
      <c r="F131" s="5">
        <v>0</v>
      </c>
      <c r="G131" t="str">
        <f>VLOOKUP($B131,PRODUCT_MASTER!$A:$F,MATCH('FINAL DATA'!G$1,PRODUCT_MASTER!$A$1:$F$1,0),0)</f>
        <v>Product25</v>
      </c>
      <c r="H131" t="str">
        <f>VLOOKUP($B131,PRODUCT_MASTER!$A:$F,MATCH('FINAL DATA'!H$1,PRODUCT_MASTER!$A$1:$F$1,0),0)</f>
        <v>Seafood</v>
      </c>
      <c r="I131" t="str">
        <f>VLOOKUP($B131,PRODUCT_MASTER!$A:$F,MATCH('FINAL DATA'!I$1,PRODUCT_MASTER!$A$1:$F$1,0),0)</f>
        <v>No.</v>
      </c>
      <c r="J131" s="7">
        <f>VLOOKUP($B131,PRODUCT_MASTER!$A:$F,MATCH('FINAL DATA'!J$1,PRODUCT_MASTER!$A$1:$F$1,0),0)</f>
        <v>7</v>
      </c>
      <c r="K131" s="7">
        <f>VLOOKUP($B131,PRODUCT_MASTER!$A:$F,MATCH('FINAL DATA'!K$1,PRODUCT_MASTER!$A$1:$F$1,0),0)</f>
        <v>8.33</v>
      </c>
      <c r="L131" s="7">
        <f t="shared" ref="L131:L194" si="10">C131*J131</f>
        <v>91</v>
      </c>
      <c r="M131" s="7">
        <f t="shared" ref="M131:M194" si="11">(K131-(K131*F131))*C131</f>
        <v>108.29</v>
      </c>
      <c r="N131">
        <f t="shared" ref="N131:N194" si="12">DAY(A131)</f>
        <v>18</v>
      </c>
      <c r="O131" t="str">
        <f t="shared" ref="O131:O194" si="13">TEXT(A131,"MMM")</f>
        <v>Jun</v>
      </c>
      <c r="P131">
        <f t="shared" ref="P131:P194" si="14">YEAR(A131)</f>
        <v>2021</v>
      </c>
    </row>
    <row r="132" spans="1:16" x14ac:dyDescent="0.2">
      <c r="A132" s="1">
        <v>44366</v>
      </c>
      <c r="B132" t="s">
        <v>87</v>
      </c>
      <c r="C132">
        <v>5</v>
      </c>
      <c r="D132" t="s">
        <v>103</v>
      </c>
      <c r="E132" t="s">
        <v>101</v>
      </c>
      <c r="F132" s="5">
        <v>0</v>
      </c>
      <c r="G132" t="str">
        <f>VLOOKUP($B132,PRODUCT_MASTER!$A:$F,MATCH('FINAL DATA'!G$1,PRODUCT_MASTER!$A$1:$F$1,0),0)</f>
        <v>Product41</v>
      </c>
      <c r="H132" t="str">
        <f>VLOOKUP($B132,PRODUCT_MASTER!$A:$F,MATCH('FINAL DATA'!H$1,PRODUCT_MASTER!$A$1:$F$1,0),0)</f>
        <v>Snacks</v>
      </c>
      <c r="I132" t="str">
        <f>VLOOKUP($B132,PRODUCT_MASTER!$A:$F,MATCH('FINAL DATA'!I$1,PRODUCT_MASTER!$A$1:$F$1,0),0)</f>
        <v>Ft</v>
      </c>
      <c r="J132" s="7">
        <f>VLOOKUP($B132,PRODUCT_MASTER!$A:$F,MATCH('FINAL DATA'!J$1,PRODUCT_MASTER!$A$1:$F$1,0),0)</f>
        <v>138</v>
      </c>
      <c r="K132" s="7">
        <f>VLOOKUP($B132,PRODUCT_MASTER!$A:$F,MATCH('FINAL DATA'!K$1,PRODUCT_MASTER!$A$1:$F$1,0),0)</f>
        <v>173.88</v>
      </c>
      <c r="L132" s="7">
        <f t="shared" si="10"/>
        <v>690</v>
      </c>
      <c r="M132" s="7">
        <f t="shared" si="11"/>
        <v>869.4</v>
      </c>
      <c r="N132">
        <f t="shared" si="12"/>
        <v>19</v>
      </c>
      <c r="O132" t="str">
        <f t="shared" si="13"/>
        <v>Jun</v>
      </c>
      <c r="P132">
        <f t="shared" si="14"/>
        <v>2021</v>
      </c>
    </row>
    <row r="133" spans="1:16" x14ac:dyDescent="0.2">
      <c r="A133" s="1">
        <v>44367</v>
      </c>
      <c r="B133" t="s">
        <v>37</v>
      </c>
      <c r="C133">
        <v>1</v>
      </c>
      <c r="D133" t="s">
        <v>100</v>
      </c>
      <c r="E133" t="s">
        <v>102</v>
      </c>
      <c r="F133" s="5">
        <v>0</v>
      </c>
      <c r="G133" t="str">
        <f>VLOOKUP($B133,PRODUCT_MASTER!$A:$F,MATCH('FINAL DATA'!G$1,PRODUCT_MASTER!$A$1:$F$1,0),0)</f>
        <v>Product16</v>
      </c>
      <c r="H133" t="str">
        <f>VLOOKUP($B133,PRODUCT_MASTER!$A:$F,MATCH('FINAL DATA'!H$1,PRODUCT_MASTER!$A$1:$F$1,0),0)</f>
        <v>Meat</v>
      </c>
      <c r="I133" t="str">
        <f>VLOOKUP($B133,PRODUCT_MASTER!$A:$F,MATCH('FINAL DATA'!I$1,PRODUCT_MASTER!$A$1:$F$1,0),0)</f>
        <v>No.</v>
      </c>
      <c r="J133" s="7">
        <f>VLOOKUP($B133,PRODUCT_MASTER!$A:$F,MATCH('FINAL DATA'!J$1,PRODUCT_MASTER!$A$1:$F$1,0),0)</f>
        <v>13</v>
      </c>
      <c r="K133" s="7">
        <f>VLOOKUP($B133,PRODUCT_MASTER!$A:$F,MATCH('FINAL DATA'!K$1,PRODUCT_MASTER!$A$1:$F$1,0),0)</f>
        <v>16.64</v>
      </c>
      <c r="L133" s="7">
        <f t="shared" si="10"/>
        <v>13</v>
      </c>
      <c r="M133" s="7">
        <f t="shared" si="11"/>
        <v>16.64</v>
      </c>
      <c r="N133">
        <f t="shared" si="12"/>
        <v>20</v>
      </c>
      <c r="O133" t="str">
        <f t="shared" si="13"/>
        <v>Jun</v>
      </c>
      <c r="P133">
        <f t="shared" si="14"/>
        <v>2021</v>
      </c>
    </row>
    <row r="134" spans="1:16" x14ac:dyDescent="0.2">
      <c r="A134" s="1">
        <v>44370</v>
      </c>
      <c r="B134" t="s">
        <v>37</v>
      </c>
      <c r="C134">
        <v>4</v>
      </c>
      <c r="D134" t="s">
        <v>103</v>
      </c>
      <c r="E134" t="s">
        <v>101</v>
      </c>
      <c r="F134" s="5">
        <v>0</v>
      </c>
      <c r="G134" t="str">
        <f>VLOOKUP($B134,PRODUCT_MASTER!$A:$F,MATCH('FINAL DATA'!G$1,PRODUCT_MASTER!$A$1:$F$1,0),0)</f>
        <v>Product16</v>
      </c>
      <c r="H134" t="str">
        <f>VLOOKUP($B134,PRODUCT_MASTER!$A:$F,MATCH('FINAL DATA'!H$1,PRODUCT_MASTER!$A$1:$F$1,0),0)</f>
        <v>Meat</v>
      </c>
      <c r="I134" t="str">
        <f>VLOOKUP($B134,PRODUCT_MASTER!$A:$F,MATCH('FINAL DATA'!I$1,PRODUCT_MASTER!$A$1:$F$1,0),0)</f>
        <v>No.</v>
      </c>
      <c r="J134" s="7">
        <f>VLOOKUP($B134,PRODUCT_MASTER!$A:$F,MATCH('FINAL DATA'!J$1,PRODUCT_MASTER!$A$1:$F$1,0),0)</f>
        <v>13</v>
      </c>
      <c r="K134" s="7">
        <f>VLOOKUP($B134,PRODUCT_MASTER!$A:$F,MATCH('FINAL DATA'!K$1,PRODUCT_MASTER!$A$1:$F$1,0),0)</f>
        <v>16.64</v>
      </c>
      <c r="L134" s="7">
        <f t="shared" si="10"/>
        <v>52</v>
      </c>
      <c r="M134" s="7">
        <f t="shared" si="11"/>
        <v>66.56</v>
      </c>
      <c r="N134">
        <f t="shared" si="12"/>
        <v>23</v>
      </c>
      <c r="O134" t="str">
        <f t="shared" si="13"/>
        <v>Jun</v>
      </c>
      <c r="P134">
        <f t="shared" si="14"/>
        <v>2021</v>
      </c>
    </row>
    <row r="135" spans="1:16" x14ac:dyDescent="0.2">
      <c r="A135" s="1">
        <v>44371</v>
      </c>
      <c r="B135" t="s">
        <v>27</v>
      </c>
      <c r="C135">
        <v>13</v>
      </c>
      <c r="D135" t="s">
        <v>103</v>
      </c>
      <c r="E135" t="s">
        <v>101</v>
      </c>
      <c r="F135" s="5">
        <v>0</v>
      </c>
      <c r="G135" t="str">
        <f>VLOOKUP($B135,PRODUCT_MASTER!$A:$F,MATCH('FINAL DATA'!G$1,PRODUCT_MASTER!$A$1:$F$1,0),0)</f>
        <v>Product11</v>
      </c>
      <c r="H135" t="str">
        <f>VLOOKUP($B135,PRODUCT_MASTER!$A:$F,MATCH('FINAL DATA'!H$1,PRODUCT_MASTER!$A$1:$F$1,0),0)</f>
        <v>Gourmet Foods</v>
      </c>
      <c r="I135" t="str">
        <f>VLOOKUP($B135,PRODUCT_MASTER!$A:$F,MATCH('FINAL DATA'!I$1,PRODUCT_MASTER!$A$1:$F$1,0),0)</f>
        <v>Lt</v>
      </c>
      <c r="J135" s="7">
        <f>VLOOKUP($B135,PRODUCT_MASTER!$A:$F,MATCH('FINAL DATA'!J$1,PRODUCT_MASTER!$A$1:$F$1,0),0)</f>
        <v>44</v>
      </c>
      <c r="K135" s="7">
        <f>VLOOKUP($B135,PRODUCT_MASTER!$A:$F,MATCH('FINAL DATA'!K$1,PRODUCT_MASTER!$A$1:$F$1,0),0)</f>
        <v>48.4</v>
      </c>
      <c r="L135" s="7">
        <f t="shared" si="10"/>
        <v>572</v>
      </c>
      <c r="M135" s="7">
        <f t="shared" si="11"/>
        <v>629.19999999999993</v>
      </c>
      <c r="N135">
        <f t="shared" si="12"/>
        <v>24</v>
      </c>
      <c r="O135" t="str">
        <f t="shared" si="13"/>
        <v>Jun</v>
      </c>
      <c r="P135">
        <f t="shared" si="14"/>
        <v>2021</v>
      </c>
    </row>
    <row r="136" spans="1:16" x14ac:dyDescent="0.2">
      <c r="A136" s="1">
        <v>44373</v>
      </c>
      <c r="B136" t="s">
        <v>23</v>
      </c>
      <c r="C136">
        <v>7</v>
      </c>
      <c r="D136" t="s">
        <v>101</v>
      </c>
      <c r="E136" t="s">
        <v>101</v>
      </c>
      <c r="F136" s="5">
        <v>0</v>
      </c>
      <c r="G136" t="str">
        <f>VLOOKUP($B136,PRODUCT_MASTER!$A:$F,MATCH('FINAL DATA'!G$1,PRODUCT_MASTER!$A$1:$F$1,0),0)</f>
        <v>Product09</v>
      </c>
      <c r="H136" t="str">
        <f>VLOOKUP($B136,PRODUCT_MASTER!$A:$F,MATCH('FINAL DATA'!H$1,PRODUCT_MASTER!$A$1:$F$1,0),0)</f>
        <v>Gourmet Foods</v>
      </c>
      <c r="I136" t="str">
        <f>VLOOKUP($B136,PRODUCT_MASTER!$A:$F,MATCH('FINAL DATA'!I$1,PRODUCT_MASTER!$A$1:$F$1,0),0)</f>
        <v>No.</v>
      </c>
      <c r="J136" s="7">
        <f>VLOOKUP($B136,PRODUCT_MASTER!$A:$F,MATCH('FINAL DATA'!J$1,PRODUCT_MASTER!$A$1:$F$1,0),0)</f>
        <v>6</v>
      </c>
      <c r="K136" s="7">
        <f>VLOOKUP($B136,PRODUCT_MASTER!$A:$F,MATCH('FINAL DATA'!K$1,PRODUCT_MASTER!$A$1:$F$1,0),0)</f>
        <v>7.8599999999999994</v>
      </c>
      <c r="L136" s="7">
        <f t="shared" si="10"/>
        <v>42</v>
      </c>
      <c r="M136" s="7">
        <f t="shared" si="11"/>
        <v>55.019999999999996</v>
      </c>
      <c r="N136">
        <f t="shared" si="12"/>
        <v>26</v>
      </c>
      <c r="O136" t="str">
        <f t="shared" si="13"/>
        <v>Jun</v>
      </c>
      <c r="P136">
        <f t="shared" si="14"/>
        <v>2021</v>
      </c>
    </row>
    <row r="137" spans="1:16" x14ac:dyDescent="0.2">
      <c r="A137" s="1">
        <v>44374</v>
      </c>
      <c r="B137" t="s">
        <v>15</v>
      </c>
      <c r="C137">
        <v>11</v>
      </c>
      <c r="D137" t="s">
        <v>103</v>
      </c>
      <c r="E137" t="s">
        <v>102</v>
      </c>
      <c r="F137" s="5">
        <v>0</v>
      </c>
      <c r="G137" t="str">
        <f>VLOOKUP($B137,PRODUCT_MASTER!$A:$F,MATCH('FINAL DATA'!G$1,PRODUCT_MASTER!$A$1:$F$1,0),0)</f>
        <v>Product05</v>
      </c>
      <c r="H137" t="str">
        <f>VLOOKUP($B137,PRODUCT_MASTER!$A:$F,MATCH('FINAL DATA'!H$1,PRODUCT_MASTER!$A$1:$F$1,0),0)</f>
        <v>Organic</v>
      </c>
      <c r="I137" t="str">
        <f>VLOOKUP($B137,PRODUCT_MASTER!$A:$F,MATCH('FINAL DATA'!I$1,PRODUCT_MASTER!$A$1:$F$1,0),0)</f>
        <v>Ft</v>
      </c>
      <c r="J137" s="7">
        <f>VLOOKUP($B137,PRODUCT_MASTER!$A:$F,MATCH('FINAL DATA'!J$1,PRODUCT_MASTER!$A$1:$F$1,0),0)</f>
        <v>133</v>
      </c>
      <c r="K137" s="7">
        <f>VLOOKUP($B137,PRODUCT_MASTER!$A:$F,MATCH('FINAL DATA'!K$1,PRODUCT_MASTER!$A$1:$F$1,0),0)</f>
        <v>155.61000000000001</v>
      </c>
      <c r="L137" s="7">
        <f t="shared" si="10"/>
        <v>1463</v>
      </c>
      <c r="M137" s="7">
        <f t="shared" si="11"/>
        <v>1711.71</v>
      </c>
      <c r="N137">
        <f t="shared" si="12"/>
        <v>27</v>
      </c>
      <c r="O137" t="str">
        <f t="shared" si="13"/>
        <v>Jun</v>
      </c>
      <c r="P137">
        <f t="shared" si="14"/>
        <v>2021</v>
      </c>
    </row>
    <row r="138" spans="1:16" x14ac:dyDescent="0.2">
      <c r="A138" s="1">
        <v>44375</v>
      </c>
      <c r="B138" t="s">
        <v>47</v>
      </c>
      <c r="C138">
        <v>2</v>
      </c>
      <c r="D138" t="s">
        <v>101</v>
      </c>
      <c r="E138" t="s">
        <v>102</v>
      </c>
      <c r="F138" s="5">
        <v>0</v>
      </c>
      <c r="G138" t="str">
        <f>VLOOKUP($B138,PRODUCT_MASTER!$A:$F,MATCH('FINAL DATA'!G$1,PRODUCT_MASTER!$A$1:$F$1,0),0)</f>
        <v>Product21</v>
      </c>
      <c r="H138" t="str">
        <f>VLOOKUP($B138,PRODUCT_MASTER!$A:$F,MATCH('FINAL DATA'!H$1,PRODUCT_MASTER!$A$1:$F$1,0),0)</f>
        <v>Poultry</v>
      </c>
      <c r="I138" t="str">
        <f>VLOOKUP($B138,PRODUCT_MASTER!$A:$F,MATCH('FINAL DATA'!I$1,PRODUCT_MASTER!$A$1:$F$1,0),0)</f>
        <v>Ft</v>
      </c>
      <c r="J138" s="7">
        <f>VLOOKUP($B138,PRODUCT_MASTER!$A:$F,MATCH('FINAL DATA'!J$1,PRODUCT_MASTER!$A$1:$F$1,0),0)</f>
        <v>126</v>
      </c>
      <c r="K138" s="7">
        <f>VLOOKUP($B138,PRODUCT_MASTER!$A:$F,MATCH('FINAL DATA'!K$1,PRODUCT_MASTER!$A$1:$F$1,0),0)</f>
        <v>162.54</v>
      </c>
      <c r="L138" s="7">
        <f t="shared" si="10"/>
        <v>252</v>
      </c>
      <c r="M138" s="7">
        <f t="shared" si="11"/>
        <v>325.08</v>
      </c>
      <c r="N138">
        <f t="shared" si="12"/>
        <v>28</v>
      </c>
      <c r="O138" t="str">
        <f t="shared" si="13"/>
        <v>Jun</v>
      </c>
      <c r="P138">
        <f t="shared" si="14"/>
        <v>2021</v>
      </c>
    </row>
    <row r="139" spans="1:16" x14ac:dyDescent="0.2">
      <c r="A139" s="1">
        <v>44375</v>
      </c>
      <c r="B139" t="s">
        <v>75</v>
      </c>
      <c r="C139">
        <v>7</v>
      </c>
      <c r="D139" t="s">
        <v>101</v>
      </c>
      <c r="E139" t="s">
        <v>101</v>
      </c>
      <c r="F139" s="5">
        <v>0</v>
      </c>
      <c r="G139" t="str">
        <f>VLOOKUP($B139,PRODUCT_MASTER!$A:$F,MATCH('FINAL DATA'!G$1,PRODUCT_MASTER!$A$1:$F$1,0),0)</f>
        <v>Product35</v>
      </c>
      <c r="H139" t="str">
        <f>VLOOKUP($B139,PRODUCT_MASTER!$A:$F,MATCH('FINAL DATA'!H$1,PRODUCT_MASTER!$A$1:$F$1,0),0)</f>
        <v>Bakery And Desserts</v>
      </c>
      <c r="I139" t="str">
        <f>VLOOKUP($B139,PRODUCT_MASTER!$A:$F,MATCH('FINAL DATA'!I$1,PRODUCT_MASTER!$A$1:$F$1,0),0)</f>
        <v>No.</v>
      </c>
      <c r="J139" s="7">
        <f>VLOOKUP($B139,PRODUCT_MASTER!$A:$F,MATCH('FINAL DATA'!J$1,PRODUCT_MASTER!$A$1:$F$1,0),0)</f>
        <v>5</v>
      </c>
      <c r="K139" s="7">
        <f>VLOOKUP($B139,PRODUCT_MASTER!$A:$F,MATCH('FINAL DATA'!K$1,PRODUCT_MASTER!$A$1:$F$1,0),0)</f>
        <v>6.7</v>
      </c>
      <c r="L139" s="7">
        <f t="shared" si="10"/>
        <v>35</v>
      </c>
      <c r="M139" s="7">
        <f t="shared" si="11"/>
        <v>46.9</v>
      </c>
      <c r="N139">
        <f t="shared" si="12"/>
        <v>28</v>
      </c>
      <c r="O139" t="str">
        <f t="shared" si="13"/>
        <v>Jun</v>
      </c>
      <c r="P139">
        <f t="shared" si="14"/>
        <v>2021</v>
      </c>
    </row>
    <row r="140" spans="1:16" x14ac:dyDescent="0.2">
      <c r="A140" s="1">
        <v>44376</v>
      </c>
      <c r="B140" t="s">
        <v>33</v>
      </c>
      <c r="C140">
        <v>4</v>
      </c>
      <c r="D140" t="s">
        <v>103</v>
      </c>
      <c r="E140" t="s">
        <v>101</v>
      </c>
      <c r="F140" s="5">
        <v>0</v>
      </c>
      <c r="G140" t="str">
        <f>VLOOKUP($B140,PRODUCT_MASTER!$A:$F,MATCH('FINAL DATA'!G$1,PRODUCT_MASTER!$A$1:$F$1,0),0)</f>
        <v>Product14</v>
      </c>
      <c r="H140" t="str">
        <f>VLOOKUP($B140,PRODUCT_MASTER!$A:$F,MATCH('FINAL DATA'!H$1,PRODUCT_MASTER!$A$1:$F$1,0),0)</f>
        <v>Meat</v>
      </c>
      <c r="I140" t="str">
        <f>VLOOKUP($B140,PRODUCT_MASTER!$A:$F,MATCH('FINAL DATA'!I$1,PRODUCT_MASTER!$A$1:$F$1,0),0)</f>
        <v>Kg</v>
      </c>
      <c r="J140" s="7">
        <f>VLOOKUP($B140,PRODUCT_MASTER!$A:$F,MATCH('FINAL DATA'!J$1,PRODUCT_MASTER!$A$1:$F$1,0),0)</f>
        <v>112</v>
      </c>
      <c r="K140" s="7">
        <f>VLOOKUP($B140,PRODUCT_MASTER!$A:$F,MATCH('FINAL DATA'!K$1,PRODUCT_MASTER!$A$1:$F$1,0),0)</f>
        <v>146.72</v>
      </c>
      <c r="L140" s="7">
        <f t="shared" si="10"/>
        <v>448</v>
      </c>
      <c r="M140" s="7">
        <f t="shared" si="11"/>
        <v>586.88</v>
      </c>
      <c r="N140">
        <f t="shared" si="12"/>
        <v>29</v>
      </c>
      <c r="O140" t="str">
        <f t="shared" si="13"/>
        <v>Jun</v>
      </c>
      <c r="P140">
        <f t="shared" si="14"/>
        <v>2021</v>
      </c>
    </row>
    <row r="141" spans="1:16" x14ac:dyDescent="0.2">
      <c r="A141" s="1">
        <v>44378</v>
      </c>
      <c r="B141" t="s">
        <v>15</v>
      </c>
      <c r="C141">
        <v>11</v>
      </c>
      <c r="D141" t="s">
        <v>103</v>
      </c>
      <c r="E141" t="s">
        <v>102</v>
      </c>
      <c r="F141" s="5">
        <v>0</v>
      </c>
      <c r="G141" t="str">
        <f>VLOOKUP($B141,PRODUCT_MASTER!$A:$F,MATCH('FINAL DATA'!G$1,PRODUCT_MASTER!$A$1:$F$1,0),0)</f>
        <v>Product05</v>
      </c>
      <c r="H141" t="str">
        <f>VLOOKUP($B141,PRODUCT_MASTER!$A:$F,MATCH('FINAL DATA'!H$1,PRODUCT_MASTER!$A$1:$F$1,0),0)</f>
        <v>Organic</v>
      </c>
      <c r="I141" t="str">
        <f>VLOOKUP($B141,PRODUCT_MASTER!$A:$F,MATCH('FINAL DATA'!I$1,PRODUCT_MASTER!$A$1:$F$1,0),0)</f>
        <v>Ft</v>
      </c>
      <c r="J141" s="7">
        <f>VLOOKUP($B141,PRODUCT_MASTER!$A:$F,MATCH('FINAL DATA'!J$1,PRODUCT_MASTER!$A$1:$F$1,0),0)</f>
        <v>133</v>
      </c>
      <c r="K141" s="7">
        <f>VLOOKUP($B141,PRODUCT_MASTER!$A:$F,MATCH('FINAL DATA'!K$1,PRODUCT_MASTER!$A$1:$F$1,0),0)</f>
        <v>155.61000000000001</v>
      </c>
      <c r="L141" s="7">
        <f t="shared" si="10"/>
        <v>1463</v>
      </c>
      <c r="M141" s="7">
        <f t="shared" si="11"/>
        <v>1711.71</v>
      </c>
      <c r="N141">
        <f t="shared" si="12"/>
        <v>1</v>
      </c>
      <c r="O141" t="str">
        <f t="shared" si="13"/>
        <v>Jul</v>
      </c>
      <c r="P141">
        <f t="shared" si="14"/>
        <v>2021</v>
      </c>
    </row>
    <row r="142" spans="1:16" x14ac:dyDescent="0.2">
      <c r="A142" s="1">
        <v>44379</v>
      </c>
      <c r="B142" t="s">
        <v>25</v>
      </c>
      <c r="C142">
        <v>11</v>
      </c>
      <c r="D142" t="s">
        <v>103</v>
      </c>
      <c r="E142" t="s">
        <v>102</v>
      </c>
      <c r="F142" s="5">
        <v>0</v>
      </c>
      <c r="G142" t="str">
        <f>VLOOKUP($B142,PRODUCT_MASTER!$A:$F,MATCH('FINAL DATA'!G$1,PRODUCT_MASTER!$A$1:$F$1,0),0)</f>
        <v>Product10</v>
      </c>
      <c r="H142" t="str">
        <f>VLOOKUP($B142,PRODUCT_MASTER!$A:$F,MATCH('FINAL DATA'!H$1,PRODUCT_MASTER!$A$1:$F$1,0),0)</f>
        <v>Gourmet Foods</v>
      </c>
      <c r="I142" t="str">
        <f>VLOOKUP($B142,PRODUCT_MASTER!$A:$F,MATCH('FINAL DATA'!I$1,PRODUCT_MASTER!$A$1:$F$1,0),0)</f>
        <v>Ft</v>
      </c>
      <c r="J142" s="7">
        <f>VLOOKUP($B142,PRODUCT_MASTER!$A:$F,MATCH('FINAL DATA'!J$1,PRODUCT_MASTER!$A$1:$F$1,0),0)</f>
        <v>148</v>
      </c>
      <c r="K142" s="7">
        <f>VLOOKUP($B142,PRODUCT_MASTER!$A:$F,MATCH('FINAL DATA'!K$1,PRODUCT_MASTER!$A$1:$F$1,0),0)</f>
        <v>164.28</v>
      </c>
      <c r="L142" s="7">
        <f t="shared" si="10"/>
        <v>1628</v>
      </c>
      <c r="M142" s="7">
        <f t="shared" si="11"/>
        <v>1807.08</v>
      </c>
      <c r="N142">
        <f t="shared" si="12"/>
        <v>2</v>
      </c>
      <c r="O142" t="str">
        <f t="shared" si="13"/>
        <v>Jul</v>
      </c>
      <c r="P142">
        <f t="shared" si="14"/>
        <v>2021</v>
      </c>
    </row>
    <row r="143" spans="1:16" x14ac:dyDescent="0.2">
      <c r="A143" s="1">
        <v>44380</v>
      </c>
      <c r="B143" t="s">
        <v>71</v>
      </c>
      <c r="C143">
        <v>9</v>
      </c>
      <c r="D143" t="s">
        <v>101</v>
      </c>
      <c r="E143" t="s">
        <v>102</v>
      </c>
      <c r="F143" s="5">
        <v>0</v>
      </c>
      <c r="G143" t="str">
        <f>VLOOKUP($B143,PRODUCT_MASTER!$A:$F,MATCH('FINAL DATA'!G$1,PRODUCT_MASTER!$A$1:$F$1,0),0)</f>
        <v>Product33</v>
      </c>
      <c r="H143" t="str">
        <f>VLOOKUP($B143,PRODUCT_MASTER!$A:$F,MATCH('FINAL DATA'!H$1,PRODUCT_MASTER!$A$1:$F$1,0),0)</f>
        <v>Bakery And Desserts</v>
      </c>
      <c r="I143" t="str">
        <f>VLOOKUP($B143,PRODUCT_MASTER!$A:$F,MATCH('FINAL DATA'!I$1,PRODUCT_MASTER!$A$1:$F$1,0),0)</f>
        <v>Kg</v>
      </c>
      <c r="J143" s="7">
        <f>VLOOKUP($B143,PRODUCT_MASTER!$A:$F,MATCH('FINAL DATA'!J$1,PRODUCT_MASTER!$A$1:$F$1,0),0)</f>
        <v>95</v>
      </c>
      <c r="K143" s="7">
        <f>VLOOKUP($B143,PRODUCT_MASTER!$A:$F,MATCH('FINAL DATA'!K$1,PRODUCT_MASTER!$A$1:$F$1,0),0)</f>
        <v>119.7</v>
      </c>
      <c r="L143" s="7">
        <f t="shared" si="10"/>
        <v>855</v>
      </c>
      <c r="M143" s="7">
        <f t="shared" si="11"/>
        <v>1077.3</v>
      </c>
      <c r="N143">
        <f t="shared" si="12"/>
        <v>3</v>
      </c>
      <c r="O143" t="str">
        <f t="shared" si="13"/>
        <v>Jul</v>
      </c>
      <c r="P143">
        <f t="shared" si="14"/>
        <v>2021</v>
      </c>
    </row>
    <row r="144" spans="1:16" x14ac:dyDescent="0.2">
      <c r="A144" s="1">
        <v>44380</v>
      </c>
      <c r="B144" t="s">
        <v>11</v>
      </c>
      <c r="C144">
        <v>8</v>
      </c>
      <c r="D144" t="s">
        <v>101</v>
      </c>
      <c r="E144" t="s">
        <v>102</v>
      </c>
      <c r="F144" s="5">
        <v>0</v>
      </c>
      <c r="G144" t="str">
        <f>VLOOKUP($B144,PRODUCT_MASTER!$A:$F,MATCH('FINAL DATA'!G$1,PRODUCT_MASTER!$A$1:$F$1,0),0)</f>
        <v>Product03</v>
      </c>
      <c r="H144" t="str">
        <f>VLOOKUP($B144,PRODUCT_MASTER!$A:$F,MATCH('FINAL DATA'!H$1,PRODUCT_MASTER!$A$1:$F$1,0),0)</f>
        <v>Organic</v>
      </c>
      <c r="I144" t="str">
        <f>VLOOKUP($B144,PRODUCT_MASTER!$A:$F,MATCH('FINAL DATA'!I$1,PRODUCT_MASTER!$A$1:$F$1,0),0)</f>
        <v>Kg</v>
      </c>
      <c r="J144" s="7">
        <f>VLOOKUP($B144,PRODUCT_MASTER!$A:$F,MATCH('FINAL DATA'!J$1,PRODUCT_MASTER!$A$1:$F$1,0),0)</f>
        <v>71</v>
      </c>
      <c r="K144" s="7">
        <f>VLOOKUP($B144,PRODUCT_MASTER!$A:$F,MATCH('FINAL DATA'!K$1,PRODUCT_MASTER!$A$1:$F$1,0),0)</f>
        <v>80.94</v>
      </c>
      <c r="L144" s="7">
        <f t="shared" si="10"/>
        <v>568</v>
      </c>
      <c r="M144" s="7">
        <f t="shared" si="11"/>
        <v>647.52</v>
      </c>
      <c r="N144">
        <f t="shared" si="12"/>
        <v>3</v>
      </c>
      <c r="O144" t="str">
        <f t="shared" si="13"/>
        <v>Jul</v>
      </c>
      <c r="P144">
        <f t="shared" si="14"/>
        <v>2021</v>
      </c>
    </row>
    <row r="145" spans="1:16" x14ac:dyDescent="0.2">
      <c r="A145" s="1">
        <v>44382</v>
      </c>
      <c r="B145" t="s">
        <v>9</v>
      </c>
      <c r="C145">
        <v>8</v>
      </c>
      <c r="D145" t="s">
        <v>103</v>
      </c>
      <c r="E145" t="s">
        <v>101</v>
      </c>
      <c r="F145" s="5">
        <v>0</v>
      </c>
      <c r="G145" t="str">
        <f>VLOOKUP($B145,PRODUCT_MASTER!$A:$F,MATCH('FINAL DATA'!G$1,PRODUCT_MASTER!$A$1:$F$1,0),0)</f>
        <v>Product02</v>
      </c>
      <c r="H145" t="str">
        <f>VLOOKUP($B145,PRODUCT_MASTER!$A:$F,MATCH('FINAL DATA'!H$1,PRODUCT_MASTER!$A$1:$F$1,0),0)</f>
        <v>Organic</v>
      </c>
      <c r="I145" t="str">
        <f>VLOOKUP($B145,PRODUCT_MASTER!$A:$F,MATCH('FINAL DATA'!I$1,PRODUCT_MASTER!$A$1:$F$1,0),0)</f>
        <v>Kg</v>
      </c>
      <c r="J145" s="7">
        <f>VLOOKUP($B145,PRODUCT_MASTER!$A:$F,MATCH('FINAL DATA'!J$1,PRODUCT_MASTER!$A$1:$F$1,0),0)</f>
        <v>105</v>
      </c>
      <c r="K145" s="7">
        <f>VLOOKUP($B145,PRODUCT_MASTER!$A:$F,MATCH('FINAL DATA'!K$1,PRODUCT_MASTER!$A$1:$F$1,0),0)</f>
        <v>142.80000000000001</v>
      </c>
      <c r="L145" s="7">
        <f t="shared" si="10"/>
        <v>840</v>
      </c>
      <c r="M145" s="7">
        <f t="shared" si="11"/>
        <v>1142.4000000000001</v>
      </c>
      <c r="N145">
        <f t="shared" si="12"/>
        <v>5</v>
      </c>
      <c r="O145" t="str">
        <f t="shared" si="13"/>
        <v>Jul</v>
      </c>
      <c r="P145">
        <f t="shared" si="14"/>
        <v>2021</v>
      </c>
    </row>
    <row r="146" spans="1:16" x14ac:dyDescent="0.2">
      <c r="A146" s="1">
        <v>44383</v>
      </c>
      <c r="B146" t="s">
        <v>87</v>
      </c>
      <c r="C146">
        <v>15</v>
      </c>
      <c r="D146" t="s">
        <v>103</v>
      </c>
      <c r="E146" t="s">
        <v>102</v>
      </c>
      <c r="F146" s="5">
        <v>0</v>
      </c>
      <c r="G146" t="str">
        <f>VLOOKUP($B146,PRODUCT_MASTER!$A:$F,MATCH('FINAL DATA'!G$1,PRODUCT_MASTER!$A$1:$F$1,0),0)</f>
        <v>Product41</v>
      </c>
      <c r="H146" t="str">
        <f>VLOOKUP($B146,PRODUCT_MASTER!$A:$F,MATCH('FINAL DATA'!H$1,PRODUCT_MASTER!$A$1:$F$1,0),0)</f>
        <v>Snacks</v>
      </c>
      <c r="I146" t="str">
        <f>VLOOKUP($B146,PRODUCT_MASTER!$A:$F,MATCH('FINAL DATA'!I$1,PRODUCT_MASTER!$A$1:$F$1,0),0)</f>
        <v>Ft</v>
      </c>
      <c r="J146" s="7">
        <f>VLOOKUP($B146,PRODUCT_MASTER!$A:$F,MATCH('FINAL DATA'!J$1,PRODUCT_MASTER!$A$1:$F$1,0),0)</f>
        <v>138</v>
      </c>
      <c r="K146" s="7">
        <f>VLOOKUP($B146,PRODUCT_MASTER!$A:$F,MATCH('FINAL DATA'!K$1,PRODUCT_MASTER!$A$1:$F$1,0),0)</f>
        <v>173.88</v>
      </c>
      <c r="L146" s="7">
        <f t="shared" si="10"/>
        <v>2070</v>
      </c>
      <c r="M146" s="7">
        <f t="shared" si="11"/>
        <v>2608.1999999999998</v>
      </c>
      <c r="N146">
        <f t="shared" si="12"/>
        <v>6</v>
      </c>
      <c r="O146" t="str">
        <f t="shared" si="13"/>
        <v>Jul</v>
      </c>
      <c r="P146">
        <f t="shared" si="14"/>
        <v>2021</v>
      </c>
    </row>
    <row r="147" spans="1:16" x14ac:dyDescent="0.2">
      <c r="A147" s="1">
        <v>44385</v>
      </c>
      <c r="B147" t="s">
        <v>13</v>
      </c>
      <c r="C147">
        <v>10</v>
      </c>
      <c r="D147" t="s">
        <v>103</v>
      </c>
      <c r="E147" t="s">
        <v>101</v>
      </c>
      <c r="F147" s="5">
        <v>0</v>
      </c>
      <c r="G147" t="str">
        <f>VLOOKUP($B147,PRODUCT_MASTER!$A:$F,MATCH('FINAL DATA'!G$1,PRODUCT_MASTER!$A$1:$F$1,0),0)</f>
        <v>Product04</v>
      </c>
      <c r="H147" t="str">
        <f>VLOOKUP($B147,PRODUCT_MASTER!$A:$F,MATCH('FINAL DATA'!H$1,PRODUCT_MASTER!$A$1:$F$1,0),0)</f>
        <v>Organic</v>
      </c>
      <c r="I147" t="str">
        <f>VLOOKUP($B147,PRODUCT_MASTER!$A:$F,MATCH('FINAL DATA'!I$1,PRODUCT_MASTER!$A$1:$F$1,0),0)</f>
        <v>Lt</v>
      </c>
      <c r="J147" s="7">
        <f>VLOOKUP($B147,PRODUCT_MASTER!$A:$F,MATCH('FINAL DATA'!J$1,PRODUCT_MASTER!$A$1:$F$1,0),0)</f>
        <v>44</v>
      </c>
      <c r="K147" s="7">
        <f>VLOOKUP($B147,PRODUCT_MASTER!$A:$F,MATCH('FINAL DATA'!K$1,PRODUCT_MASTER!$A$1:$F$1,0),0)</f>
        <v>48.84</v>
      </c>
      <c r="L147" s="7">
        <f t="shared" si="10"/>
        <v>440</v>
      </c>
      <c r="M147" s="7">
        <f t="shared" si="11"/>
        <v>488.40000000000003</v>
      </c>
      <c r="N147">
        <f t="shared" si="12"/>
        <v>8</v>
      </c>
      <c r="O147" t="str">
        <f t="shared" si="13"/>
        <v>Jul</v>
      </c>
      <c r="P147">
        <f t="shared" si="14"/>
        <v>2021</v>
      </c>
    </row>
    <row r="148" spans="1:16" x14ac:dyDescent="0.2">
      <c r="A148" s="1">
        <v>44387</v>
      </c>
      <c r="B148" t="s">
        <v>73</v>
      </c>
      <c r="C148">
        <v>6</v>
      </c>
      <c r="D148" t="s">
        <v>100</v>
      </c>
      <c r="E148" t="s">
        <v>102</v>
      </c>
      <c r="F148" s="5">
        <v>0</v>
      </c>
      <c r="G148" t="str">
        <f>VLOOKUP($B148,PRODUCT_MASTER!$A:$F,MATCH('FINAL DATA'!G$1,PRODUCT_MASTER!$A$1:$F$1,0),0)</f>
        <v>Product34</v>
      </c>
      <c r="H148" t="str">
        <f>VLOOKUP($B148,PRODUCT_MASTER!$A:$F,MATCH('FINAL DATA'!H$1,PRODUCT_MASTER!$A$1:$F$1,0),0)</f>
        <v>Bakery And Desserts</v>
      </c>
      <c r="I148" t="str">
        <f>VLOOKUP($B148,PRODUCT_MASTER!$A:$F,MATCH('FINAL DATA'!I$1,PRODUCT_MASTER!$A$1:$F$1,0),0)</f>
        <v>Lt</v>
      </c>
      <c r="J148" s="7">
        <f>VLOOKUP($B148,PRODUCT_MASTER!$A:$F,MATCH('FINAL DATA'!J$1,PRODUCT_MASTER!$A$1:$F$1,0),0)</f>
        <v>55</v>
      </c>
      <c r="K148" s="7">
        <f>VLOOKUP($B148,PRODUCT_MASTER!$A:$F,MATCH('FINAL DATA'!K$1,PRODUCT_MASTER!$A$1:$F$1,0),0)</f>
        <v>58.3</v>
      </c>
      <c r="L148" s="7">
        <f t="shared" si="10"/>
        <v>330</v>
      </c>
      <c r="M148" s="7">
        <f t="shared" si="11"/>
        <v>349.79999999999995</v>
      </c>
      <c r="N148">
        <f t="shared" si="12"/>
        <v>10</v>
      </c>
      <c r="O148" t="str">
        <f t="shared" si="13"/>
        <v>Jul</v>
      </c>
      <c r="P148">
        <f t="shared" si="14"/>
        <v>2021</v>
      </c>
    </row>
    <row r="149" spans="1:16" x14ac:dyDescent="0.2">
      <c r="A149" s="1">
        <v>44388</v>
      </c>
      <c r="B149" t="s">
        <v>23</v>
      </c>
      <c r="C149">
        <v>4</v>
      </c>
      <c r="D149" t="s">
        <v>100</v>
      </c>
      <c r="E149" t="s">
        <v>101</v>
      </c>
      <c r="F149" s="5">
        <v>0</v>
      </c>
      <c r="G149" t="str">
        <f>VLOOKUP($B149,PRODUCT_MASTER!$A:$F,MATCH('FINAL DATA'!G$1,PRODUCT_MASTER!$A$1:$F$1,0),0)</f>
        <v>Product09</v>
      </c>
      <c r="H149" t="str">
        <f>VLOOKUP($B149,PRODUCT_MASTER!$A:$F,MATCH('FINAL DATA'!H$1,PRODUCT_MASTER!$A$1:$F$1,0),0)</f>
        <v>Gourmet Foods</v>
      </c>
      <c r="I149" t="str">
        <f>VLOOKUP($B149,PRODUCT_MASTER!$A:$F,MATCH('FINAL DATA'!I$1,PRODUCT_MASTER!$A$1:$F$1,0),0)</f>
        <v>No.</v>
      </c>
      <c r="J149" s="7">
        <f>VLOOKUP($B149,PRODUCT_MASTER!$A:$F,MATCH('FINAL DATA'!J$1,PRODUCT_MASTER!$A$1:$F$1,0),0)</f>
        <v>6</v>
      </c>
      <c r="K149" s="7">
        <f>VLOOKUP($B149,PRODUCT_MASTER!$A:$F,MATCH('FINAL DATA'!K$1,PRODUCT_MASTER!$A$1:$F$1,0),0)</f>
        <v>7.8599999999999994</v>
      </c>
      <c r="L149" s="7">
        <f t="shared" si="10"/>
        <v>24</v>
      </c>
      <c r="M149" s="7">
        <f t="shared" si="11"/>
        <v>31.439999999999998</v>
      </c>
      <c r="N149">
        <f t="shared" si="12"/>
        <v>11</v>
      </c>
      <c r="O149" t="str">
        <f t="shared" si="13"/>
        <v>Jul</v>
      </c>
      <c r="P149">
        <f t="shared" si="14"/>
        <v>2021</v>
      </c>
    </row>
    <row r="150" spans="1:16" x14ac:dyDescent="0.2">
      <c r="A150" s="1">
        <v>44390</v>
      </c>
      <c r="B150" t="s">
        <v>43</v>
      </c>
      <c r="C150">
        <v>1</v>
      </c>
      <c r="D150" t="s">
        <v>103</v>
      </c>
      <c r="E150" t="s">
        <v>102</v>
      </c>
      <c r="F150" s="5">
        <v>0</v>
      </c>
      <c r="G150" t="str">
        <f>VLOOKUP($B150,PRODUCT_MASTER!$A:$F,MATCH('FINAL DATA'!G$1,PRODUCT_MASTER!$A$1:$F$1,0),0)</f>
        <v>Product19</v>
      </c>
      <c r="H150" t="str">
        <f>VLOOKUP($B150,PRODUCT_MASTER!$A:$F,MATCH('FINAL DATA'!H$1,PRODUCT_MASTER!$A$1:$F$1,0),0)</f>
        <v>Poultry</v>
      </c>
      <c r="I150" t="str">
        <f>VLOOKUP($B150,PRODUCT_MASTER!$A:$F,MATCH('FINAL DATA'!I$1,PRODUCT_MASTER!$A$1:$F$1,0),0)</f>
        <v>Ft</v>
      </c>
      <c r="J150" s="7">
        <f>VLOOKUP($B150,PRODUCT_MASTER!$A:$F,MATCH('FINAL DATA'!J$1,PRODUCT_MASTER!$A$1:$F$1,0),0)</f>
        <v>150</v>
      </c>
      <c r="K150" s="7">
        <f>VLOOKUP($B150,PRODUCT_MASTER!$A:$F,MATCH('FINAL DATA'!K$1,PRODUCT_MASTER!$A$1:$F$1,0),0)</f>
        <v>210</v>
      </c>
      <c r="L150" s="7">
        <f t="shared" si="10"/>
        <v>150</v>
      </c>
      <c r="M150" s="7">
        <f t="shared" si="11"/>
        <v>210</v>
      </c>
      <c r="N150">
        <f t="shared" si="12"/>
        <v>13</v>
      </c>
      <c r="O150" t="str">
        <f t="shared" si="13"/>
        <v>Jul</v>
      </c>
      <c r="P150">
        <f t="shared" si="14"/>
        <v>2021</v>
      </c>
    </row>
    <row r="151" spans="1:16" x14ac:dyDescent="0.2">
      <c r="A151" s="1">
        <v>44393</v>
      </c>
      <c r="B151" t="s">
        <v>51</v>
      </c>
      <c r="C151">
        <v>8</v>
      </c>
      <c r="D151" t="s">
        <v>100</v>
      </c>
      <c r="E151" t="s">
        <v>102</v>
      </c>
      <c r="F151" s="5">
        <v>0</v>
      </c>
      <c r="G151" t="str">
        <f>VLOOKUP($B151,PRODUCT_MASTER!$A:$F,MATCH('FINAL DATA'!G$1,PRODUCT_MASTER!$A$1:$F$1,0),0)</f>
        <v>Product23</v>
      </c>
      <c r="H151" t="str">
        <f>VLOOKUP($B151,PRODUCT_MASTER!$A:$F,MATCH('FINAL DATA'!H$1,PRODUCT_MASTER!$A$1:$F$1,0),0)</f>
        <v>Seafood</v>
      </c>
      <c r="I151" t="str">
        <f>VLOOKUP($B151,PRODUCT_MASTER!$A:$F,MATCH('FINAL DATA'!I$1,PRODUCT_MASTER!$A$1:$F$1,0),0)</f>
        <v>Ft</v>
      </c>
      <c r="J151" s="7">
        <f>VLOOKUP($B151,PRODUCT_MASTER!$A:$F,MATCH('FINAL DATA'!J$1,PRODUCT_MASTER!$A$1:$F$1,0),0)</f>
        <v>141</v>
      </c>
      <c r="K151" s="7">
        <f>VLOOKUP($B151,PRODUCT_MASTER!$A:$F,MATCH('FINAL DATA'!K$1,PRODUCT_MASTER!$A$1:$F$1,0),0)</f>
        <v>149.46</v>
      </c>
      <c r="L151" s="7">
        <f t="shared" si="10"/>
        <v>1128</v>
      </c>
      <c r="M151" s="7">
        <f t="shared" si="11"/>
        <v>1195.68</v>
      </c>
      <c r="N151">
        <f t="shared" si="12"/>
        <v>16</v>
      </c>
      <c r="O151" t="str">
        <f t="shared" si="13"/>
        <v>Jul</v>
      </c>
      <c r="P151">
        <f t="shared" si="14"/>
        <v>2021</v>
      </c>
    </row>
    <row r="152" spans="1:16" x14ac:dyDescent="0.2">
      <c r="A152" s="1">
        <v>44395</v>
      </c>
      <c r="B152" t="s">
        <v>59</v>
      </c>
      <c r="C152">
        <v>14</v>
      </c>
      <c r="D152" t="s">
        <v>101</v>
      </c>
      <c r="E152" t="s">
        <v>101</v>
      </c>
      <c r="F152" s="5">
        <v>0</v>
      </c>
      <c r="G152" t="str">
        <f>VLOOKUP($B152,PRODUCT_MASTER!$A:$F,MATCH('FINAL DATA'!G$1,PRODUCT_MASTER!$A$1:$F$1,0),0)</f>
        <v>Product27</v>
      </c>
      <c r="H152" t="str">
        <f>VLOOKUP($B152,PRODUCT_MASTER!$A:$F,MATCH('FINAL DATA'!H$1,PRODUCT_MASTER!$A$1:$F$1,0),0)</f>
        <v>Cheese And Dairy</v>
      </c>
      <c r="I152" t="str">
        <f>VLOOKUP($B152,PRODUCT_MASTER!$A:$F,MATCH('FINAL DATA'!I$1,PRODUCT_MASTER!$A$1:$F$1,0),0)</f>
        <v>Lt</v>
      </c>
      <c r="J152" s="7">
        <f>VLOOKUP($B152,PRODUCT_MASTER!$A:$F,MATCH('FINAL DATA'!J$1,PRODUCT_MASTER!$A$1:$F$1,0),0)</f>
        <v>48</v>
      </c>
      <c r="K152" s="7">
        <f>VLOOKUP($B152,PRODUCT_MASTER!$A:$F,MATCH('FINAL DATA'!K$1,PRODUCT_MASTER!$A$1:$F$1,0),0)</f>
        <v>57.120000000000005</v>
      </c>
      <c r="L152" s="7">
        <f t="shared" si="10"/>
        <v>672</v>
      </c>
      <c r="M152" s="7">
        <f t="shared" si="11"/>
        <v>799.68000000000006</v>
      </c>
      <c r="N152">
        <f t="shared" si="12"/>
        <v>18</v>
      </c>
      <c r="O152" t="str">
        <f t="shared" si="13"/>
        <v>Jul</v>
      </c>
      <c r="P152">
        <f t="shared" si="14"/>
        <v>2021</v>
      </c>
    </row>
    <row r="153" spans="1:16" x14ac:dyDescent="0.2">
      <c r="A153" s="1">
        <v>44397</v>
      </c>
      <c r="B153" t="s">
        <v>81</v>
      </c>
      <c r="C153">
        <v>11</v>
      </c>
      <c r="D153" t="s">
        <v>101</v>
      </c>
      <c r="E153" t="s">
        <v>101</v>
      </c>
      <c r="F153" s="5">
        <v>0</v>
      </c>
      <c r="G153" t="str">
        <f>VLOOKUP($B153,PRODUCT_MASTER!$A:$F,MATCH('FINAL DATA'!G$1,PRODUCT_MASTER!$A$1:$F$1,0),0)</f>
        <v>Product38</v>
      </c>
      <c r="H153" t="str">
        <f>VLOOKUP($B153,PRODUCT_MASTER!$A:$F,MATCH('FINAL DATA'!H$1,PRODUCT_MASTER!$A$1:$F$1,0),0)</f>
        <v>Snacks</v>
      </c>
      <c r="I153" t="str">
        <f>VLOOKUP($B153,PRODUCT_MASTER!$A:$F,MATCH('FINAL DATA'!I$1,PRODUCT_MASTER!$A$1:$F$1,0),0)</f>
        <v>Kg</v>
      </c>
      <c r="J153" s="7">
        <f>VLOOKUP($B153,PRODUCT_MASTER!$A:$F,MATCH('FINAL DATA'!J$1,PRODUCT_MASTER!$A$1:$F$1,0),0)</f>
        <v>72</v>
      </c>
      <c r="K153" s="7">
        <f>VLOOKUP($B153,PRODUCT_MASTER!$A:$F,MATCH('FINAL DATA'!K$1,PRODUCT_MASTER!$A$1:$F$1,0),0)</f>
        <v>79.92</v>
      </c>
      <c r="L153" s="7">
        <f t="shared" si="10"/>
        <v>792</v>
      </c>
      <c r="M153" s="7">
        <f t="shared" si="11"/>
        <v>879.12</v>
      </c>
      <c r="N153">
        <f t="shared" si="12"/>
        <v>20</v>
      </c>
      <c r="O153" t="str">
        <f t="shared" si="13"/>
        <v>Jul</v>
      </c>
      <c r="P153">
        <f t="shared" si="14"/>
        <v>2021</v>
      </c>
    </row>
    <row r="154" spans="1:16" x14ac:dyDescent="0.2">
      <c r="A154" s="1">
        <v>44397</v>
      </c>
      <c r="B154" t="s">
        <v>91</v>
      </c>
      <c r="C154">
        <v>5</v>
      </c>
      <c r="D154" t="s">
        <v>103</v>
      </c>
      <c r="E154" t="s">
        <v>101</v>
      </c>
      <c r="F154" s="5">
        <v>0</v>
      </c>
      <c r="G154" t="str">
        <f>VLOOKUP($B154,PRODUCT_MASTER!$A:$F,MATCH('FINAL DATA'!G$1,PRODUCT_MASTER!$A$1:$F$1,0),0)</f>
        <v>Product43</v>
      </c>
      <c r="H154" t="str">
        <f>VLOOKUP($B154,PRODUCT_MASTER!$A:$F,MATCH('FINAL DATA'!H$1,PRODUCT_MASTER!$A$1:$F$1,0),0)</f>
        <v>Candy</v>
      </c>
      <c r="I154" t="str">
        <f>VLOOKUP($B154,PRODUCT_MASTER!$A:$F,MATCH('FINAL DATA'!I$1,PRODUCT_MASTER!$A$1:$F$1,0),0)</f>
        <v>Kg</v>
      </c>
      <c r="J154" s="7">
        <f>VLOOKUP($B154,PRODUCT_MASTER!$A:$F,MATCH('FINAL DATA'!J$1,PRODUCT_MASTER!$A$1:$F$1,0),0)</f>
        <v>67</v>
      </c>
      <c r="K154" s="7">
        <f>VLOOKUP($B154,PRODUCT_MASTER!$A:$F,MATCH('FINAL DATA'!K$1,PRODUCT_MASTER!$A$1:$F$1,0),0)</f>
        <v>83.08</v>
      </c>
      <c r="L154" s="7">
        <f t="shared" si="10"/>
        <v>335</v>
      </c>
      <c r="M154" s="7">
        <f t="shared" si="11"/>
        <v>415.4</v>
      </c>
      <c r="N154">
        <f t="shared" si="12"/>
        <v>20</v>
      </c>
      <c r="O154" t="str">
        <f t="shared" si="13"/>
        <v>Jul</v>
      </c>
      <c r="P154">
        <f t="shared" si="14"/>
        <v>2021</v>
      </c>
    </row>
    <row r="155" spans="1:16" x14ac:dyDescent="0.2">
      <c r="A155" s="1">
        <v>44398</v>
      </c>
      <c r="B155" t="s">
        <v>63</v>
      </c>
      <c r="C155">
        <v>15</v>
      </c>
      <c r="D155" t="s">
        <v>103</v>
      </c>
      <c r="E155" t="s">
        <v>101</v>
      </c>
      <c r="F155" s="5">
        <v>0</v>
      </c>
      <c r="G155" t="str">
        <f>VLOOKUP($B155,PRODUCT_MASTER!$A:$F,MATCH('FINAL DATA'!G$1,PRODUCT_MASTER!$A$1:$F$1,0),0)</f>
        <v>Product29</v>
      </c>
      <c r="H155" t="str">
        <f>VLOOKUP($B155,PRODUCT_MASTER!$A:$F,MATCH('FINAL DATA'!H$1,PRODUCT_MASTER!$A$1:$F$1,0),0)</f>
        <v>Cheese And Dairy</v>
      </c>
      <c r="I155" t="str">
        <f>VLOOKUP($B155,PRODUCT_MASTER!$A:$F,MATCH('FINAL DATA'!I$1,PRODUCT_MASTER!$A$1:$F$1,0),0)</f>
        <v>Lt</v>
      </c>
      <c r="J155" s="7">
        <f>VLOOKUP($B155,PRODUCT_MASTER!$A:$F,MATCH('FINAL DATA'!J$1,PRODUCT_MASTER!$A$1:$F$1,0),0)</f>
        <v>47</v>
      </c>
      <c r="K155" s="7">
        <f>VLOOKUP($B155,PRODUCT_MASTER!$A:$F,MATCH('FINAL DATA'!K$1,PRODUCT_MASTER!$A$1:$F$1,0),0)</f>
        <v>53.11</v>
      </c>
      <c r="L155" s="7">
        <f t="shared" si="10"/>
        <v>705</v>
      </c>
      <c r="M155" s="7">
        <f t="shared" si="11"/>
        <v>796.65</v>
      </c>
      <c r="N155">
        <f t="shared" si="12"/>
        <v>21</v>
      </c>
      <c r="O155" t="str">
        <f t="shared" si="13"/>
        <v>Jul</v>
      </c>
      <c r="P155">
        <f t="shared" si="14"/>
        <v>2021</v>
      </c>
    </row>
    <row r="156" spans="1:16" x14ac:dyDescent="0.2">
      <c r="A156" s="1">
        <v>44399</v>
      </c>
      <c r="B156" t="s">
        <v>57</v>
      </c>
      <c r="C156">
        <v>3</v>
      </c>
      <c r="D156" t="s">
        <v>100</v>
      </c>
      <c r="E156" t="s">
        <v>102</v>
      </c>
      <c r="F156" s="5">
        <v>0</v>
      </c>
      <c r="G156" t="str">
        <f>VLOOKUP($B156,PRODUCT_MASTER!$A:$F,MATCH('FINAL DATA'!G$1,PRODUCT_MASTER!$A$1:$F$1,0),0)</f>
        <v>Product26</v>
      </c>
      <c r="H156" t="str">
        <f>VLOOKUP($B156,PRODUCT_MASTER!$A:$F,MATCH('FINAL DATA'!H$1,PRODUCT_MASTER!$A$1:$F$1,0),0)</f>
        <v>Seafood</v>
      </c>
      <c r="I156" t="str">
        <f>VLOOKUP($B156,PRODUCT_MASTER!$A:$F,MATCH('FINAL DATA'!I$1,PRODUCT_MASTER!$A$1:$F$1,0),0)</f>
        <v>No.</v>
      </c>
      <c r="J156" s="7">
        <f>VLOOKUP($B156,PRODUCT_MASTER!$A:$F,MATCH('FINAL DATA'!J$1,PRODUCT_MASTER!$A$1:$F$1,0),0)</f>
        <v>18</v>
      </c>
      <c r="K156" s="7">
        <f>VLOOKUP($B156,PRODUCT_MASTER!$A:$F,MATCH('FINAL DATA'!K$1,PRODUCT_MASTER!$A$1:$F$1,0),0)</f>
        <v>24.66</v>
      </c>
      <c r="L156" s="7">
        <f t="shared" si="10"/>
        <v>54</v>
      </c>
      <c r="M156" s="7">
        <f t="shared" si="11"/>
        <v>73.98</v>
      </c>
      <c r="N156">
        <f t="shared" si="12"/>
        <v>22</v>
      </c>
      <c r="O156" t="str">
        <f t="shared" si="13"/>
        <v>Jul</v>
      </c>
      <c r="P156">
        <f t="shared" si="14"/>
        <v>2021</v>
      </c>
    </row>
    <row r="157" spans="1:16" x14ac:dyDescent="0.2">
      <c r="A157" s="1">
        <v>44399</v>
      </c>
      <c r="B157" t="s">
        <v>53</v>
      </c>
      <c r="C157">
        <v>14</v>
      </c>
      <c r="D157" t="s">
        <v>101</v>
      </c>
      <c r="E157" t="s">
        <v>102</v>
      </c>
      <c r="F157" s="5">
        <v>0</v>
      </c>
      <c r="G157" t="str">
        <f>VLOOKUP($B157,PRODUCT_MASTER!$A:$F,MATCH('FINAL DATA'!G$1,PRODUCT_MASTER!$A$1:$F$1,0),0)</f>
        <v>Product24</v>
      </c>
      <c r="H157" t="str">
        <f>VLOOKUP($B157,PRODUCT_MASTER!$A:$F,MATCH('FINAL DATA'!H$1,PRODUCT_MASTER!$A$1:$F$1,0),0)</f>
        <v>Seafood</v>
      </c>
      <c r="I157" t="str">
        <f>VLOOKUP($B157,PRODUCT_MASTER!$A:$F,MATCH('FINAL DATA'!I$1,PRODUCT_MASTER!$A$1:$F$1,0),0)</f>
        <v>Ft</v>
      </c>
      <c r="J157" s="7">
        <f>VLOOKUP($B157,PRODUCT_MASTER!$A:$F,MATCH('FINAL DATA'!J$1,PRODUCT_MASTER!$A$1:$F$1,0),0)</f>
        <v>144</v>
      </c>
      <c r="K157" s="7">
        <f>VLOOKUP($B157,PRODUCT_MASTER!$A:$F,MATCH('FINAL DATA'!K$1,PRODUCT_MASTER!$A$1:$F$1,0),0)</f>
        <v>156.96</v>
      </c>
      <c r="L157" s="7">
        <f t="shared" si="10"/>
        <v>2016</v>
      </c>
      <c r="M157" s="7">
        <f t="shared" si="11"/>
        <v>2197.44</v>
      </c>
      <c r="N157">
        <f t="shared" si="12"/>
        <v>22</v>
      </c>
      <c r="O157" t="str">
        <f t="shared" si="13"/>
        <v>Jul</v>
      </c>
      <c r="P157">
        <f t="shared" si="14"/>
        <v>2021</v>
      </c>
    </row>
    <row r="158" spans="1:16" x14ac:dyDescent="0.2">
      <c r="A158" s="1">
        <v>44400</v>
      </c>
      <c r="B158" t="s">
        <v>77</v>
      </c>
      <c r="C158">
        <v>7</v>
      </c>
      <c r="D158" t="s">
        <v>100</v>
      </c>
      <c r="E158" t="s">
        <v>101</v>
      </c>
      <c r="F158" s="5">
        <v>0</v>
      </c>
      <c r="G158" t="str">
        <f>VLOOKUP($B158,PRODUCT_MASTER!$A:$F,MATCH('FINAL DATA'!G$1,PRODUCT_MASTER!$A$1:$F$1,0),0)</f>
        <v>Product36</v>
      </c>
      <c r="H158" t="str">
        <f>VLOOKUP($B158,PRODUCT_MASTER!$A:$F,MATCH('FINAL DATA'!H$1,PRODUCT_MASTER!$A$1:$F$1,0),0)</f>
        <v>Bakery And Desserts</v>
      </c>
      <c r="I158" t="str">
        <f>VLOOKUP($B158,PRODUCT_MASTER!$A:$F,MATCH('FINAL DATA'!I$1,PRODUCT_MASTER!$A$1:$F$1,0),0)</f>
        <v>Kg</v>
      </c>
      <c r="J158" s="7">
        <f>VLOOKUP($B158,PRODUCT_MASTER!$A:$F,MATCH('FINAL DATA'!J$1,PRODUCT_MASTER!$A$1:$F$1,0),0)</f>
        <v>90</v>
      </c>
      <c r="K158" s="7">
        <f>VLOOKUP($B158,PRODUCT_MASTER!$A:$F,MATCH('FINAL DATA'!K$1,PRODUCT_MASTER!$A$1:$F$1,0),0)</f>
        <v>96.3</v>
      </c>
      <c r="L158" s="7">
        <f t="shared" si="10"/>
        <v>630</v>
      </c>
      <c r="M158" s="7">
        <f t="shared" si="11"/>
        <v>674.1</v>
      </c>
      <c r="N158">
        <f t="shared" si="12"/>
        <v>23</v>
      </c>
      <c r="O158" t="str">
        <f t="shared" si="13"/>
        <v>Jul</v>
      </c>
      <c r="P158">
        <f t="shared" si="14"/>
        <v>2021</v>
      </c>
    </row>
    <row r="159" spans="1:16" x14ac:dyDescent="0.2">
      <c r="A159" s="1">
        <v>44400</v>
      </c>
      <c r="B159" t="s">
        <v>79</v>
      </c>
      <c r="C159">
        <v>8</v>
      </c>
      <c r="D159" t="s">
        <v>103</v>
      </c>
      <c r="E159" t="s">
        <v>101</v>
      </c>
      <c r="F159" s="5">
        <v>0</v>
      </c>
      <c r="G159" t="str">
        <f>VLOOKUP($B159,PRODUCT_MASTER!$A:$F,MATCH('FINAL DATA'!G$1,PRODUCT_MASTER!$A$1:$F$1,0),0)</f>
        <v>Product37</v>
      </c>
      <c r="H159" t="str">
        <f>VLOOKUP($B159,PRODUCT_MASTER!$A:$F,MATCH('FINAL DATA'!H$1,PRODUCT_MASTER!$A$1:$F$1,0),0)</f>
        <v>Snacks</v>
      </c>
      <c r="I159" t="str">
        <f>VLOOKUP($B159,PRODUCT_MASTER!$A:$F,MATCH('FINAL DATA'!I$1,PRODUCT_MASTER!$A$1:$F$1,0),0)</f>
        <v>Kg</v>
      </c>
      <c r="J159" s="7">
        <f>VLOOKUP($B159,PRODUCT_MASTER!$A:$F,MATCH('FINAL DATA'!J$1,PRODUCT_MASTER!$A$1:$F$1,0),0)</f>
        <v>67</v>
      </c>
      <c r="K159" s="7">
        <f>VLOOKUP($B159,PRODUCT_MASTER!$A:$F,MATCH('FINAL DATA'!K$1,PRODUCT_MASTER!$A$1:$F$1,0),0)</f>
        <v>85.76</v>
      </c>
      <c r="L159" s="7">
        <f t="shared" si="10"/>
        <v>536</v>
      </c>
      <c r="M159" s="7">
        <f t="shared" si="11"/>
        <v>686.08</v>
      </c>
      <c r="N159">
        <f t="shared" si="12"/>
        <v>23</v>
      </c>
      <c r="O159" t="str">
        <f t="shared" si="13"/>
        <v>Jul</v>
      </c>
      <c r="P159">
        <f t="shared" si="14"/>
        <v>2021</v>
      </c>
    </row>
    <row r="160" spans="1:16" x14ac:dyDescent="0.2">
      <c r="A160" s="1">
        <v>44401</v>
      </c>
      <c r="B160" t="s">
        <v>23</v>
      </c>
      <c r="C160">
        <v>4</v>
      </c>
      <c r="D160" t="s">
        <v>101</v>
      </c>
      <c r="E160" t="s">
        <v>102</v>
      </c>
      <c r="F160" s="5">
        <v>0</v>
      </c>
      <c r="G160" t="str">
        <f>VLOOKUP($B160,PRODUCT_MASTER!$A:$F,MATCH('FINAL DATA'!G$1,PRODUCT_MASTER!$A$1:$F$1,0),0)</f>
        <v>Product09</v>
      </c>
      <c r="H160" t="str">
        <f>VLOOKUP($B160,PRODUCT_MASTER!$A:$F,MATCH('FINAL DATA'!H$1,PRODUCT_MASTER!$A$1:$F$1,0),0)</f>
        <v>Gourmet Foods</v>
      </c>
      <c r="I160" t="str">
        <f>VLOOKUP($B160,PRODUCT_MASTER!$A:$F,MATCH('FINAL DATA'!I$1,PRODUCT_MASTER!$A$1:$F$1,0),0)</f>
        <v>No.</v>
      </c>
      <c r="J160" s="7">
        <f>VLOOKUP($B160,PRODUCT_MASTER!$A:$F,MATCH('FINAL DATA'!J$1,PRODUCT_MASTER!$A$1:$F$1,0),0)</f>
        <v>6</v>
      </c>
      <c r="K160" s="7">
        <f>VLOOKUP($B160,PRODUCT_MASTER!$A:$F,MATCH('FINAL DATA'!K$1,PRODUCT_MASTER!$A$1:$F$1,0),0)</f>
        <v>7.8599999999999994</v>
      </c>
      <c r="L160" s="7">
        <f t="shared" si="10"/>
        <v>24</v>
      </c>
      <c r="M160" s="7">
        <f t="shared" si="11"/>
        <v>31.439999999999998</v>
      </c>
      <c r="N160">
        <f t="shared" si="12"/>
        <v>24</v>
      </c>
      <c r="O160" t="str">
        <f t="shared" si="13"/>
        <v>Jul</v>
      </c>
      <c r="P160">
        <f t="shared" si="14"/>
        <v>2021</v>
      </c>
    </row>
    <row r="161" spans="1:16" x14ac:dyDescent="0.2">
      <c r="A161" s="1">
        <v>44406</v>
      </c>
      <c r="B161" t="s">
        <v>93</v>
      </c>
      <c r="C161">
        <v>15</v>
      </c>
      <c r="D161" t="s">
        <v>101</v>
      </c>
      <c r="E161" t="s">
        <v>102</v>
      </c>
      <c r="F161" s="5">
        <v>0</v>
      </c>
      <c r="G161" t="str">
        <f>VLOOKUP($B161,PRODUCT_MASTER!$A:$F,MATCH('FINAL DATA'!G$1,PRODUCT_MASTER!$A$1:$F$1,0),0)</f>
        <v>Product44</v>
      </c>
      <c r="H161" t="str">
        <f>VLOOKUP($B161,PRODUCT_MASTER!$A:$F,MATCH('FINAL DATA'!H$1,PRODUCT_MASTER!$A$1:$F$1,0),0)</f>
        <v>Candy</v>
      </c>
      <c r="I161" t="str">
        <f>VLOOKUP($B161,PRODUCT_MASTER!$A:$F,MATCH('FINAL DATA'!I$1,PRODUCT_MASTER!$A$1:$F$1,0),0)</f>
        <v>Kg</v>
      </c>
      <c r="J161" s="7">
        <f>VLOOKUP($B161,PRODUCT_MASTER!$A:$F,MATCH('FINAL DATA'!J$1,PRODUCT_MASTER!$A$1:$F$1,0),0)</f>
        <v>76</v>
      </c>
      <c r="K161" s="7">
        <f>VLOOKUP($B161,PRODUCT_MASTER!$A:$F,MATCH('FINAL DATA'!K$1,PRODUCT_MASTER!$A$1:$F$1,0),0)</f>
        <v>82.08</v>
      </c>
      <c r="L161" s="7">
        <f t="shared" si="10"/>
        <v>1140</v>
      </c>
      <c r="M161" s="7">
        <f t="shared" si="11"/>
        <v>1231.2</v>
      </c>
      <c r="N161">
        <f t="shared" si="12"/>
        <v>29</v>
      </c>
      <c r="O161" t="str">
        <f t="shared" si="13"/>
        <v>Jul</v>
      </c>
      <c r="P161">
        <f t="shared" si="14"/>
        <v>2021</v>
      </c>
    </row>
    <row r="162" spans="1:16" x14ac:dyDescent="0.2">
      <c r="A162" s="1">
        <v>44409</v>
      </c>
      <c r="B162" t="s">
        <v>6</v>
      </c>
      <c r="C162">
        <v>11</v>
      </c>
      <c r="D162" t="s">
        <v>103</v>
      </c>
      <c r="E162" t="s">
        <v>102</v>
      </c>
      <c r="F162" s="5">
        <v>0</v>
      </c>
      <c r="G162" t="str">
        <f>VLOOKUP($B162,PRODUCT_MASTER!$A:$F,MATCH('FINAL DATA'!G$1,PRODUCT_MASTER!$A$1:$F$1,0),0)</f>
        <v>Product01</v>
      </c>
      <c r="H162" t="str">
        <f>VLOOKUP($B162,PRODUCT_MASTER!$A:$F,MATCH('FINAL DATA'!H$1,PRODUCT_MASTER!$A$1:$F$1,0),0)</f>
        <v>Organic</v>
      </c>
      <c r="I162" t="str">
        <f>VLOOKUP($B162,PRODUCT_MASTER!$A:$F,MATCH('FINAL DATA'!I$1,PRODUCT_MASTER!$A$1:$F$1,0),0)</f>
        <v>Kg</v>
      </c>
      <c r="J162" s="7">
        <f>VLOOKUP($B162,PRODUCT_MASTER!$A:$F,MATCH('FINAL DATA'!J$1,PRODUCT_MASTER!$A$1:$F$1,0),0)</f>
        <v>98</v>
      </c>
      <c r="K162" s="7">
        <f>VLOOKUP($B162,PRODUCT_MASTER!$A:$F,MATCH('FINAL DATA'!K$1,PRODUCT_MASTER!$A$1:$F$1,0),0)</f>
        <v>103.88</v>
      </c>
      <c r="L162" s="7">
        <f t="shared" si="10"/>
        <v>1078</v>
      </c>
      <c r="M162" s="7">
        <f t="shared" si="11"/>
        <v>1142.6799999999998</v>
      </c>
      <c r="N162">
        <f t="shared" si="12"/>
        <v>1</v>
      </c>
      <c r="O162" t="str">
        <f t="shared" si="13"/>
        <v>Aug</v>
      </c>
      <c r="P162">
        <f t="shared" si="14"/>
        <v>2021</v>
      </c>
    </row>
    <row r="163" spans="1:16" x14ac:dyDescent="0.2">
      <c r="A163" s="1">
        <v>44410</v>
      </c>
      <c r="B163" t="s">
        <v>51</v>
      </c>
      <c r="C163">
        <v>3</v>
      </c>
      <c r="D163" t="s">
        <v>103</v>
      </c>
      <c r="E163" t="s">
        <v>101</v>
      </c>
      <c r="F163" s="5">
        <v>0</v>
      </c>
      <c r="G163" t="str">
        <f>VLOOKUP($B163,PRODUCT_MASTER!$A:$F,MATCH('FINAL DATA'!G$1,PRODUCT_MASTER!$A$1:$F$1,0),0)</f>
        <v>Product23</v>
      </c>
      <c r="H163" t="str">
        <f>VLOOKUP($B163,PRODUCT_MASTER!$A:$F,MATCH('FINAL DATA'!H$1,PRODUCT_MASTER!$A$1:$F$1,0),0)</f>
        <v>Seafood</v>
      </c>
      <c r="I163" t="str">
        <f>VLOOKUP($B163,PRODUCT_MASTER!$A:$F,MATCH('FINAL DATA'!I$1,PRODUCT_MASTER!$A$1:$F$1,0),0)</f>
        <v>Ft</v>
      </c>
      <c r="J163" s="7">
        <f>VLOOKUP($B163,PRODUCT_MASTER!$A:$F,MATCH('FINAL DATA'!J$1,PRODUCT_MASTER!$A$1:$F$1,0),0)</f>
        <v>141</v>
      </c>
      <c r="K163" s="7">
        <f>VLOOKUP($B163,PRODUCT_MASTER!$A:$F,MATCH('FINAL DATA'!K$1,PRODUCT_MASTER!$A$1:$F$1,0),0)</f>
        <v>149.46</v>
      </c>
      <c r="L163" s="7">
        <f t="shared" si="10"/>
        <v>423</v>
      </c>
      <c r="M163" s="7">
        <f t="shared" si="11"/>
        <v>448.38</v>
      </c>
      <c r="N163">
        <f t="shared" si="12"/>
        <v>2</v>
      </c>
      <c r="O163" t="str">
        <f t="shared" si="13"/>
        <v>Aug</v>
      </c>
      <c r="P163">
        <f t="shared" si="14"/>
        <v>2021</v>
      </c>
    </row>
    <row r="164" spans="1:16" x14ac:dyDescent="0.2">
      <c r="A164" s="1">
        <v>44411</v>
      </c>
      <c r="B164" t="s">
        <v>49</v>
      </c>
      <c r="C164">
        <v>13</v>
      </c>
      <c r="D164" t="s">
        <v>101</v>
      </c>
      <c r="E164" t="s">
        <v>101</v>
      </c>
      <c r="F164" s="5">
        <v>0</v>
      </c>
      <c r="G164" t="str">
        <f>VLOOKUP($B164,PRODUCT_MASTER!$A:$F,MATCH('FINAL DATA'!G$1,PRODUCT_MASTER!$A$1:$F$1,0),0)</f>
        <v>Product22</v>
      </c>
      <c r="H164" t="str">
        <f>VLOOKUP($B164,PRODUCT_MASTER!$A:$F,MATCH('FINAL DATA'!H$1,PRODUCT_MASTER!$A$1:$F$1,0),0)</f>
        <v>Seafood</v>
      </c>
      <c r="I164" t="str">
        <f>VLOOKUP($B164,PRODUCT_MASTER!$A:$F,MATCH('FINAL DATA'!I$1,PRODUCT_MASTER!$A$1:$F$1,0),0)</f>
        <v>Ft</v>
      </c>
      <c r="J164" s="7">
        <f>VLOOKUP($B164,PRODUCT_MASTER!$A:$F,MATCH('FINAL DATA'!J$1,PRODUCT_MASTER!$A$1:$F$1,0),0)</f>
        <v>121</v>
      </c>
      <c r="K164" s="7">
        <f>VLOOKUP($B164,PRODUCT_MASTER!$A:$F,MATCH('FINAL DATA'!K$1,PRODUCT_MASTER!$A$1:$F$1,0),0)</f>
        <v>141.57</v>
      </c>
      <c r="L164" s="7">
        <f t="shared" si="10"/>
        <v>1573</v>
      </c>
      <c r="M164" s="7">
        <f t="shared" si="11"/>
        <v>1840.4099999999999</v>
      </c>
      <c r="N164">
        <f t="shared" si="12"/>
        <v>3</v>
      </c>
      <c r="O164" t="str">
        <f t="shared" si="13"/>
        <v>Aug</v>
      </c>
      <c r="P164">
        <f t="shared" si="14"/>
        <v>2021</v>
      </c>
    </row>
    <row r="165" spans="1:16" x14ac:dyDescent="0.2">
      <c r="A165" s="1">
        <v>44411</v>
      </c>
      <c r="B165" t="s">
        <v>73</v>
      </c>
      <c r="C165">
        <v>12</v>
      </c>
      <c r="D165" t="s">
        <v>101</v>
      </c>
      <c r="E165" t="s">
        <v>101</v>
      </c>
      <c r="F165" s="5">
        <v>0</v>
      </c>
      <c r="G165" t="str">
        <f>VLOOKUP($B165,PRODUCT_MASTER!$A:$F,MATCH('FINAL DATA'!G$1,PRODUCT_MASTER!$A$1:$F$1,0),0)</f>
        <v>Product34</v>
      </c>
      <c r="H165" t="str">
        <f>VLOOKUP($B165,PRODUCT_MASTER!$A:$F,MATCH('FINAL DATA'!H$1,PRODUCT_MASTER!$A$1:$F$1,0),0)</f>
        <v>Bakery And Desserts</v>
      </c>
      <c r="I165" t="str">
        <f>VLOOKUP($B165,PRODUCT_MASTER!$A:$F,MATCH('FINAL DATA'!I$1,PRODUCT_MASTER!$A$1:$F$1,0),0)</f>
        <v>Lt</v>
      </c>
      <c r="J165" s="7">
        <f>VLOOKUP($B165,PRODUCT_MASTER!$A:$F,MATCH('FINAL DATA'!J$1,PRODUCT_MASTER!$A$1:$F$1,0),0)</f>
        <v>55</v>
      </c>
      <c r="K165" s="7">
        <f>VLOOKUP($B165,PRODUCT_MASTER!$A:$F,MATCH('FINAL DATA'!K$1,PRODUCT_MASTER!$A$1:$F$1,0),0)</f>
        <v>58.3</v>
      </c>
      <c r="L165" s="7">
        <f t="shared" si="10"/>
        <v>660</v>
      </c>
      <c r="M165" s="7">
        <f t="shared" si="11"/>
        <v>699.59999999999991</v>
      </c>
      <c r="N165">
        <f t="shared" si="12"/>
        <v>3</v>
      </c>
      <c r="O165" t="str">
        <f t="shared" si="13"/>
        <v>Aug</v>
      </c>
      <c r="P165">
        <f t="shared" si="14"/>
        <v>2021</v>
      </c>
    </row>
    <row r="166" spans="1:16" x14ac:dyDescent="0.2">
      <c r="A166" s="1">
        <v>44413</v>
      </c>
      <c r="B166" t="s">
        <v>61</v>
      </c>
      <c r="C166">
        <v>14</v>
      </c>
      <c r="D166" t="s">
        <v>103</v>
      </c>
      <c r="E166" t="s">
        <v>102</v>
      </c>
      <c r="F166" s="5">
        <v>0</v>
      </c>
      <c r="G166" t="str">
        <f>VLOOKUP($B166,PRODUCT_MASTER!$A:$F,MATCH('FINAL DATA'!G$1,PRODUCT_MASTER!$A$1:$F$1,0),0)</f>
        <v>Product28</v>
      </c>
      <c r="H166" t="str">
        <f>VLOOKUP($B166,PRODUCT_MASTER!$A:$F,MATCH('FINAL DATA'!H$1,PRODUCT_MASTER!$A$1:$F$1,0),0)</f>
        <v>Cheese And Dairy</v>
      </c>
      <c r="I166" t="str">
        <f>VLOOKUP($B166,PRODUCT_MASTER!$A:$F,MATCH('FINAL DATA'!I$1,PRODUCT_MASTER!$A$1:$F$1,0),0)</f>
        <v>No.</v>
      </c>
      <c r="J166" s="7">
        <f>VLOOKUP($B166,PRODUCT_MASTER!$A:$F,MATCH('FINAL DATA'!J$1,PRODUCT_MASTER!$A$1:$F$1,0),0)</f>
        <v>37</v>
      </c>
      <c r="K166" s="7">
        <f>VLOOKUP($B166,PRODUCT_MASTER!$A:$F,MATCH('FINAL DATA'!K$1,PRODUCT_MASTER!$A$1:$F$1,0),0)</f>
        <v>41.81</v>
      </c>
      <c r="L166" s="7">
        <f t="shared" si="10"/>
        <v>518</v>
      </c>
      <c r="M166" s="7">
        <f t="shared" si="11"/>
        <v>585.34</v>
      </c>
      <c r="N166">
        <f t="shared" si="12"/>
        <v>5</v>
      </c>
      <c r="O166" t="str">
        <f t="shared" si="13"/>
        <v>Aug</v>
      </c>
      <c r="P166">
        <f t="shared" si="14"/>
        <v>2021</v>
      </c>
    </row>
    <row r="167" spans="1:16" x14ac:dyDescent="0.2">
      <c r="A167" s="1">
        <v>44414</v>
      </c>
      <c r="B167" t="s">
        <v>79</v>
      </c>
      <c r="C167">
        <v>1</v>
      </c>
      <c r="D167" t="s">
        <v>100</v>
      </c>
      <c r="E167" t="s">
        <v>102</v>
      </c>
      <c r="F167" s="5">
        <v>0</v>
      </c>
      <c r="G167" t="str">
        <f>VLOOKUP($B167,PRODUCT_MASTER!$A:$F,MATCH('FINAL DATA'!G$1,PRODUCT_MASTER!$A$1:$F$1,0),0)</f>
        <v>Product37</v>
      </c>
      <c r="H167" t="str">
        <f>VLOOKUP($B167,PRODUCT_MASTER!$A:$F,MATCH('FINAL DATA'!H$1,PRODUCT_MASTER!$A$1:$F$1,0),0)</f>
        <v>Snacks</v>
      </c>
      <c r="I167" t="str">
        <f>VLOOKUP($B167,PRODUCT_MASTER!$A:$F,MATCH('FINAL DATA'!I$1,PRODUCT_MASTER!$A$1:$F$1,0),0)</f>
        <v>Kg</v>
      </c>
      <c r="J167" s="7">
        <f>VLOOKUP($B167,PRODUCT_MASTER!$A:$F,MATCH('FINAL DATA'!J$1,PRODUCT_MASTER!$A$1:$F$1,0),0)</f>
        <v>67</v>
      </c>
      <c r="K167" s="7">
        <f>VLOOKUP($B167,PRODUCT_MASTER!$A:$F,MATCH('FINAL DATA'!K$1,PRODUCT_MASTER!$A$1:$F$1,0),0)</f>
        <v>85.76</v>
      </c>
      <c r="L167" s="7">
        <f t="shared" si="10"/>
        <v>67</v>
      </c>
      <c r="M167" s="7">
        <f t="shared" si="11"/>
        <v>85.76</v>
      </c>
      <c r="N167">
        <f t="shared" si="12"/>
        <v>6</v>
      </c>
      <c r="O167" t="str">
        <f t="shared" si="13"/>
        <v>Aug</v>
      </c>
      <c r="P167">
        <f t="shared" si="14"/>
        <v>2021</v>
      </c>
    </row>
    <row r="168" spans="1:16" x14ac:dyDescent="0.2">
      <c r="A168" s="1">
        <v>44418</v>
      </c>
      <c r="B168" t="s">
        <v>15</v>
      </c>
      <c r="C168">
        <v>4</v>
      </c>
      <c r="D168" t="s">
        <v>100</v>
      </c>
      <c r="E168" t="s">
        <v>102</v>
      </c>
      <c r="F168" s="5">
        <v>0</v>
      </c>
      <c r="G168" t="str">
        <f>VLOOKUP($B168,PRODUCT_MASTER!$A:$F,MATCH('FINAL DATA'!G$1,PRODUCT_MASTER!$A$1:$F$1,0),0)</f>
        <v>Product05</v>
      </c>
      <c r="H168" t="str">
        <f>VLOOKUP($B168,PRODUCT_MASTER!$A:$F,MATCH('FINAL DATA'!H$1,PRODUCT_MASTER!$A$1:$F$1,0),0)</f>
        <v>Organic</v>
      </c>
      <c r="I168" t="str">
        <f>VLOOKUP($B168,PRODUCT_MASTER!$A:$F,MATCH('FINAL DATA'!I$1,PRODUCT_MASTER!$A$1:$F$1,0),0)</f>
        <v>Ft</v>
      </c>
      <c r="J168" s="7">
        <f>VLOOKUP($B168,PRODUCT_MASTER!$A:$F,MATCH('FINAL DATA'!J$1,PRODUCT_MASTER!$A$1:$F$1,0),0)</f>
        <v>133</v>
      </c>
      <c r="K168" s="7">
        <f>VLOOKUP($B168,PRODUCT_MASTER!$A:$F,MATCH('FINAL DATA'!K$1,PRODUCT_MASTER!$A$1:$F$1,0),0)</f>
        <v>155.61000000000001</v>
      </c>
      <c r="L168" s="7">
        <f t="shared" si="10"/>
        <v>532</v>
      </c>
      <c r="M168" s="7">
        <f t="shared" si="11"/>
        <v>622.44000000000005</v>
      </c>
      <c r="N168">
        <f t="shared" si="12"/>
        <v>10</v>
      </c>
      <c r="O168" t="str">
        <f t="shared" si="13"/>
        <v>Aug</v>
      </c>
      <c r="P168">
        <f t="shared" si="14"/>
        <v>2021</v>
      </c>
    </row>
    <row r="169" spans="1:16" x14ac:dyDescent="0.2">
      <c r="A169" s="1">
        <v>44418</v>
      </c>
      <c r="B169" t="s">
        <v>93</v>
      </c>
      <c r="C169">
        <v>10</v>
      </c>
      <c r="D169" t="s">
        <v>101</v>
      </c>
      <c r="E169" t="s">
        <v>102</v>
      </c>
      <c r="F169" s="5">
        <v>0</v>
      </c>
      <c r="G169" t="str">
        <f>VLOOKUP($B169,PRODUCT_MASTER!$A:$F,MATCH('FINAL DATA'!G$1,PRODUCT_MASTER!$A$1:$F$1,0),0)</f>
        <v>Product44</v>
      </c>
      <c r="H169" t="str">
        <f>VLOOKUP($B169,PRODUCT_MASTER!$A:$F,MATCH('FINAL DATA'!H$1,PRODUCT_MASTER!$A$1:$F$1,0),0)</f>
        <v>Candy</v>
      </c>
      <c r="I169" t="str">
        <f>VLOOKUP($B169,PRODUCT_MASTER!$A:$F,MATCH('FINAL DATA'!I$1,PRODUCT_MASTER!$A$1:$F$1,0),0)</f>
        <v>Kg</v>
      </c>
      <c r="J169" s="7">
        <f>VLOOKUP($B169,PRODUCT_MASTER!$A:$F,MATCH('FINAL DATA'!J$1,PRODUCT_MASTER!$A$1:$F$1,0),0)</f>
        <v>76</v>
      </c>
      <c r="K169" s="7">
        <f>VLOOKUP($B169,PRODUCT_MASTER!$A:$F,MATCH('FINAL DATA'!K$1,PRODUCT_MASTER!$A$1:$F$1,0),0)</f>
        <v>82.08</v>
      </c>
      <c r="L169" s="7">
        <f t="shared" si="10"/>
        <v>760</v>
      </c>
      <c r="M169" s="7">
        <f t="shared" si="11"/>
        <v>820.8</v>
      </c>
      <c r="N169">
        <f t="shared" si="12"/>
        <v>10</v>
      </c>
      <c r="O169" t="str">
        <f t="shared" si="13"/>
        <v>Aug</v>
      </c>
      <c r="P169">
        <f t="shared" si="14"/>
        <v>2021</v>
      </c>
    </row>
    <row r="170" spans="1:16" x14ac:dyDescent="0.2">
      <c r="A170" s="1">
        <v>44418</v>
      </c>
      <c r="B170" t="s">
        <v>17</v>
      </c>
      <c r="C170">
        <v>6</v>
      </c>
      <c r="D170" t="s">
        <v>103</v>
      </c>
      <c r="E170" t="s">
        <v>102</v>
      </c>
      <c r="F170" s="5">
        <v>0</v>
      </c>
      <c r="G170" t="str">
        <f>VLOOKUP($B170,PRODUCT_MASTER!$A:$F,MATCH('FINAL DATA'!G$1,PRODUCT_MASTER!$A$1:$F$1,0),0)</f>
        <v>Product06</v>
      </c>
      <c r="H170" t="str">
        <f>VLOOKUP($B170,PRODUCT_MASTER!$A:$F,MATCH('FINAL DATA'!H$1,PRODUCT_MASTER!$A$1:$F$1,0),0)</f>
        <v>Gourmet Foods</v>
      </c>
      <c r="I170" t="str">
        <f>VLOOKUP($B170,PRODUCT_MASTER!$A:$F,MATCH('FINAL DATA'!I$1,PRODUCT_MASTER!$A$1:$F$1,0),0)</f>
        <v>Kg</v>
      </c>
      <c r="J170" s="7">
        <f>VLOOKUP($B170,PRODUCT_MASTER!$A:$F,MATCH('FINAL DATA'!J$1,PRODUCT_MASTER!$A$1:$F$1,0),0)</f>
        <v>75</v>
      </c>
      <c r="K170" s="7">
        <f>VLOOKUP($B170,PRODUCT_MASTER!$A:$F,MATCH('FINAL DATA'!K$1,PRODUCT_MASTER!$A$1:$F$1,0),0)</f>
        <v>85.5</v>
      </c>
      <c r="L170" s="7">
        <f t="shared" si="10"/>
        <v>450</v>
      </c>
      <c r="M170" s="7">
        <f t="shared" si="11"/>
        <v>513</v>
      </c>
      <c r="N170">
        <f t="shared" si="12"/>
        <v>10</v>
      </c>
      <c r="O170" t="str">
        <f t="shared" si="13"/>
        <v>Aug</v>
      </c>
      <c r="P170">
        <f t="shared" si="14"/>
        <v>2021</v>
      </c>
    </row>
    <row r="171" spans="1:16" x14ac:dyDescent="0.2">
      <c r="A171" s="1">
        <v>44419</v>
      </c>
      <c r="B171" t="s">
        <v>51</v>
      </c>
      <c r="C171">
        <v>4</v>
      </c>
      <c r="D171" t="s">
        <v>103</v>
      </c>
      <c r="E171" t="s">
        <v>101</v>
      </c>
      <c r="F171" s="5">
        <v>0</v>
      </c>
      <c r="G171" t="str">
        <f>VLOOKUP($B171,PRODUCT_MASTER!$A:$F,MATCH('FINAL DATA'!G$1,PRODUCT_MASTER!$A$1:$F$1,0),0)</f>
        <v>Product23</v>
      </c>
      <c r="H171" t="str">
        <f>VLOOKUP($B171,PRODUCT_MASTER!$A:$F,MATCH('FINAL DATA'!H$1,PRODUCT_MASTER!$A$1:$F$1,0),0)</f>
        <v>Seafood</v>
      </c>
      <c r="I171" t="str">
        <f>VLOOKUP($B171,PRODUCT_MASTER!$A:$F,MATCH('FINAL DATA'!I$1,PRODUCT_MASTER!$A$1:$F$1,0),0)</f>
        <v>Ft</v>
      </c>
      <c r="J171" s="7">
        <f>VLOOKUP($B171,PRODUCT_MASTER!$A:$F,MATCH('FINAL DATA'!J$1,PRODUCT_MASTER!$A$1:$F$1,0),0)</f>
        <v>141</v>
      </c>
      <c r="K171" s="7">
        <f>VLOOKUP($B171,PRODUCT_MASTER!$A:$F,MATCH('FINAL DATA'!K$1,PRODUCT_MASTER!$A$1:$F$1,0),0)</f>
        <v>149.46</v>
      </c>
      <c r="L171" s="7">
        <f t="shared" si="10"/>
        <v>564</v>
      </c>
      <c r="M171" s="7">
        <f t="shared" si="11"/>
        <v>597.84</v>
      </c>
      <c r="N171">
        <f t="shared" si="12"/>
        <v>11</v>
      </c>
      <c r="O171" t="str">
        <f t="shared" si="13"/>
        <v>Aug</v>
      </c>
      <c r="P171">
        <f t="shared" si="14"/>
        <v>2021</v>
      </c>
    </row>
    <row r="172" spans="1:16" x14ac:dyDescent="0.2">
      <c r="A172" s="1">
        <v>44421</v>
      </c>
      <c r="B172" t="s">
        <v>27</v>
      </c>
      <c r="C172">
        <v>13</v>
      </c>
      <c r="D172" t="s">
        <v>103</v>
      </c>
      <c r="E172" t="s">
        <v>101</v>
      </c>
      <c r="F172" s="5">
        <v>0</v>
      </c>
      <c r="G172" t="str">
        <f>VLOOKUP($B172,PRODUCT_MASTER!$A:$F,MATCH('FINAL DATA'!G$1,PRODUCT_MASTER!$A$1:$F$1,0),0)</f>
        <v>Product11</v>
      </c>
      <c r="H172" t="str">
        <f>VLOOKUP($B172,PRODUCT_MASTER!$A:$F,MATCH('FINAL DATA'!H$1,PRODUCT_MASTER!$A$1:$F$1,0),0)</f>
        <v>Gourmet Foods</v>
      </c>
      <c r="I172" t="str">
        <f>VLOOKUP($B172,PRODUCT_MASTER!$A:$F,MATCH('FINAL DATA'!I$1,PRODUCT_MASTER!$A$1:$F$1,0),0)</f>
        <v>Lt</v>
      </c>
      <c r="J172" s="7">
        <f>VLOOKUP($B172,PRODUCT_MASTER!$A:$F,MATCH('FINAL DATA'!J$1,PRODUCT_MASTER!$A$1:$F$1,0),0)</f>
        <v>44</v>
      </c>
      <c r="K172" s="7">
        <f>VLOOKUP($B172,PRODUCT_MASTER!$A:$F,MATCH('FINAL DATA'!K$1,PRODUCT_MASTER!$A$1:$F$1,0),0)</f>
        <v>48.4</v>
      </c>
      <c r="L172" s="7">
        <f t="shared" si="10"/>
        <v>572</v>
      </c>
      <c r="M172" s="7">
        <f t="shared" si="11"/>
        <v>629.19999999999993</v>
      </c>
      <c r="N172">
        <f t="shared" si="12"/>
        <v>13</v>
      </c>
      <c r="O172" t="str">
        <f t="shared" si="13"/>
        <v>Aug</v>
      </c>
      <c r="P172">
        <f t="shared" si="14"/>
        <v>2021</v>
      </c>
    </row>
    <row r="173" spans="1:16" x14ac:dyDescent="0.2">
      <c r="A173" s="1">
        <v>44421</v>
      </c>
      <c r="B173" t="s">
        <v>59</v>
      </c>
      <c r="C173">
        <v>9</v>
      </c>
      <c r="D173" t="s">
        <v>103</v>
      </c>
      <c r="E173" t="s">
        <v>101</v>
      </c>
      <c r="F173" s="5">
        <v>0</v>
      </c>
      <c r="G173" t="str">
        <f>VLOOKUP($B173,PRODUCT_MASTER!$A:$F,MATCH('FINAL DATA'!G$1,PRODUCT_MASTER!$A$1:$F$1,0),0)</f>
        <v>Product27</v>
      </c>
      <c r="H173" t="str">
        <f>VLOOKUP($B173,PRODUCT_MASTER!$A:$F,MATCH('FINAL DATA'!H$1,PRODUCT_MASTER!$A$1:$F$1,0),0)</f>
        <v>Cheese And Dairy</v>
      </c>
      <c r="I173" t="str">
        <f>VLOOKUP($B173,PRODUCT_MASTER!$A:$F,MATCH('FINAL DATA'!I$1,PRODUCT_MASTER!$A$1:$F$1,0),0)</f>
        <v>Lt</v>
      </c>
      <c r="J173" s="7">
        <f>VLOOKUP($B173,PRODUCT_MASTER!$A:$F,MATCH('FINAL DATA'!J$1,PRODUCT_MASTER!$A$1:$F$1,0),0)</f>
        <v>48</v>
      </c>
      <c r="K173" s="7">
        <f>VLOOKUP($B173,PRODUCT_MASTER!$A:$F,MATCH('FINAL DATA'!K$1,PRODUCT_MASTER!$A$1:$F$1,0),0)</f>
        <v>57.120000000000005</v>
      </c>
      <c r="L173" s="7">
        <f t="shared" si="10"/>
        <v>432</v>
      </c>
      <c r="M173" s="7">
        <f t="shared" si="11"/>
        <v>514.08000000000004</v>
      </c>
      <c r="N173">
        <f t="shared" si="12"/>
        <v>13</v>
      </c>
      <c r="O173" t="str">
        <f t="shared" si="13"/>
        <v>Aug</v>
      </c>
      <c r="P173">
        <f t="shared" si="14"/>
        <v>2021</v>
      </c>
    </row>
    <row r="174" spans="1:16" x14ac:dyDescent="0.2">
      <c r="A174" s="1">
        <v>44424</v>
      </c>
      <c r="B174" t="s">
        <v>11</v>
      </c>
      <c r="C174">
        <v>3</v>
      </c>
      <c r="D174" t="s">
        <v>101</v>
      </c>
      <c r="E174" t="s">
        <v>101</v>
      </c>
      <c r="F174" s="5">
        <v>0</v>
      </c>
      <c r="G174" t="str">
        <f>VLOOKUP($B174,PRODUCT_MASTER!$A:$F,MATCH('FINAL DATA'!G$1,PRODUCT_MASTER!$A$1:$F$1,0),0)</f>
        <v>Product03</v>
      </c>
      <c r="H174" t="str">
        <f>VLOOKUP($B174,PRODUCT_MASTER!$A:$F,MATCH('FINAL DATA'!H$1,PRODUCT_MASTER!$A$1:$F$1,0),0)</f>
        <v>Organic</v>
      </c>
      <c r="I174" t="str">
        <f>VLOOKUP($B174,PRODUCT_MASTER!$A:$F,MATCH('FINAL DATA'!I$1,PRODUCT_MASTER!$A$1:$F$1,0),0)</f>
        <v>Kg</v>
      </c>
      <c r="J174" s="7">
        <f>VLOOKUP($B174,PRODUCT_MASTER!$A:$F,MATCH('FINAL DATA'!J$1,PRODUCT_MASTER!$A$1:$F$1,0),0)</f>
        <v>71</v>
      </c>
      <c r="K174" s="7">
        <f>VLOOKUP($B174,PRODUCT_MASTER!$A:$F,MATCH('FINAL DATA'!K$1,PRODUCT_MASTER!$A$1:$F$1,0),0)</f>
        <v>80.94</v>
      </c>
      <c r="L174" s="7">
        <f t="shared" si="10"/>
        <v>213</v>
      </c>
      <c r="M174" s="7">
        <f t="shared" si="11"/>
        <v>242.82</v>
      </c>
      <c r="N174">
        <f t="shared" si="12"/>
        <v>16</v>
      </c>
      <c r="O174" t="str">
        <f t="shared" si="13"/>
        <v>Aug</v>
      </c>
      <c r="P174">
        <f t="shared" si="14"/>
        <v>2021</v>
      </c>
    </row>
    <row r="175" spans="1:16" x14ac:dyDescent="0.2">
      <c r="A175" s="1">
        <v>44426</v>
      </c>
      <c r="B175" t="s">
        <v>55</v>
      </c>
      <c r="C175">
        <v>6</v>
      </c>
      <c r="D175" t="s">
        <v>103</v>
      </c>
      <c r="E175" t="s">
        <v>101</v>
      </c>
      <c r="F175" s="5">
        <v>0</v>
      </c>
      <c r="G175" t="str">
        <f>VLOOKUP($B175,PRODUCT_MASTER!$A:$F,MATCH('FINAL DATA'!G$1,PRODUCT_MASTER!$A$1:$F$1,0),0)</f>
        <v>Product25</v>
      </c>
      <c r="H175" t="str">
        <f>VLOOKUP($B175,PRODUCT_MASTER!$A:$F,MATCH('FINAL DATA'!H$1,PRODUCT_MASTER!$A$1:$F$1,0),0)</f>
        <v>Seafood</v>
      </c>
      <c r="I175" t="str">
        <f>VLOOKUP($B175,PRODUCT_MASTER!$A:$F,MATCH('FINAL DATA'!I$1,PRODUCT_MASTER!$A$1:$F$1,0),0)</f>
        <v>No.</v>
      </c>
      <c r="J175" s="7">
        <f>VLOOKUP($B175,PRODUCT_MASTER!$A:$F,MATCH('FINAL DATA'!J$1,PRODUCT_MASTER!$A$1:$F$1,0),0)</f>
        <v>7</v>
      </c>
      <c r="K175" s="7">
        <f>VLOOKUP($B175,PRODUCT_MASTER!$A:$F,MATCH('FINAL DATA'!K$1,PRODUCT_MASTER!$A$1:$F$1,0),0)</f>
        <v>8.33</v>
      </c>
      <c r="L175" s="7">
        <f t="shared" si="10"/>
        <v>42</v>
      </c>
      <c r="M175" s="7">
        <f t="shared" si="11"/>
        <v>49.980000000000004</v>
      </c>
      <c r="N175">
        <f t="shared" si="12"/>
        <v>18</v>
      </c>
      <c r="O175" t="str">
        <f t="shared" si="13"/>
        <v>Aug</v>
      </c>
      <c r="P175">
        <f t="shared" si="14"/>
        <v>2021</v>
      </c>
    </row>
    <row r="176" spans="1:16" x14ac:dyDescent="0.2">
      <c r="A176" s="1">
        <v>44428</v>
      </c>
      <c r="B176" t="s">
        <v>45</v>
      </c>
      <c r="C176">
        <v>15</v>
      </c>
      <c r="D176" t="s">
        <v>103</v>
      </c>
      <c r="E176" t="s">
        <v>102</v>
      </c>
      <c r="F176" s="5">
        <v>0</v>
      </c>
      <c r="G176" t="str">
        <f>VLOOKUP($B176,PRODUCT_MASTER!$A:$F,MATCH('FINAL DATA'!G$1,PRODUCT_MASTER!$A$1:$F$1,0),0)</f>
        <v>Product20</v>
      </c>
      <c r="H176" t="str">
        <f>VLOOKUP($B176,PRODUCT_MASTER!$A:$F,MATCH('FINAL DATA'!H$1,PRODUCT_MASTER!$A$1:$F$1,0),0)</f>
        <v>Poultry</v>
      </c>
      <c r="I176" t="str">
        <f>VLOOKUP($B176,PRODUCT_MASTER!$A:$F,MATCH('FINAL DATA'!I$1,PRODUCT_MASTER!$A$1:$F$1,0),0)</f>
        <v>Lt</v>
      </c>
      <c r="J176" s="7">
        <f>VLOOKUP($B176,PRODUCT_MASTER!$A:$F,MATCH('FINAL DATA'!J$1,PRODUCT_MASTER!$A$1:$F$1,0),0)</f>
        <v>61</v>
      </c>
      <c r="K176" s="7">
        <f>VLOOKUP($B176,PRODUCT_MASTER!$A:$F,MATCH('FINAL DATA'!K$1,PRODUCT_MASTER!$A$1:$F$1,0),0)</f>
        <v>76.25</v>
      </c>
      <c r="L176" s="7">
        <f t="shared" si="10"/>
        <v>915</v>
      </c>
      <c r="M176" s="7">
        <f t="shared" si="11"/>
        <v>1143.75</v>
      </c>
      <c r="N176">
        <f t="shared" si="12"/>
        <v>20</v>
      </c>
      <c r="O176" t="str">
        <f t="shared" si="13"/>
        <v>Aug</v>
      </c>
      <c r="P176">
        <f t="shared" si="14"/>
        <v>2021</v>
      </c>
    </row>
    <row r="177" spans="1:16" x14ac:dyDescent="0.2">
      <c r="A177" s="1">
        <v>44428</v>
      </c>
      <c r="B177" t="s">
        <v>67</v>
      </c>
      <c r="C177">
        <v>9</v>
      </c>
      <c r="D177" t="s">
        <v>103</v>
      </c>
      <c r="E177" t="s">
        <v>101</v>
      </c>
      <c r="F177" s="5">
        <v>0</v>
      </c>
      <c r="G177" t="str">
        <f>VLOOKUP($B177,PRODUCT_MASTER!$A:$F,MATCH('FINAL DATA'!G$1,PRODUCT_MASTER!$A$1:$F$1,0),0)</f>
        <v>Product31</v>
      </c>
      <c r="H177" t="str">
        <f>VLOOKUP($B177,PRODUCT_MASTER!$A:$F,MATCH('FINAL DATA'!H$1,PRODUCT_MASTER!$A$1:$F$1,0),0)</f>
        <v>Cheese And Dairy</v>
      </c>
      <c r="I177" t="str">
        <f>VLOOKUP($B177,PRODUCT_MASTER!$A:$F,MATCH('FINAL DATA'!I$1,PRODUCT_MASTER!$A$1:$F$1,0),0)</f>
        <v>Kg</v>
      </c>
      <c r="J177" s="7">
        <f>VLOOKUP($B177,PRODUCT_MASTER!$A:$F,MATCH('FINAL DATA'!J$1,PRODUCT_MASTER!$A$1:$F$1,0),0)</f>
        <v>93</v>
      </c>
      <c r="K177" s="7">
        <f>VLOOKUP($B177,PRODUCT_MASTER!$A:$F,MATCH('FINAL DATA'!K$1,PRODUCT_MASTER!$A$1:$F$1,0),0)</f>
        <v>104.16</v>
      </c>
      <c r="L177" s="7">
        <f t="shared" si="10"/>
        <v>837</v>
      </c>
      <c r="M177" s="7">
        <f t="shared" si="11"/>
        <v>937.43999999999994</v>
      </c>
      <c r="N177">
        <f t="shared" si="12"/>
        <v>20</v>
      </c>
      <c r="O177" t="str">
        <f t="shared" si="13"/>
        <v>Aug</v>
      </c>
      <c r="P177">
        <f t="shared" si="14"/>
        <v>2021</v>
      </c>
    </row>
    <row r="178" spans="1:16" x14ac:dyDescent="0.2">
      <c r="A178" s="1">
        <v>44428</v>
      </c>
      <c r="B178" t="s">
        <v>61</v>
      </c>
      <c r="C178">
        <v>13</v>
      </c>
      <c r="D178" t="s">
        <v>103</v>
      </c>
      <c r="E178" t="s">
        <v>101</v>
      </c>
      <c r="F178" s="5">
        <v>0</v>
      </c>
      <c r="G178" t="str">
        <f>VLOOKUP($B178,PRODUCT_MASTER!$A:$F,MATCH('FINAL DATA'!G$1,PRODUCT_MASTER!$A$1:$F$1,0),0)</f>
        <v>Product28</v>
      </c>
      <c r="H178" t="str">
        <f>VLOOKUP($B178,PRODUCT_MASTER!$A:$F,MATCH('FINAL DATA'!H$1,PRODUCT_MASTER!$A$1:$F$1,0),0)</f>
        <v>Cheese And Dairy</v>
      </c>
      <c r="I178" t="str">
        <f>VLOOKUP($B178,PRODUCT_MASTER!$A:$F,MATCH('FINAL DATA'!I$1,PRODUCT_MASTER!$A$1:$F$1,0),0)</f>
        <v>No.</v>
      </c>
      <c r="J178" s="7">
        <f>VLOOKUP($B178,PRODUCT_MASTER!$A:$F,MATCH('FINAL DATA'!J$1,PRODUCT_MASTER!$A$1:$F$1,0),0)</f>
        <v>37</v>
      </c>
      <c r="K178" s="7">
        <f>VLOOKUP($B178,PRODUCT_MASTER!$A:$F,MATCH('FINAL DATA'!K$1,PRODUCT_MASTER!$A$1:$F$1,0),0)</f>
        <v>41.81</v>
      </c>
      <c r="L178" s="7">
        <f t="shared" si="10"/>
        <v>481</v>
      </c>
      <c r="M178" s="7">
        <f t="shared" si="11"/>
        <v>543.53</v>
      </c>
      <c r="N178">
        <f t="shared" si="12"/>
        <v>20</v>
      </c>
      <c r="O178" t="str">
        <f t="shared" si="13"/>
        <v>Aug</v>
      </c>
      <c r="P178">
        <f t="shared" si="14"/>
        <v>2021</v>
      </c>
    </row>
    <row r="179" spans="1:16" x14ac:dyDescent="0.2">
      <c r="A179" s="1">
        <v>44434</v>
      </c>
      <c r="B179" t="s">
        <v>83</v>
      </c>
      <c r="C179">
        <v>4</v>
      </c>
      <c r="D179" t="s">
        <v>103</v>
      </c>
      <c r="E179" t="s">
        <v>101</v>
      </c>
      <c r="F179" s="5">
        <v>0</v>
      </c>
      <c r="G179" t="str">
        <f>VLOOKUP($B179,PRODUCT_MASTER!$A:$F,MATCH('FINAL DATA'!G$1,PRODUCT_MASTER!$A$1:$F$1,0),0)</f>
        <v>Product39</v>
      </c>
      <c r="H179" t="str">
        <f>VLOOKUP($B179,PRODUCT_MASTER!$A:$F,MATCH('FINAL DATA'!H$1,PRODUCT_MASTER!$A$1:$F$1,0),0)</f>
        <v>Snacks</v>
      </c>
      <c r="I179" t="str">
        <f>VLOOKUP($B179,PRODUCT_MASTER!$A:$F,MATCH('FINAL DATA'!I$1,PRODUCT_MASTER!$A$1:$F$1,0),0)</f>
        <v>No.</v>
      </c>
      <c r="J179" s="7">
        <f>VLOOKUP($B179,PRODUCT_MASTER!$A:$F,MATCH('FINAL DATA'!J$1,PRODUCT_MASTER!$A$1:$F$1,0),0)</f>
        <v>37</v>
      </c>
      <c r="K179" s="7">
        <f>VLOOKUP($B179,PRODUCT_MASTER!$A:$F,MATCH('FINAL DATA'!K$1,PRODUCT_MASTER!$A$1:$F$1,0),0)</f>
        <v>42.55</v>
      </c>
      <c r="L179" s="7">
        <f t="shared" si="10"/>
        <v>148</v>
      </c>
      <c r="M179" s="7">
        <f t="shared" si="11"/>
        <v>170.2</v>
      </c>
      <c r="N179">
        <f t="shared" si="12"/>
        <v>26</v>
      </c>
      <c r="O179" t="str">
        <f t="shared" si="13"/>
        <v>Aug</v>
      </c>
      <c r="P179">
        <f t="shared" si="14"/>
        <v>2021</v>
      </c>
    </row>
    <row r="180" spans="1:16" x14ac:dyDescent="0.2">
      <c r="A180" s="1">
        <v>44437</v>
      </c>
      <c r="B180" t="s">
        <v>73</v>
      </c>
      <c r="C180">
        <v>12</v>
      </c>
      <c r="D180" t="s">
        <v>100</v>
      </c>
      <c r="E180" t="s">
        <v>101</v>
      </c>
      <c r="F180" s="5">
        <v>0</v>
      </c>
      <c r="G180" t="str">
        <f>VLOOKUP($B180,PRODUCT_MASTER!$A:$F,MATCH('FINAL DATA'!G$1,PRODUCT_MASTER!$A$1:$F$1,0),0)</f>
        <v>Product34</v>
      </c>
      <c r="H180" t="str">
        <f>VLOOKUP($B180,PRODUCT_MASTER!$A:$F,MATCH('FINAL DATA'!H$1,PRODUCT_MASTER!$A$1:$F$1,0),0)</f>
        <v>Bakery And Desserts</v>
      </c>
      <c r="I180" t="str">
        <f>VLOOKUP($B180,PRODUCT_MASTER!$A:$F,MATCH('FINAL DATA'!I$1,PRODUCT_MASTER!$A$1:$F$1,0),0)</f>
        <v>Lt</v>
      </c>
      <c r="J180" s="7">
        <f>VLOOKUP($B180,PRODUCT_MASTER!$A:$F,MATCH('FINAL DATA'!J$1,PRODUCT_MASTER!$A$1:$F$1,0),0)</f>
        <v>55</v>
      </c>
      <c r="K180" s="7">
        <f>VLOOKUP($B180,PRODUCT_MASTER!$A:$F,MATCH('FINAL DATA'!K$1,PRODUCT_MASTER!$A$1:$F$1,0),0)</f>
        <v>58.3</v>
      </c>
      <c r="L180" s="7">
        <f t="shared" si="10"/>
        <v>660</v>
      </c>
      <c r="M180" s="7">
        <f t="shared" si="11"/>
        <v>699.59999999999991</v>
      </c>
      <c r="N180">
        <f t="shared" si="12"/>
        <v>29</v>
      </c>
      <c r="O180" t="str">
        <f t="shared" si="13"/>
        <v>Aug</v>
      </c>
      <c r="P180">
        <f t="shared" si="14"/>
        <v>2021</v>
      </c>
    </row>
    <row r="181" spans="1:16" x14ac:dyDescent="0.2">
      <c r="A181" s="1">
        <v>44438</v>
      </c>
      <c r="B181" t="s">
        <v>31</v>
      </c>
      <c r="C181">
        <v>13</v>
      </c>
      <c r="D181" t="s">
        <v>103</v>
      </c>
      <c r="E181" t="s">
        <v>101</v>
      </c>
      <c r="F181" s="5">
        <v>0</v>
      </c>
      <c r="G181" t="str">
        <f>VLOOKUP($B181,PRODUCT_MASTER!$A:$F,MATCH('FINAL DATA'!G$1,PRODUCT_MASTER!$A$1:$F$1,0),0)</f>
        <v>Product13</v>
      </c>
      <c r="H181" t="str">
        <f>VLOOKUP($B181,PRODUCT_MASTER!$A:$F,MATCH('FINAL DATA'!H$1,PRODUCT_MASTER!$A$1:$F$1,0),0)</f>
        <v>Meat</v>
      </c>
      <c r="I181" t="str">
        <f>VLOOKUP($B181,PRODUCT_MASTER!$A:$F,MATCH('FINAL DATA'!I$1,PRODUCT_MASTER!$A$1:$F$1,0),0)</f>
        <v>Kg</v>
      </c>
      <c r="J181" s="7">
        <f>VLOOKUP($B181,PRODUCT_MASTER!$A:$F,MATCH('FINAL DATA'!J$1,PRODUCT_MASTER!$A$1:$F$1,0),0)</f>
        <v>112</v>
      </c>
      <c r="K181" s="7">
        <f>VLOOKUP($B181,PRODUCT_MASTER!$A:$F,MATCH('FINAL DATA'!K$1,PRODUCT_MASTER!$A$1:$F$1,0),0)</f>
        <v>122.08</v>
      </c>
      <c r="L181" s="7">
        <f t="shared" si="10"/>
        <v>1456</v>
      </c>
      <c r="M181" s="7">
        <f t="shared" si="11"/>
        <v>1587.04</v>
      </c>
      <c r="N181">
        <f t="shared" si="12"/>
        <v>30</v>
      </c>
      <c r="O181" t="str">
        <f t="shared" si="13"/>
        <v>Aug</v>
      </c>
      <c r="P181">
        <f t="shared" si="14"/>
        <v>2021</v>
      </c>
    </row>
    <row r="182" spans="1:16" x14ac:dyDescent="0.2">
      <c r="A182" s="1">
        <v>44439</v>
      </c>
      <c r="B182" t="s">
        <v>6</v>
      </c>
      <c r="C182">
        <v>2</v>
      </c>
      <c r="D182" t="s">
        <v>103</v>
      </c>
      <c r="E182" t="s">
        <v>101</v>
      </c>
      <c r="F182" s="5">
        <v>0</v>
      </c>
      <c r="G182" t="str">
        <f>VLOOKUP($B182,PRODUCT_MASTER!$A:$F,MATCH('FINAL DATA'!G$1,PRODUCT_MASTER!$A$1:$F$1,0),0)</f>
        <v>Product01</v>
      </c>
      <c r="H182" t="str">
        <f>VLOOKUP($B182,PRODUCT_MASTER!$A:$F,MATCH('FINAL DATA'!H$1,PRODUCT_MASTER!$A$1:$F$1,0),0)</f>
        <v>Organic</v>
      </c>
      <c r="I182" t="str">
        <f>VLOOKUP($B182,PRODUCT_MASTER!$A:$F,MATCH('FINAL DATA'!I$1,PRODUCT_MASTER!$A$1:$F$1,0),0)</f>
        <v>Kg</v>
      </c>
      <c r="J182" s="7">
        <f>VLOOKUP($B182,PRODUCT_MASTER!$A:$F,MATCH('FINAL DATA'!J$1,PRODUCT_MASTER!$A$1:$F$1,0),0)</f>
        <v>98</v>
      </c>
      <c r="K182" s="7">
        <f>VLOOKUP($B182,PRODUCT_MASTER!$A:$F,MATCH('FINAL DATA'!K$1,PRODUCT_MASTER!$A$1:$F$1,0),0)</f>
        <v>103.88</v>
      </c>
      <c r="L182" s="7">
        <f t="shared" si="10"/>
        <v>196</v>
      </c>
      <c r="M182" s="7">
        <f t="shared" si="11"/>
        <v>207.76</v>
      </c>
      <c r="N182">
        <f t="shared" si="12"/>
        <v>31</v>
      </c>
      <c r="O182" t="str">
        <f t="shared" si="13"/>
        <v>Aug</v>
      </c>
      <c r="P182">
        <f t="shared" si="14"/>
        <v>2021</v>
      </c>
    </row>
    <row r="183" spans="1:16" x14ac:dyDescent="0.2">
      <c r="A183" s="1">
        <v>44439</v>
      </c>
      <c r="B183" t="s">
        <v>75</v>
      </c>
      <c r="C183">
        <v>11</v>
      </c>
      <c r="D183" t="s">
        <v>103</v>
      </c>
      <c r="E183" t="s">
        <v>101</v>
      </c>
      <c r="F183" s="5">
        <v>0</v>
      </c>
      <c r="G183" t="str">
        <f>VLOOKUP($B183,PRODUCT_MASTER!$A:$F,MATCH('FINAL DATA'!G$1,PRODUCT_MASTER!$A$1:$F$1,0),0)</f>
        <v>Product35</v>
      </c>
      <c r="H183" t="str">
        <f>VLOOKUP($B183,PRODUCT_MASTER!$A:$F,MATCH('FINAL DATA'!H$1,PRODUCT_MASTER!$A$1:$F$1,0),0)</f>
        <v>Bakery And Desserts</v>
      </c>
      <c r="I183" t="str">
        <f>VLOOKUP($B183,PRODUCT_MASTER!$A:$F,MATCH('FINAL DATA'!I$1,PRODUCT_MASTER!$A$1:$F$1,0),0)</f>
        <v>No.</v>
      </c>
      <c r="J183" s="7">
        <f>VLOOKUP($B183,PRODUCT_MASTER!$A:$F,MATCH('FINAL DATA'!J$1,PRODUCT_MASTER!$A$1:$F$1,0),0)</f>
        <v>5</v>
      </c>
      <c r="K183" s="7">
        <f>VLOOKUP($B183,PRODUCT_MASTER!$A:$F,MATCH('FINAL DATA'!K$1,PRODUCT_MASTER!$A$1:$F$1,0),0)</f>
        <v>6.7</v>
      </c>
      <c r="L183" s="7">
        <f t="shared" si="10"/>
        <v>55</v>
      </c>
      <c r="M183" s="7">
        <f t="shared" si="11"/>
        <v>73.7</v>
      </c>
      <c r="N183">
        <f t="shared" si="12"/>
        <v>31</v>
      </c>
      <c r="O183" t="str">
        <f t="shared" si="13"/>
        <v>Aug</v>
      </c>
      <c r="P183">
        <f t="shared" si="14"/>
        <v>2021</v>
      </c>
    </row>
    <row r="184" spans="1:16" x14ac:dyDescent="0.2">
      <c r="A184" s="1">
        <v>44440</v>
      </c>
      <c r="B184" t="s">
        <v>53</v>
      </c>
      <c r="C184">
        <v>1</v>
      </c>
      <c r="D184" t="s">
        <v>100</v>
      </c>
      <c r="E184" t="s">
        <v>102</v>
      </c>
      <c r="F184" s="5">
        <v>0</v>
      </c>
      <c r="G184" t="str">
        <f>VLOOKUP($B184,PRODUCT_MASTER!$A:$F,MATCH('FINAL DATA'!G$1,PRODUCT_MASTER!$A$1:$F$1,0),0)</f>
        <v>Product24</v>
      </c>
      <c r="H184" t="str">
        <f>VLOOKUP($B184,PRODUCT_MASTER!$A:$F,MATCH('FINAL DATA'!H$1,PRODUCT_MASTER!$A$1:$F$1,0),0)</f>
        <v>Seafood</v>
      </c>
      <c r="I184" t="str">
        <f>VLOOKUP($B184,PRODUCT_MASTER!$A:$F,MATCH('FINAL DATA'!I$1,PRODUCT_MASTER!$A$1:$F$1,0),0)</f>
        <v>Ft</v>
      </c>
      <c r="J184" s="7">
        <f>VLOOKUP($B184,PRODUCT_MASTER!$A:$F,MATCH('FINAL DATA'!J$1,PRODUCT_MASTER!$A$1:$F$1,0),0)</f>
        <v>144</v>
      </c>
      <c r="K184" s="7">
        <f>VLOOKUP($B184,PRODUCT_MASTER!$A:$F,MATCH('FINAL DATA'!K$1,PRODUCT_MASTER!$A$1:$F$1,0),0)</f>
        <v>156.96</v>
      </c>
      <c r="L184" s="7">
        <f t="shared" si="10"/>
        <v>144</v>
      </c>
      <c r="M184" s="7">
        <f t="shared" si="11"/>
        <v>156.96</v>
      </c>
      <c r="N184">
        <f t="shared" si="12"/>
        <v>1</v>
      </c>
      <c r="O184" t="str">
        <f t="shared" si="13"/>
        <v>Sep</v>
      </c>
      <c r="P184">
        <f t="shared" si="14"/>
        <v>2021</v>
      </c>
    </row>
    <row r="185" spans="1:16" x14ac:dyDescent="0.2">
      <c r="A185" s="1">
        <v>44440</v>
      </c>
      <c r="B185" t="s">
        <v>11</v>
      </c>
      <c r="C185">
        <v>14</v>
      </c>
      <c r="D185" t="s">
        <v>101</v>
      </c>
      <c r="E185" t="s">
        <v>101</v>
      </c>
      <c r="F185" s="5">
        <v>0</v>
      </c>
      <c r="G185" t="str">
        <f>VLOOKUP($B185,PRODUCT_MASTER!$A:$F,MATCH('FINAL DATA'!G$1,PRODUCT_MASTER!$A$1:$F$1,0),0)</f>
        <v>Product03</v>
      </c>
      <c r="H185" t="str">
        <f>VLOOKUP($B185,PRODUCT_MASTER!$A:$F,MATCH('FINAL DATA'!H$1,PRODUCT_MASTER!$A$1:$F$1,0),0)</f>
        <v>Organic</v>
      </c>
      <c r="I185" t="str">
        <f>VLOOKUP($B185,PRODUCT_MASTER!$A:$F,MATCH('FINAL DATA'!I$1,PRODUCT_MASTER!$A$1:$F$1,0),0)</f>
        <v>Kg</v>
      </c>
      <c r="J185" s="7">
        <f>VLOOKUP($B185,PRODUCT_MASTER!$A:$F,MATCH('FINAL DATA'!J$1,PRODUCT_MASTER!$A$1:$F$1,0),0)</f>
        <v>71</v>
      </c>
      <c r="K185" s="7">
        <f>VLOOKUP($B185,PRODUCT_MASTER!$A:$F,MATCH('FINAL DATA'!K$1,PRODUCT_MASTER!$A$1:$F$1,0),0)</f>
        <v>80.94</v>
      </c>
      <c r="L185" s="7">
        <f t="shared" si="10"/>
        <v>994</v>
      </c>
      <c r="M185" s="7">
        <f t="shared" si="11"/>
        <v>1133.1599999999999</v>
      </c>
      <c r="N185">
        <f t="shared" si="12"/>
        <v>1</v>
      </c>
      <c r="O185" t="str">
        <f t="shared" si="13"/>
        <v>Sep</v>
      </c>
      <c r="P185">
        <f t="shared" si="14"/>
        <v>2021</v>
      </c>
    </row>
    <row r="186" spans="1:16" x14ac:dyDescent="0.2">
      <c r="A186" s="1">
        <v>44442</v>
      </c>
      <c r="B186" t="s">
        <v>87</v>
      </c>
      <c r="C186">
        <v>8</v>
      </c>
      <c r="D186" t="s">
        <v>103</v>
      </c>
      <c r="E186" t="s">
        <v>101</v>
      </c>
      <c r="F186" s="5">
        <v>0</v>
      </c>
      <c r="G186" t="str">
        <f>VLOOKUP($B186,PRODUCT_MASTER!$A:$F,MATCH('FINAL DATA'!G$1,PRODUCT_MASTER!$A$1:$F$1,0),0)</f>
        <v>Product41</v>
      </c>
      <c r="H186" t="str">
        <f>VLOOKUP($B186,PRODUCT_MASTER!$A:$F,MATCH('FINAL DATA'!H$1,PRODUCT_MASTER!$A$1:$F$1,0),0)</f>
        <v>Snacks</v>
      </c>
      <c r="I186" t="str">
        <f>VLOOKUP($B186,PRODUCT_MASTER!$A:$F,MATCH('FINAL DATA'!I$1,PRODUCT_MASTER!$A$1:$F$1,0),0)</f>
        <v>Ft</v>
      </c>
      <c r="J186" s="7">
        <f>VLOOKUP($B186,PRODUCT_MASTER!$A:$F,MATCH('FINAL DATA'!J$1,PRODUCT_MASTER!$A$1:$F$1,0),0)</f>
        <v>138</v>
      </c>
      <c r="K186" s="7">
        <f>VLOOKUP($B186,PRODUCT_MASTER!$A:$F,MATCH('FINAL DATA'!K$1,PRODUCT_MASTER!$A$1:$F$1,0),0)</f>
        <v>173.88</v>
      </c>
      <c r="L186" s="7">
        <f t="shared" si="10"/>
        <v>1104</v>
      </c>
      <c r="M186" s="7">
        <f t="shared" si="11"/>
        <v>1391.04</v>
      </c>
      <c r="N186">
        <f t="shared" si="12"/>
        <v>3</v>
      </c>
      <c r="O186" t="str">
        <f t="shared" si="13"/>
        <v>Sep</v>
      </c>
      <c r="P186">
        <f t="shared" si="14"/>
        <v>2021</v>
      </c>
    </row>
    <row r="187" spans="1:16" x14ac:dyDescent="0.2">
      <c r="A187" s="1">
        <v>44443</v>
      </c>
      <c r="B187" t="s">
        <v>61</v>
      </c>
      <c r="C187">
        <v>7</v>
      </c>
      <c r="D187" t="s">
        <v>103</v>
      </c>
      <c r="E187" t="s">
        <v>101</v>
      </c>
      <c r="F187" s="5">
        <v>0</v>
      </c>
      <c r="G187" t="str">
        <f>VLOOKUP($B187,PRODUCT_MASTER!$A:$F,MATCH('FINAL DATA'!G$1,PRODUCT_MASTER!$A$1:$F$1,0),0)</f>
        <v>Product28</v>
      </c>
      <c r="H187" t="str">
        <f>VLOOKUP($B187,PRODUCT_MASTER!$A:$F,MATCH('FINAL DATA'!H$1,PRODUCT_MASTER!$A$1:$F$1,0),0)</f>
        <v>Cheese And Dairy</v>
      </c>
      <c r="I187" t="str">
        <f>VLOOKUP($B187,PRODUCT_MASTER!$A:$F,MATCH('FINAL DATA'!I$1,PRODUCT_MASTER!$A$1:$F$1,0),0)</f>
        <v>No.</v>
      </c>
      <c r="J187" s="7">
        <f>VLOOKUP($B187,PRODUCT_MASTER!$A:$F,MATCH('FINAL DATA'!J$1,PRODUCT_MASTER!$A$1:$F$1,0),0)</f>
        <v>37</v>
      </c>
      <c r="K187" s="7">
        <f>VLOOKUP($B187,PRODUCT_MASTER!$A:$F,MATCH('FINAL DATA'!K$1,PRODUCT_MASTER!$A$1:$F$1,0),0)</f>
        <v>41.81</v>
      </c>
      <c r="L187" s="7">
        <f t="shared" si="10"/>
        <v>259</v>
      </c>
      <c r="M187" s="7">
        <f t="shared" si="11"/>
        <v>292.67</v>
      </c>
      <c r="N187">
        <f t="shared" si="12"/>
        <v>4</v>
      </c>
      <c r="O187" t="str">
        <f t="shared" si="13"/>
        <v>Sep</v>
      </c>
      <c r="P187">
        <f t="shared" si="14"/>
        <v>2021</v>
      </c>
    </row>
    <row r="188" spans="1:16" x14ac:dyDescent="0.2">
      <c r="A188" s="1">
        <v>44443</v>
      </c>
      <c r="B188" t="s">
        <v>51</v>
      </c>
      <c r="C188">
        <v>15</v>
      </c>
      <c r="D188" t="s">
        <v>103</v>
      </c>
      <c r="E188" t="s">
        <v>101</v>
      </c>
      <c r="F188" s="5">
        <v>0</v>
      </c>
      <c r="G188" t="str">
        <f>VLOOKUP($B188,PRODUCT_MASTER!$A:$F,MATCH('FINAL DATA'!G$1,PRODUCT_MASTER!$A$1:$F$1,0),0)</f>
        <v>Product23</v>
      </c>
      <c r="H188" t="str">
        <f>VLOOKUP($B188,PRODUCT_MASTER!$A:$F,MATCH('FINAL DATA'!H$1,PRODUCT_MASTER!$A$1:$F$1,0),0)</f>
        <v>Seafood</v>
      </c>
      <c r="I188" t="str">
        <f>VLOOKUP($B188,PRODUCT_MASTER!$A:$F,MATCH('FINAL DATA'!I$1,PRODUCT_MASTER!$A$1:$F$1,0),0)</f>
        <v>Ft</v>
      </c>
      <c r="J188" s="7">
        <f>VLOOKUP($B188,PRODUCT_MASTER!$A:$F,MATCH('FINAL DATA'!J$1,PRODUCT_MASTER!$A$1:$F$1,0),0)</f>
        <v>141</v>
      </c>
      <c r="K188" s="7">
        <f>VLOOKUP($B188,PRODUCT_MASTER!$A:$F,MATCH('FINAL DATA'!K$1,PRODUCT_MASTER!$A$1:$F$1,0),0)</f>
        <v>149.46</v>
      </c>
      <c r="L188" s="7">
        <f t="shared" si="10"/>
        <v>2115</v>
      </c>
      <c r="M188" s="7">
        <f t="shared" si="11"/>
        <v>2241.9</v>
      </c>
      <c r="N188">
        <f t="shared" si="12"/>
        <v>4</v>
      </c>
      <c r="O188" t="str">
        <f t="shared" si="13"/>
        <v>Sep</v>
      </c>
      <c r="P188">
        <f t="shared" si="14"/>
        <v>2021</v>
      </c>
    </row>
    <row r="189" spans="1:16" x14ac:dyDescent="0.2">
      <c r="A189" s="1">
        <v>44444</v>
      </c>
      <c r="B189" t="s">
        <v>69</v>
      </c>
      <c r="C189">
        <v>1</v>
      </c>
      <c r="D189" t="s">
        <v>103</v>
      </c>
      <c r="E189" t="s">
        <v>102</v>
      </c>
      <c r="F189" s="5">
        <v>0</v>
      </c>
      <c r="G189" t="str">
        <f>VLOOKUP($B189,PRODUCT_MASTER!$A:$F,MATCH('FINAL DATA'!G$1,PRODUCT_MASTER!$A$1:$F$1,0),0)</f>
        <v>Product32</v>
      </c>
      <c r="H189" t="str">
        <f>VLOOKUP($B189,PRODUCT_MASTER!$A:$F,MATCH('FINAL DATA'!H$1,PRODUCT_MASTER!$A$1:$F$1,0),0)</f>
        <v>Bakery And Desserts</v>
      </c>
      <c r="I189" t="str">
        <f>VLOOKUP($B189,PRODUCT_MASTER!$A:$F,MATCH('FINAL DATA'!I$1,PRODUCT_MASTER!$A$1:$F$1,0),0)</f>
        <v>Kg</v>
      </c>
      <c r="J189" s="7">
        <f>VLOOKUP($B189,PRODUCT_MASTER!$A:$F,MATCH('FINAL DATA'!J$1,PRODUCT_MASTER!$A$1:$F$1,0),0)</f>
        <v>89</v>
      </c>
      <c r="K189" s="7">
        <f>VLOOKUP($B189,PRODUCT_MASTER!$A:$F,MATCH('FINAL DATA'!K$1,PRODUCT_MASTER!$A$1:$F$1,0),0)</f>
        <v>117.48</v>
      </c>
      <c r="L189" s="7">
        <f t="shared" si="10"/>
        <v>89</v>
      </c>
      <c r="M189" s="7">
        <f t="shared" si="11"/>
        <v>117.48</v>
      </c>
      <c r="N189">
        <f t="shared" si="12"/>
        <v>5</v>
      </c>
      <c r="O189" t="str">
        <f t="shared" si="13"/>
        <v>Sep</v>
      </c>
      <c r="P189">
        <f t="shared" si="14"/>
        <v>2021</v>
      </c>
    </row>
    <row r="190" spans="1:16" x14ac:dyDescent="0.2">
      <c r="A190" s="1">
        <v>44446</v>
      </c>
      <c r="B190" t="s">
        <v>43</v>
      </c>
      <c r="C190">
        <v>5</v>
      </c>
      <c r="D190" t="s">
        <v>103</v>
      </c>
      <c r="E190" t="s">
        <v>101</v>
      </c>
      <c r="F190" s="5">
        <v>0</v>
      </c>
      <c r="G190" t="str">
        <f>VLOOKUP($B190,PRODUCT_MASTER!$A:$F,MATCH('FINAL DATA'!G$1,PRODUCT_MASTER!$A$1:$F$1,0),0)</f>
        <v>Product19</v>
      </c>
      <c r="H190" t="str">
        <f>VLOOKUP($B190,PRODUCT_MASTER!$A:$F,MATCH('FINAL DATA'!H$1,PRODUCT_MASTER!$A$1:$F$1,0),0)</f>
        <v>Poultry</v>
      </c>
      <c r="I190" t="str">
        <f>VLOOKUP($B190,PRODUCT_MASTER!$A:$F,MATCH('FINAL DATA'!I$1,PRODUCT_MASTER!$A$1:$F$1,0),0)</f>
        <v>Ft</v>
      </c>
      <c r="J190" s="7">
        <f>VLOOKUP($B190,PRODUCT_MASTER!$A:$F,MATCH('FINAL DATA'!J$1,PRODUCT_MASTER!$A$1:$F$1,0),0)</f>
        <v>150</v>
      </c>
      <c r="K190" s="7">
        <f>VLOOKUP($B190,PRODUCT_MASTER!$A:$F,MATCH('FINAL DATA'!K$1,PRODUCT_MASTER!$A$1:$F$1,0),0)</f>
        <v>210</v>
      </c>
      <c r="L190" s="7">
        <f t="shared" si="10"/>
        <v>750</v>
      </c>
      <c r="M190" s="7">
        <f t="shared" si="11"/>
        <v>1050</v>
      </c>
      <c r="N190">
        <f t="shared" si="12"/>
        <v>7</v>
      </c>
      <c r="O190" t="str">
        <f t="shared" si="13"/>
        <v>Sep</v>
      </c>
      <c r="P190">
        <f t="shared" si="14"/>
        <v>2021</v>
      </c>
    </row>
    <row r="191" spans="1:16" x14ac:dyDescent="0.2">
      <c r="A191" s="1">
        <v>44448</v>
      </c>
      <c r="B191" t="s">
        <v>93</v>
      </c>
      <c r="C191">
        <v>4</v>
      </c>
      <c r="D191" t="s">
        <v>103</v>
      </c>
      <c r="E191" t="s">
        <v>101</v>
      </c>
      <c r="F191" s="5">
        <v>0</v>
      </c>
      <c r="G191" t="str">
        <f>VLOOKUP($B191,PRODUCT_MASTER!$A:$F,MATCH('FINAL DATA'!G$1,PRODUCT_MASTER!$A$1:$F$1,0),0)</f>
        <v>Product44</v>
      </c>
      <c r="H191" t="str">
        <f>VLOOKUP($B191,PRODUCT_MASTER!$A:$F,MATCH('FINAL DATA'!H$1,PRODUCT_MASTER!$A$1:$F$1,0),0)</f>
        <v>Candy</v>
      </c>
      <c r="I191" t="str">
        <f>VLOOKUP($B191,PRODUCT_MASTER!$A:$F,MATCH('FINAL DATA'!I$1,PRODUCT_MASTER!$A$1:$F$1,0),0)</f>
        <v>Kg</v>
      </c>
      <c r="J191" s="7">
        <f>VLOOKUP($B191,PRODUCT_MASTER!$A:$F,MATCH('FINAL DATA'!J$1,PRODUCT_MASTER!$A$1:$F$1,0),0)</f>
        <v>76</v>
      </c>
      <c r="K191" s="7">
        <f>VLOOKUP($B191,PRODUCT_MASTER!$A:$F,MATCH('FINAL DATA'!K$1,PRODUCT_MASTER!$A$1:$F$1,0),0)</f>
        <v>82.08</v>
      </c>
      <c r="L191" s="7">
        <f t="shared" si="10"/>
        <v>304</v>
      </c>
      <c r="M191" s="7">
        <f t="shared" si="11"/>
        <v>328.32</v>
      </c>
      <c r="N191">
        <f t="shared" si="12"/>
        <v>9</v>
      </c>
      <c r="O191" t="str">
        <f t="shared" si="13"/>
        <v>Sep</v>
      </c>
      <c r="P191">
        <f t="shared" si="14"/>
        <v>2021</v>
      </c>
    </row>
    <row r="192" spans="1:16" x14ac:dyDescent="0.2">
      <c r="A192" s="1">
        <v>44449</v>
      </c>
      <c r="B192" t="s">
        <v>65</v>
      </c>
      <c r="C192">
        <v>6</v>
      </c>
      <c r="D192" t="s">
        <v>103</v>
      </c>
      <c r="E192" t="s">
        <v>101</v>
      </c>
      <c r="F192" s="5">
        <v>0</v>
      </c>
      <c r="G192" t="str">
        <f>VLOOKUP($B192,PRODUCT_MASTER!$A:$F,MATCH('FINAL DATA'!G$1,PRODUCT_MASTER!$A$1:$F$1,0),0)</f>
        <v>Product30</v>
      </c>
      <c r="H192" t="str">
        <f>VLOOKUP($B192,PRODUCT_MASTER!$A:$F,MATCH('FINAL DATA'!H$1,PRODUCT_MASTER!$A$1:$F$1,0),0)</f>
        <v>Cheese And Dairy</v>
      </c>
      <c r="I192" t="str">
        <f>VLOOKUP($B192,PRODUCT_MASTER!$A:$F,MATCH('FINAL DATA'!I$1,PRODUCT_MASTER!$A$1:$F$1,0),0)</f>
        <v>Ft</v>
      </c>
      <c r="J192" s="7">
        <f>VLOOKUP($B192,PRODUCT_MASTER!$A:$F,MATCH('FINAL DATA'!J$1,PRODUCT_MASTER!$A$1:$F$1,0),0)</f>
        <v>148</v>
      </c>
      <c r="K192" s="7">
        <f>VLOOKUP($B192,PRODUCT_MASTER!$A:$F,MATCH('FINAL DATA'!K$1,PRODUCT_MASTER!$A$1:$F$1,0),0)</f>
        <v>201.28</v>
      </c>
      <c r="L192" s="7">
        <f t="shared" si="10"/>
        <v>888</v>
      </c>
      <c r="M192" s="7">
        <f t="shared" si="11"/>
        <v>1207.68</v>
      </c>
      <c r="N192">
        <f t="shared" si="12"/>
        <v>10</v>
      </c>
      <c r="O192" t="str">
        <f t="shared" si="13"/>
        <v>Sep</v>
      </c>
      <c r="P192">
        <f t="shared" si="14"/>
        <v>2021</v>
      </c>
    </row>
    <row r="193" spans="1:16" x14ac:dyDescent="0.2">
      <c r="A193" s="1">
        <v>44449</v>
      </c>
      <c r="B193" t="s">
        <v>6</v>
      </c>
      <c r="C193">
        <v>9</v>
      </c>
      <c r="D193" t="s">
        <v>100</v>
      </c>
      <c r="E193" t="s">
        <v>101</v>
      </c>
      <c r="F193" s="5">
        <v>0</v>
      </c>
      <c r="G193" t="str">
        <f>VLOOKUP($B193,PRODUCT_MASTER!$A:$F,MATCH('FINAL DATA'!G$1,PRODUCT_MASTER!$A$1:$F$1,0),0)</f>
        <v>Product01</v>
      </c>
      <c r="H193" t="str">
        <f>VLOOKUP($B193,PRODUCT_MASTER!$A:$F,MATCH('FINAL DATA'!H$1,PRODUCT_MASTER!$A$1:$F$1,0),0)</f>
        <v>Organic</v>
      </c>
      <c r="I193" t="str">
        <f>VLOOKUP($B193,PRODUCT_MASTER!$A:$F,MATCH('FINAL DATA'!I$1,PRODUCT_MASTER!$A$1:$F$1,0),0)</f>
        <v>Kg</v>
      </c>
      <c r="J193" s="7">
        <f>VLOOKUP($B193,PRODUCT_MASTER!$A:$F,MATCH('FINAL DATA'!J$1,PRODUCT_MASTER!$A$1:$F$1,0),0)</f>
        <v>98</v>
      </c>
      <c r="K193" s="7">
        <f>VLOOKUP($B193,PRODUCT_MASTER!$A:$F,MATCH('FINAL DATA'!K$1,PRODUCT_MASTER!$A$1:$F$1,0),0)</f>
        <v>103.88</v>
      </c>
      <c r="L193" s="7">
        <f t="shared" si="10"/>
        <v>882</v>
      </c>
      <c r="M193" s="7">
        <f t="shared" si="11"/>
        <v>934.92</v>
      </c>
      <c r="N193">
        <f t="shared" si="12"/>
        <v>10</v>
      </c>
      <c r="O193" t="str">
        <f t="shared" si="13"/>
        <v>Sep</v>
      </c>
      <c r="P193">
        <f t="shared" si="14"/>
        <v>2021</v>
      </c>
    </row>
    <row r="194" spans="1:16" x14ac:dyDescent="0.2">
      <c r="A194" s="1">
        <v>44449</v>
      </c>
      <c r="B194" t="s">
        <v>57</v>
      </c>
      <c r="C194">
        <v>2</v>
      </c>
      <c r="D194" t="s">
        <v>103</v>
      </c>
      <c r="E194" t="s">
        <v>101</v>
      </c>
      <c r="F194" s="5">
        <v>0</v>
      </c>
      <c r="G194" t="str">
        <f>VLOOKUP($B194,PRODUCT_MASTER!$A:$F,MATCH('FINAL DATA'!G$1,PRODUCT_MASTER!$A$1:$F$1,0),0)</f>
        <v>Product26</v>
      </c>
      <c r="H194" t="str">
        <f>VLOOKUP($B194,PRODUCT_MASTER!$A:$F,MATCH('FINAL DATA'!H$1,PRODUCT_MASTER!$A$1:$F$1,0),0)</f>
        <v>Seafood</v>
      </c>
      <c r="I194" t="str">
        <f>VLOOKUP($B194,PRODUCT_MASTER!$A:$F,MATCH('FINAL DATA'!I$1,PRODUCT_MASTER!$A$1:$F$1,0),0)</f>
        <v>No.</v>
      </c>
      <c r="J194" s="7">
        <f>VLOOKUP($B194,PRODUCT_MASTER!$A:$F,MATCH('FINAL DATA'!J$1,PRODUCT_MASTER!$A$1:$F$1,0),0)</f>
        <v>18</v>
      </c>
      <c r="K194" s="7">
        <f>VLOOKUP($B194,PRODUCT_MASTER!$A:$F,MATCH('FINAL DATA'!K$1,PRODUCT_MASTER!$A$1:$F$1,0),0)</f>
        <v>24.66</v>
      </c>
      <c r="L194" s="7">
        <f t="shared" si="10"/>
        <v>36</v>
      </c>
      <c r="M194" s="7">
        <f t="shared" si="11"/>
        <v>49.32</v>
      </c>
      <c r="N194">
        <f t="shared" si="12"/>
        <v>10</v>
      </c>
      <c r="O194" t="str">
        <f t="shared" si="13"/>
        <v>Sep</v>
      </c>
      <c r="P194">
        <f t="shared" si="14"/>
        <v>2021</v>
      </c>
    </row>
    <row r="195" spans="1:16" x14ac:dyDescent="0.2">
      <c r="A195" s="1">
        <v>44450</v>
      </c>
      <c r="B195" t="s">
        <v>6</v>
      </c>
      <c r="C195">
        <v>6</v>
      </c>
      <c r="D195" t="s">
        <v>100</v>
      </c>
      <c r="E195" t="s">
        <v>101</v>
      </c>
      <c r="F195" s="5">
        <v>0</v>
      </c>
      <c r="G195" t="str">
        <f>VLOOKUP($B195,PRODUCT_MASTER!$A:$F,MATCH('FINAL DATA'!G$1,PRODUCT_MASTER!$A$1:$F$1,0),0)</f>
        <v>Product01</v>
      </c>
      <c r="H195" t="str">
        <f>VLOOKUP($B195,PRODUCT_MASTER!$A:$F,MATCH('FINAL DATA'!H$1,PRODUCT_MASTER!$A$1:$F$1,0),0)</f>
        <v>Organic</v>
      </c>
      <c r="I195" t="str">
        <f>VLOOKUP($B195,PRODUCT_MASTER!$A:$F,MATCH('FINAL DATA'!I$1,PRODUCT_MASTER!$A$1:$F$1,0),0)</f>
        <v>Kg</v>
      </c>
      <c r="J195" s="7">
        <f>VLOOKUP($B195,PRODUCT_MASTER!$A:$F,MATCH('FINAL DATA'!J$1,PRODUCT_MASTER!$A$1:$F$1,0),0)</f>
        <v>98</v>
      </c>
      <c r="K195" s="7">
        <f>VLOOKUP($B195,PRODUCT_MASTER!$A:$F,MATCH('FINAL DATA'!K$1,PRODUCT_MASTER!$A$1:$F$1,0),0)</f>
        <v>103.88</v>
      </c>
      <c r="L195" s="7">
        <f t="shared" ref="L195:L258" si="15">C195*J195</f>
        <v>588</v>
      </c>
      <c r="M195" s="7">
        <f t="shared" ref="M195:M258" si="16">(K195-(K195*F195))*C195</f>
        <v>623.28</v>
      </c>
      <c r="N195">
        <f t="shared" ref="N195:N258" si="17">DAY(A195)</f>
        <v>11</v>
      </c>
      <c r="O195" t="str">
        <f t="shared" ref="O195:O258" si="18">TEXT(A195,"MMM")</f>
        <v>Sep</v>
      </c>
      <c r="P195">
        <f t="shared" ref="P195:P258" si="19">YEAR(A195)</f>
        <v>2021</v>
      </c>
    </row>
    <row r="196" spans="1:16" x14ac:dyDescent="0.2">
      <c r="A196" s="1">
        <v>44452</v>
      </c>
      <c r="B196" t="s">
        <v>87</v>
      </c>
      <c r="C196">
        <v>7</v>
      </c>
      <c r="D196" t="s">
        <v>103</v>
      </c>
      <c r="E196" t="s">
        <v>102</v>
      </c>
      <c r="F196" s="5">
        <v>0</v>
      </c>
      <c r="G196" t="str">
        <f>VLOOKUP($B196,PRODUCT_MASTER!$A:$F,MATCH('FINAL DATA'!G$1,PRODUCT_MASTER!$A$1:$F$1,0),0)</f>
        <v>Product41</v>
      </c>
      <c r="H196" t="str">
        <f>VLOOKUP($B196,PRODUCT_MASTER!$A:$F,MATCH('FINAL DATA'!H$1,PRODUCT_MASTER!$A$1:$F$1,0),0)</f>
        <v>Snacks</v>
      </c>
      <c r="I196" t="str">
        <f>VLOOKUP($B196,PRODUCT_MASTER!$A:$F,MATCH('FINAL DATA'!I$1,PRODUCT_MASTER!$A$1:$F$1,0),0)</f>
        <v>Ft</v>
      </c>
      <c r="J196" s="7">
        <f>VLOOKUP($B196,PRODUCT_MASTER!$A:$F,MATCH('FINAL DATA'!J$1,PRODUCT_MASTER!$A$1:$F$1,0),0)</f>
        <v>138</v>
      </c>
      <c r="K196" s="7">
        <f>VLOOKUP($B196,PRODUCT_MASTER!$A:$F,MATCH('FINAL DATA'!K$1,PRODUCT_MASTER!$A$1:$F$1,0),0)</f>
        <v>173.88</v>
      </c>
      <c r="L196" s="7">
        <f t="shared" si="15"/>
        <v>966</v>
      </c>
      <c r="M196" s="7">
        <f t="shared" si="16"/>
        <v>1217.1599999999999</v>
      </c>
      <c r="N196">
        <f t="shared" si="17"/>
        <v>13</v>
      </c>
      <c r="O196" t="str">
        <f t="shared" si="18"/>
        <v>Sep</v>
      </c>
      <c r="P196">
        <f t="shared" si="19"/>
        <v>2021</v>
      </c>
    </row>
    <row r="197" spans="1:16" x14ac:dyDescent="0.2">
      <c r="A197" s="1">
        <v>44454</v>
      </c>
      <c r="B197" t="s">
        <v>89</v>
      </c>
      <c r="C197">
        <v>6</v>
      </c>
      <c r="D197" t="s">
        <v>103</v>
      </c>
      <c r="E197" t="s">
        <v>101</v>
      </c>
      <c r="F197" s="5">
        <v>0</v>
      </c>
      <c r="G197" t="str">
        <f>VLOOKUP($B197,PRODUCT_MASTER!$A:$F,MATCH('FINAL DATA'!G$1,PRODUCT_MASTER!$A$1:$F$1,0),0)</f>
        <v>Product42</v>
      </c>
      <c r="H197" t="str">
        <f>VLOOKUP($B197,PRODUCT_MASTER!$A:$F,MATCH('FINAL DATA'!H$1,PRODUCT_MASTER!$A$1:$F$1,0),0)</f>
        <v>Candy</v>
      </c>
      <c r="I197" t="str">
        <f>VLOOKUP($B197,PRODUCT_MASTER!$A:$F,MATCH('FINAL DATA'!I$1,PRODUCT_MASTER!$A$1:$F$1,0),0)</f>
        <v>Ft</v>
      </c>
      <c r="J197" s="7">
        <f>VLOOKUP($B197,PRODUCT_MASTER!$A:$F,MATCH('FINAL DATA'!J$1,PRODUCT_MASTER!$A$1:$F$1,0),0)</f>
        <v>120</v>
      </c>
      <c r="K197" s="7">
        <f>VLOOKUP($B197,PRODUCT_MASTER!$A:$F,MATCH('FINAL DATA'!K$1,PRODUCT_MASTER!$A$1:$F$1,0),0)</f>
        <v>162</v>
      </c>
      <c r="L197" s="7">
        <f t="shared" si="15"/>
        <v>720</v>
      </c>
      <c r="M197" s="7">
        <f t="shared" si="16"/>
        <v>972</v>
      </c>
      <c r="N197">
        <f t="shared" si="17"/>
        <v>15</v>
      </c>
      <c r="O197" t="str">
        <f t="shared" si="18"/>
        <v>Sep</v>
      </c>
      <c r="P197">
        <f t="shared" si="19"/>
        <v>2021</v>
      </c>
    </row>
    <row r="198" spans="1:16" x14ac:dyDescent="0.2">
      <c r="A198" s="1">
        <v>44454</v>
      </c>
      <c r="B198" t="s">
        <v>89</v>
      </c>
      <c r="C198">
        <v>14</v>
      </c>
      <c r="D198" t="s">
        <v>103</v>
      </c>
      <c r="E198" t="s">
        <v>101</v>
      </c>
      <c r="F198" s="5">
        <v>0</v>
      </c>
      <c r="G198" t="str">
        <f>VLOOKUP($B198,PRODUCT_MASTER!$A:$F,MATCH('FINAL DATA'!G$1,PRODUCT_MASTER!$A$1:$F$1,0),0)</f>
        <v>Product42</v>
      </c>
      <c r="H198" t="str">
        <f>VLOOKUP($B198,PRODUCT_MASTER!$A:$F,MATCH('FINAL DATA'!H$1,PRODUCT_MASTER!$A$1:$F$1,0),0)</f>
        <v>Candy</v>
      </c>
      <c r="I198" t="str">
        <f>VLOOKUP($B198,PRODUCT_MASTER!$A:$F,MATCH('FINAL DATA'!I$1,PRODUCT_MASTER!$A$1:$F$1,0),0)</f>
        <v>Ft</v>
      </c>
      <c r="J198" s="7">
        <f>VLOOKUP($B198,PRODUCT_MASTER!$A:$F,MATCH('FINAL DATA'!J$1,PRODUCT_MASTER!$A$1:$F$1,0),0)</f>
        <v>120</v>
      </c>
      <c r="K198" s="7">
        <f>VLOOKUP($B198,PRODUCT_MASTER!$A:$F,MATCH('FINAL DATA'!K$1,PRODUCT_MASTER!$A$1:$F$1,0),0)</f>
        <v>162</v>
      </c>
      <c r="L198" s="7">
        <f t="shared" si="15"/>
        <v>1680</v>
      </c>
      <c r="M198" s="7">
        <f t="shared" si="16"/>
        <v>2268</v>
      </c>
      <c r="N198">
        <f t="shared" si="17"/>
        <v>15</v>
      </c>
      <c r="O198" t="str">
        <f t="shared" si="18"/>
        <v>Sep</v>
      </c>
      <c r="P198">
        <f t="shared" si="19"/>
        <v>2021</v>
      </c>
    </row>
    <row r="199" spans="1:16" x14ac:dyDescent="0.2">
      <c r="A199" s="1">
        <v>44460</v>
      </c>
      <c r="B199" t="s">
        <v>45</v>
      </c>
      <c r="C199">
        <v>7</v>
      </c>
      <c r="D199" t="s">
        <v>100</v>
      </c>
      <c r="E199" t="s">
        <v>102</v>
      </c>
      <c r="F199" s="5">
        <v>0</v>
      </c>
      <c r="G199" t="str">
        <f>VLOOKUP($B199,PRODUCT_MASTER!$A:$F,MATCH('FINAL DATA'!G$1,PRODUCT_MASTER!$A$1:$F$1,0),0)</f>
        <v>Product20</v>
      </c>
      <c r="H199" t="str">
        <f>VLOOKUP($B199,PRODUCT_MASTER!$A:$F,MATCH('FINAL DATA'!H$1,PRODUCT_MASTER!$A$1:$F$1,0),0)</f>
        <v>Poultry</v>
      </c>
      <c r="I199" t="str">
        <f>VLOOKUP($B199,PRODUCT_MASTER!$A:$F,MATCH('FINAL DATA'!I$1,PRODUCT_MASTER!$A$1:$F$1,0),0)</f>
        <v>Lt</v>
      </c>
      <c r="J199" s="7">
        <f>VLOOKUP($B199,PRODUCT_MASTER!$A:$F,MATCH('FINAL DATA'!J$1,PRODUCT_MASTER!$A$1:$F$1,0),0)</f>
        <v>61</v>
      </c>
      <c r="K199" s="7">
        <f>VLOOKUP($B199,PRODUCT_MASTER!$A:$F,MATCH('FINAL DATA'!K$1,PRODUCT_MASTER!$A$1:$F$1,0),0)</f>
        <v>76.25</v>
      </c>
      <c r="L199" s="7">
        <f t="shared" si="15"/>
        <v>427</v>
      </c>
      <c r="M199" s="7">
        <f t="shared" si="16"/>
        <v>533.75</v>
      </c>
      <c r="N199">
        <f t="shared" si="17"/>
        <v>21</v>
      </c>
      <c r="O199" t="str">
        <f t="shared" si="18"/>
        <v>Sep</v>
      </c>
      <c r="P199">
        <f t="shared" si="19"/>
        <v>2021</v>
      </c>
    </row>
    <row r="200" spans="1:16" x14ac:dyDescent="0.2">
      <c r="A200" s="1">
        <v>44461</v>
      </c>
      <c r="B200" t="s">
        <v>85</v>
      </c>
      <c r="C200">
        <v>2</v>
      </c>
      <c r="D200" t="s">
        <v>101</v>
      </c>
      <c r="E200" t="s">
        <v>102</v>
      </c>
      <c r="F200" s="5">
        <v>0</v>
      </c>
      <c r="G200" t="str">
        <f>VLOOKUP($B200,PRODUCT_MASTER!$A:$F,MATCH('FINAL DATA'!G$1,PRODUCT_MASTER!$A$1:$F$1,0),0)</f>
        <v>Product40</v>
      </c>
      <c r="H200" t="str">
        <f>VLOOKUP($B200,PRODUCT_MASTER!$A:$F,MATCH('FINAL DATA'!H$1,PRODUCT_MASTER!$A$1:$F$1,0),0)</f>
        <v>Snacks</v>
      </c>
      <c r="I200" t="str">
        <f>VLOOKUP($B200,PRODUCT_MASTER!$A:$F,MATCH('FINAL DATA'!I$1,PRODUCT_MASTER!$A$1:$F$1,0),0)</f>
        <v>Kg</v>
      </c>
      <c r="J200" s="7">
        <f>VLOOKUP($B200,PRODUCT_MASTER!$A:$F,MATCH('FINAL DATA'!J$1,PRODUCT_MASTER!$A$1:$F$1,0),0)</f>
        <v>90</v>
      </c>
      <c r="K200" s="7">
        <f>VLOOKUP($B200,PRODUCT_MASTER!$A:$F,MATCH('FINAL DATA'!K$1,PRODUCT_MASTER!$A$1:$F$1,0),0)</f>
        <v>115.2</v>
      </c>
      <c r="L200" s="7">
        <f t="shared" si="15"/>
        <v>180</v>
      </c>
      <c r="M200" s="7">
        <f t="shared" si="16"/>
        <v>230.4</v>
      </c>
      <c r="N200">
        <f t="shared" si="17"/>
        <v>22</v>
      </c>
      <c r="O200" t="str">
        <f t="shared" si="18"/>
        <v>Sep</v>
      </c>
      <c r="P200">
        <f t="shared" si="19"/>
        <v>2021</v>
      </c>
    </row>
    <row r="201" spans="1:16" x14ac:dyDescent="0.2">
      <c r="A201" s="1">
        <v>44461</v>
      </c>
      <c r="B201" t="s">
        <v>9</v>
      </c>
      <c r="C201">
        <v>4</v>
      </c>
      <c r="D201" t="s">
        <v>103</v>
      </c>
      <c r="E201" t="s">
        <v>102</v>
      </c>
      <c r="F201" s="5">
        <v>0</v>
      </c>
      <c r="G201" t="str">
        <f>VLOOKUP($B201,PRODUCT_MASTER!$A:$F,MATCH('FINAL DATA'!G$1,PRODUCT_MASTER!$A$1:$F$1,0),0)</f>
        <v>Product02</v>
      </c>
      <c r="H201" t="str">
        <f>VLOOKUP($B201,PRODUCT_MASTER!$A:$F,MATCH('FINAL DATA'!H$1,PRODUCT_MASTER!$A$1:$F$1,0),0)</f>
        <v>Organic</v>
      </c>
      <c r="I201" t="str">
        <f>VLOOKUP($B201,PRODUCT_MASTER!$A:$F,MATCH('FINAL DATA'!I$1,PRODUCT_MASTER!$A$1:$F$1,0),0)</f>
        <v>Kg</v>
      </c>
      <c r="J201" s="7">
        <f>VLOOKUP($B201,PRODUCT_MASTER!$A:$F,MATCH('FINAL DATA'!J$1,PRODUCT_MASTER!$A$1:$F$1,0),0)</f>
        <v>105</v>
      </c>
      <c r="K201" s="7">
        <f>VLOOKUP($B201,PRODUCT_MASTER!$A:$F,MATCH('FINAL DATA'!K$1,PRODUCT_MASTER!$A$1:$F$1,0),0)</f>
        <v>142.80000000000001</v>
      </c>
      <c r="L201" s="7">
        <f t="shared" si="15"/>
        <v>420</v>
      </c>
      <c r="M201" s="7">
        <f t="shared" si="16"/>
        <v>571.20000000000005</v>
      </c>
      <c r="N201">
        <f t="shared" si="17"/>
        <v>22</v>
      </c>
      <c r="O201" t="str">
        <f t="shared" si="18"/>
        <v>Sep</v>
      </c>
      <c r="P201">
        <f t="shared" si="19"/>
        <v>2021</v>
      </c>
    </row>
    <row r="202" spans="1:16" x14ac:dyDescent="0.2">
      <c r="A202" s="1">
        <v>44462</v>
      </c>
      <c r="B202" t="s">
        <v>41</v>
      </c>
      <c r="C202">
        <v>12</v>
      </c>
      <c r="D202" t="s">
        <v>103</v>
      </c>
      <c r="E202" t="s">
        <v>102</v>
      </c>
      <c r="F202" s="5">
        <v>0</v>
      </c>
      <c r="G202" t="str">
        <f>VLOOKUP($B202,PRODUCT_MASTER!$A:$F,MATCH('FINAL DATA'!G$1,PRODUCT_MASTER!$A$1:$F$1,0),0)</f>
        <v>Product18</v>
      </c>
      <c r="H202" t="str">
        <f>VLOOKUP($B202,PRODUCT_MASTER!$A:$F,MATCH('FINAL DATA'!H$1,PRODUCT_MASTER!$A$1:$F$1,0),0)</f>
        <v>Poultry</v>
      </c>
      <c r="I202" t="str">
        <f>VLOOKUP($B202,PRODUCT_MASTER!$A:$F,MATCH('FINAL DATA'!I$1,PRODUCT_MASTER!$A$1:$F$1,0),0)</f>
        <v>No.</v>
      </c>
      <c r="J202" s="7">
        <f>VLOOKUP($B202,PRODUCT_MASTER!$A:$F,MATCH('FINAL DATA'!J$1,PRODUCT_MASTER!$A$1:$F$1,0),0)</f>
        <v>37</v>
      </c>
      <c r="K202" s="7">
        <f>VLOOKUP($B202,PRODUCT_MASTER!$A:$F,MATCH('FINAL DATA'!K$1,PRODUCT_MASTER!$A$1:$F$1,0),0)</f>
        <v>49.21</v>
      </c>
      <c r="L202" s="7">
        <f t="shared" si="15"/>
        <v>444</v>
      </c>
      <c r="M202" s="7">
        <f t="shared" si="16"/>
        <v>590.52</v>
      </c>
      <c r="N202">
        <f t="shared" si="17"/>
        <v>23</v>
      </c>
      <c r="O202" t="str">
        <f t="shared" si="18"/>
        <v>Sep</v>
      </c>
      <c r="P202">
        <f t="shared" si="19"/>
        <v>2021</v>
      </c>
    </row>
    <row r="203" spans="1:16" x14ac:dyDescent="0.2">
      <c r="A203" s="1">
        <v>44462</v>
      </c>
      <c r="B203" t="s">
        <v>47</v>
      </c>
      <c r="C203">
        <v>7</v>
      </c>
      <c r="D203" t="s">
        <v>101</v>
      </c>
      <c r="E203" t="s">
        <v>101</v>
      </c>
      <c r="F203" s="5">
        <v>0</v>
      </c>
      <c r="G203" t="str">
        <f>VLOOKUP($B203,PRODUCT_MASTER!$A:$F,MATCH('FINAL DATA'!G$1,PRODUCT_MASTER!$A$1:$F$1,0),0)</f>
        <v>Product21</v>
      </c>
      <c r="H203" t="str">
        <f>VLOOKUP($B203,PRODUCT_MASTER!$A:$F,MATCH('FINAL DATA'!H$1,PRODUCT_MASTER!$A$1:$F$1,0),0)</f>
        <v>Poultry</v>
      </c>
      <c r="I203" t="str">
        <f>VLOOKUP($B203,PRODUCT_MASTER!$A:$F,MATCH('FINAL DATA'!I$1,PRODUCT_MASTER!$A$1:$F$1,0),0)</f>
        <v>Ft</v>
      </c>
      <c r="J203" s="7">
        <f>VLOOKUP($B203,PRODUCT_MASTER!$A:$F,MATCH('FINAL DATA'!J$1,PRODUCT_MASTER!$A$1:$F$1,0),0)</f>
        <v>126</v>
      </c>
      <c r="K203" s="7">
        <f>VLOOKUP($B203,PRODUCT_MASTER!$A:$F,MATCH('FINAL DATA'!K$1,PRODUCT_MASTER!$A$1:$F$1,0),0)</f>
        <v>162.54</v>
      </c>
      <c r="L203" s="7">
        <f t="shared" si="15"/>
        <v>882</v>
      </c>
      <c r="M203" s="7">
        <f t="shared" si="16"/>
        <v>1137.78</v>
      </c>
      <c r="N203">
        <f t="shared" si="17"/>
        <v>23</v>
      </c>
      <c r="O203" t="str">
        <f t="shared" si="18"/>
        <v>Sep</v>
      </c>
      <c r="P203">
        <f t="shared" si="19"/>
        <v>2021</v>
      </c>
    </row>
    <row r="204" spans="1:16" x14ac:dyDescent="0.2">
      <c r="A204" s="1">
        <v>44466</v>
      </c>
      <c r="B204" t="s">
        <v>73</v>
      </c>
      <c r="C204">
        <v>1</v>
      </c>
      <c r="D204" t="s">
        <v>103</v>
      </c>
      <c r="E204" t="s">
        <v>102</v>
      </c>
      <c r="F204" s="5">
        <v>0</v>
      </c>
      <c r="G204" t="str">
        <f>VLOOKUP($B204,PRODUCT_MASTER!$A:$F,MATCH('FINAL DATA'!G$1,PRODUCT_MASTER!$A$1:$F$1,0),0)</f>
        <v>Product34</v>
      </c>
      <c r="H204" t="str">
        <f>VLOOKUP($B204,PRODUCT_MASTER!$A:$F,MATCH('FINAL DATA'!H$1,PRODUCT_MASTER!$A$1:$F$1,0),0)</f>
        <v>Bakery And Desserts</v>
      </c>
      <c r="I204" t="str">
        <f>VLOOKUP($B204,PRODUCT_MASTER!$A:$F,MATCH('FINAL DATA'!I$1,PRODUCT_MASTER!$A$1:$F$1,0),0)</f>
        <v>Lt</v>
      </c>
      <c r="J204" s="7">
        <f>VLOOKUP($B204,PRODUCT_MASTER!$A:$F,MATCH('FINAL DATA'!J$1,PRODUCT_MASTER!$A$1:$F$1,0),0)</f>
        <v>55</v>
      </c>
      <c r="K204" s="7">
        <f>VLOOKUP($B204,PRODUCT_MASTER!$A:$F,MATCH('FINAL DATA'!K$1,PRODUCT_MASTER!$A$1:$F$1,0),0)</f>
        <v>58.3</v>
      </c>
      <c r="L204" s="7">
        <f t="shared" si="15"/>
        <v>55</v>
      </c>
      <c r="M204" s="7">
        <f t="shared" si="16"/>
        <v>58.3</v>
      </c>
      <c r="N204">
        <f t="shared" si="17"/>
        <v>27</v>
      </c>
      <c r="O204" t="str">
        <f t="shared" si="18"/>
        <v>Sep</v>
      </c>
      <c r="P204">
        <f t="shared" si="19"/>
        <v>2021</v>
      </c>
    </row>
    <row r="205" spans="1:16" x14ac:dyDescent="0.2">
      <c r="A205" s="1">
        <v>44469</v>
      </c>
      <c r="B205" t="s">
        <v>33</v>
      </c>
      <c r="C205">
        <v>9</v>
      </c>
      <c r="D205" t="s">
        <v>101</v>
      </c>
      <c r="E205" t="s">
        <v>101</v>
      </c>
      <c r="F205" s="5">
        <v>0</v>
      </c>
      <c r="G205" t="str">
        <f>VLOOKUP($B205,PRODUCT_MASTER!$A:$F,MATCH('FINAL DATA'!G$1,PRODUCT_MASTER!$A$1:$F$1,0),0)</f>
        <v>Product14</v>
      </c>
      <c r="H205" t="str">
        <f>VLOOKUP($B205,PRODUCT_MASTER!$A:$F,MATCH('FINAL DATA'!H$1,PRODUCT_MASTER!$A$1:$F$1,0),0)</f>
        <v>Meat</v>
      </c>
      <c r="I205" t="str">
        <f>VLOOKUP($B205,PRODUCT_MASTER!$A:$F,MATCH('FINAL DATA'!I$1,PRODUCT_MASTER!$A$1:$F$1,0),0)</f>
        <v>Kg</v>
      </c>
      <c r="J205" s="7">
        <f>VLOOKUP($B205,PRODUCT_MASTER!$A:$F,MATCH('FINAL DATA'!J$1,PRODUCT_MASTER!$A$1:$F$1,0),0)</f>
        <v>112</v>
      </c>
      <c r="K205" s="7">
        <f>VLOOKUP($B205,PRODUCT_MASTER!$A:$F,MATCH('FINAL DATA'!K$1,PRODUCT_MASTER!$A$1:$F$1,0),0)</f>
        <v>146.72</v>
      </c>
      <c r="L205" s="7">
        <f t="shared" si="15"/>
        <v>1008</v>
      </c>
      <c r="M205" s="7">
        <f t="shared" si="16"/>
        <v>1320.48</v>
      </c>
      <c r="N205">
        <f t="shared" si="17"/>
        <v>30</v>
      </c>
      <c r="O205" t="str">
        <f t="shared" si="18"/>
        <v>Sep</v>
      </c>
      <c r="P205">
        <f t="shared" si="19"/>
        <v>2021</v>
      </c>
    </row>
    <row r="206" spans="1:16" x14ac:dyDescent="0.2">
      <c r="A206" s="1">
        <v>44469</v>
      </c>
      <c r="B206" t="s">
        <v>17</v>
      </c>
      <c r="C206">
        <v>5</v>
      </c>
      <c r="D206" t="s">
        <v>101</v>
      </c>
      <c r="E206" t="s">
        <v>101</v>
      </c>
      <c r="F206" s="5">
        <v>0</v>
      </c>
      <c r="G206" t="str">
        <f>VLOOKUP($B206,PRODUCT_MASTER!$A:$F,MATCH('FINAL DATA'!G$1,PRODUCT_MASTER!$A$1:$F$1,0),0)</f>
        <v>Product06</v>
      </c>
      <c r="H206" t="str">
        <f>VLOOKUP($B206,PRODUCT_MASTER!$A:$F,MATCH('FINAL DATA'!H$1,PRODUCT_MASTER!$A$1:$F$1,0),0)</f>
        <v>Gourmet Foods</v>
      </c>
      <c r="I206" t="str">
        <f>VLOOKUP($B206,PRODUCT_MASTER!$A:$F,MATCH('FINAL DATA'!I$1,PRODUCT_MASTER!$A$1:$F$1,0),0)</f>
        <v>Kg</v>
      </c>
      <c r="J206" s="7">
        <f>VLOOKUP($B206,PRODUCT_MASTER!$A:$F,MATCH('FINAL DATA'!J$1,PRODUCT_MASTER!$A$1:$F$1,0),0)</f>
        <v>75</v>
      </c>
      <c r="K206" s="7">
        <f>VLOOKUP($B206,PRODUCT_MASTER!$A:$F,MATCH('FINAL DATA'!K$1,PRODUCT_MASTER!$A$1:$F$1,0),0)</f>
        <v>85.5</v>
      </c>
      <c r="L206" s="7">
        <f t="shared" si="15"/>
        <v>375</v>
      </c>
      <c r="M206" s="7">
        <f t="shared" si="16"/>
        <v>427.5</v>
      </c>
      <c r="N206">
        <f t="shared" si="17"/>
        <v>30</v>
      </c>
      <c r="O206" t="str">
        <f t="shared" si="18"/>
        <v>Sep</v>
      </c>
      <c r="P206">
        <f t="shared" si="19"/>
        <v>2021</v>
      </c>
    </row>
    <row r="207" spans="1:16" x14ac:dyDescent="0.2">
      <c r="A207" s="1">
        <v>44470</v>
      </c>
      <c r="B207" t="s">
        <v>65</v>
      </c>
      <c r="C207">
        <v>14</v>
      </c>
      <c r="D207" t="s">
        <v>101</v>
      </c>
      <c r="E207" t="s">
        <v>102</v>
      </c>
      <c r="F207" s="5">
        <v>0</v>
      </c>
      <c r="G207" t="str">
        <f>VLOOKUP($B207,PRODUCT_MASTER!$A:$F,MATCH('FINAL DATA'!G$1,PRODUCT_MASTER!$A$1:$F$1,0),0)</f>
        <v>Product30</v>
      </c>
      <c r="H207" t="str">
        <f>VLOOKUP($B207,PRODUCT_MASTER!$A:$F,MATCH('FINAL DATA'!H$1,PRODUCT_MASTER!$A$1:$F$1,0),0)</f>
        <v>Cheese And Dairy</v>
      </c>
      <c r="I207" t="str">
        <f>VLOOKUP($B207,PRODUCT_MASTER!$A:$F,MATCH('FINAL DATA'!I$1,PRODUCT_MASTER!$A$1:$F$1,0),0)</f>
        <v>Ft</v>
      </c>
      <c r="J207" s="7">
        <f>VLOOKUP($B207,PRODUCT_MASTER!$A:$F,MATCH('FINAL DATA'!J$1,PRODUCT_MASTER!$A$1:$F$1,0),0)</f>
        <v>148</v>
      </c>
      <c r="K207" s="7">
        <f>VLOOKUP($B207,PRODUCT_MASTER!$A:$F,MATCH('FINAL DATA'!K$1,PRODUCT_MASTER!$A$1:$F$1,0),0)</f>
        <v>201.28</v>
      </c>
      <c r="L207" s="7">
        <f t="shared" si="15"/>
        <v>2072</v>
      </c>
      <c r="M207" s="7">
        <f t="shared" si="16"/>
        <v>2817.92</v>
      </c>
      <c r="N207">
        <f t="shared" si="17"/>
        <v>1</v>
      </c>
      <c r="O207" t="str">
        <f t="shared" si="18"/>
        <v>Oct</v>
      </c>
      <c r="P207">
        <f t="shared" si="19"/>
        <v>2021</v>
      </c>
    </row>
    <row r="208" spans="1:16" x14ac:dyDescent="0.2">
      <c r="A208" s="1">
        <v>44471</v>
      </c>
      <c r="B208" t="s">
        <v>33</v>
      </c>
      <c r="C208">
        <v>15</v>
      </c>
      <c r="D208" t="s">
        <v>103</v>
      </c>
      <c r="E208" t="s">
        <v>101</v>
      </c>
      <c r="F208" s="5">
        <v>0</v>
      </c>
      <c r="G208" t="str">
        <f>VLOOKUP($B208,PRODUCT_MASTER!$A:$F,MATCH('FINAL DATA'!G$1,PRODUCT_MASTER!$A$1:$F$1,0),0)</f>
        <v>Product14</v>
      </c>
      <c r="H208" t="str">
        <f>VLOOKUP($B208,PRODUCT_MASTER!$A:$F,MATCH('FINAL DATA'!H$1,PRODUCT_MASTER!$A$1:$F$1,0),0)</f>
        <v>Meat</v>
      </c>
      <c r="I208" t="str">
        <f>VLOOKUP($B208,PRODUCT_MASTER!$A:$F,MATCH('FINAL DATA'!I$1,PRODUCT_MASTER!$A$1:$F$1,0),0)</f>
        <v>Kg</v>
      </c>
      <c r="J208" s="7">
        <f>VLOOKUP($B208,PRODUCT_MASTER!$A:$F,MATCH('FINAL DATA'!J$1,PRODUCT_MASTER!$A$1:$F$1,0),0)</f>
        <v>112</v>
      </c>
      <c r="K208" s="7">
        <f>VLOOKUP($B208,PRODUCT_MASTER!$A:$F,MATCH('FINAL DATA'!K$1,PRODUCT_MASTER!$A$1:$F$1,0),0)</f>
        <v>146.72</v>
      </c>
      <c r="L208" s="7">
        <f t="shared" si="15"/>
        <v>1680</v>
      </c>
      <c r="M208" s="7">
        <f t="shared" si="16"/>
        <v>2200.8000000000002</v>
      </c>
      <c r="N208">
        <f t="shared" si="17"/>
        <v>2</v>
      </c>
      <c r="O208" t="str">
        <f t="shared" si="18"/>
        <v>Oct</v>
      </c>
      <c r="P208">
        <f t="shared" si="19"/>
        <v>2021</v>
      </c>
    </row>
    <row r="209" spans="1:16" x14ac:dyDescent="0.2">
      <c r="A209" s="1">
        <v>44472</v>
      </c>
      <c r="B209" t="s">
        <v>43</v>
      </c>
      <c r="C209">
        <v>9</v>
      </c>
      <c r="D209" t="s">
        <v>103</v>
      </c>
      <c r="E209" t="s">
        <v>101</v>
      </c>
      <c r="F209" s="5">
        <v>0</v>
      </c>
      <c r="G209" t="str">
        <f>VLOOKUP($B209,PRODUCT_MASTER!$A:$F,MATCH('FINAL DATA'!G$1,PRODUCT_MASTER!$A$1:$F$1,0),0)</f>
        <v>Product19</v>
      </c>
      <c r="H209" t="str">
        <f>VLOOKUP($B209,PRODUCT_MASTER!$A:$F,MATCH('FINAL DATA'!H$1,PRODUCT_MASTER!$A$1:$F$1,0),0)</f>
        <v>Poultry</v>
      </c>
      <c r="I209" t="str">
        <f>VLOOKUP($B209,PRODUCT_MASTER!$A:$F,MATCH('FINAL DATA'!I$1,PRODUCT_MASTER!$A$1:$F$1,0),0)</f>
        <v>Ft</v>
      </c>
      <c r="J209" s="7">
        <f>VLOOKUP($B209,PRODUCT_MASTER!$A:$F,MATCH('FINAL DATA'!J$1,PRODUCT_MASTER!$A$1:$F$1,0),0)</f>
        <v>150</v>
      </c>
      <c r="K209" s="7">
        <f>VLOOKUP($B209,PRODUCT_MASTER!$A:$F,MATCH('FINAL DATA'!K$1,PRODUCT_MASTER!$A$1:$F$1,0),0)</f>
        <v>210</v>
      </c>
      <c r="L209" s="7">
        <f t="shared" si="15"/>
        <v>1350</v>
      </c>
      <c r="M209" s="7">
        <f t="shared" si="16"/>
        <v>1890</v>
      </c>
      <c r="N209">
        <f t="shared" si="17"/>
        <v>3</v>
      </c>
      <c r="O209" t="str">
        <f t="shared" si="18"/>
        <v>Oct</v>
      </c>
      <c r="P209">
        <f t="shared" si="19"/>
        <v>2021</v>
      </c>
    </row>
    <row r="210" spans="1:16" x14ac:dyDescent="0.2">
      <c r="A210" s="1">
        <v>44475</v>
      </c>
      <c r="B210" t="s">
        <v>75</v>
      </c>
      <c r="C210">
        <v>1</v>
      </c>
      <c r="D210" t="s">
        <v>103</v>
      </c>
      <c r="E210" t="s">
        <v>101</v>
      </c>
      <c r="F210" s="5">
        <v>0</v>
      </c>
      <c r="G210" t="str">
        <f>VLOOKUP($B210,PRODUCT_MASTER!$A:$F,MATCH('FINAL DATA'!G$1,PRODUCT_MASTER!$A$1:$F$1,0),0)</f>
        <v>Product35</v>
      </c>
      <c r="H210" t="str">
        <f>VLOOKUP($B210,PRODUCT_MASTER!$A:$F,MATCH('FINAL DATA'!H$1,PRODUCT_MASTER!$A$1:$F$1,0),0)</f>
        <v>Bakery And Desserts</v>
      </c>
      <c r="I210" t="str">
        <f>VLOOKUP($B210,PRODUCT_MASTER!$A:$F,MATCH('FINAL DATA'!I$1,PRODUCT_MASTER!$A$1:$F$1,0),0)</f>
        <v>No.</v>
      </c>
      <c r="J210" s="7">
        <f>VLOOKUP($B210,PRODUCT_MASTER!$A:$F,MATCH('FINAL DATA'!J$1,PRODUCT_MASTER!$A$1:$F$1,0),0)</f>
        <v>5</v>
      </c>
      <c r="K210" s="7">
        <f>VLOOKUP($B210,PRODUCT_MASTER!$A:$F,MATCH('FINAL DATA'!K$1,PRODUCT_MASTER!$A$1:$F$1,0),0)</f>
        <v>6.7</v>
      </c>
      <c r="L210" s="7">
        <f t="shared" si="15"/>
        <v>5</v>
      </c>
      <c r="M210" s="7">
        <f t="shared" si="16"/>
        <v>6.7</v>
      </c>
      <c r="N210">
        <f t="shared" si="17"/>
        <v>6</v>
      </c>
      <c r="O210" t="str">
        <f t="shared" si="18"/>
        <v>Oct</v>
      </c>
      <c r="P210">
        <f t="shared" si="19"/>
        <v>2021</v>
      </c>
    </row>
    <row r="211" spans="1:16" x14ac:dyDescent="0.2">
      <c r="A211" s="1">
        <v>44475</v>
      </c>
      <c r="B211" t="s">
        <v>77</v>
      </c>
      <c r="C211">
        <v>12</v>
      </c>
      <c r="D211" t="s">
        <v>101</v>
      </c>
      <c r="E211" t="s">
        <v>101</v>
      </c>
      <c r="F211" s="5">
        <v>0</v>
      </c>
      <c r="G211" t="str">
        <f>VLOOKUP($B211,PRODUCT_MASTER!$A:$F,MATCH('FINAL DATA'!G$1,PRODUCT_MASTER!$A$1:$F$1,0),0)</f>
        <v>Product36</v>
      </c>
      <c r="H211" t="str">
        <f>VLOOKUP($B211,PRODUCT_MASTER!$A:$F,MATCH('FINAL DATA'!H$1,PRODUCT_MASTER!$A$1:$F$1,0),0)</f>
        <v>Bakery And Desserts</v>
      </c>
      <c r="I211" t="str">
        <f>VLOOKUP($B211,PRODUCT_MASTER!$A:$F,MATCH('FINAL DATA'!I$1,PRODUCT_MASTER!$A$1:$F$1,0),0)</f>
        <v>Kg</v>
      </c>
      <c r="J211" s="7">
        <f>VLOOKUP($B211,PRODUCT_MASTER!$A:$F,MATCH('FINAL DATA'!J$1,PRODUCT_MASTER!$A$1:$F$1,0),0)</f>
        <v>90</v>
      </c>
      <c r="K211" s="7">
        <f>VLOOKUP($B211,PRODUCT_MASTER!$A:$F,MATCH('FINAL DATA'!K$1,PRODUCT_MASTER!$A$1:$F$1,0),0)</f>
        <v>96.3</v>
      </c>
      <c r="L211" s="7">
        <f t="shared" si="15"/>
        <v>1080</v>
      </c>
      <c r="M211" s="7">
        <f t="shared" si="16"/>
        <v>1155.5999999999999</v>
      </c>
      <c r="N211">
        <f t="shared" si="17"/>
        <v>6</v>
      </c>
      <c r="O211" t="str">
        <f t="shared" si="18"/>
        <v>Oct</v>
      </c>
      <c r="P211">
        <f t="shared" si="19"/>
        <v>2021</v>
      </c>
    </row>
    <row r="212" spans="1:16" x14ac:dyDescent="0.2">
      <c r="A212" s="1">
        <v>44476</v>
      </c>
      <c r="B212" t="s">
        <v>57</v>
      </c>
      <c r="C212">
        <v>6</v>
      </c>
      <c r="D212" t="s">
        <v>103</v>
      </c>
      <c r="E212" t="s">
        <v>102</v>
      </c>
      <c r="F212" s="5">
        <v>0</v>
      </c>
      <c r="G212" t="str">
        <f>VLOOKUP($B212,PRODUCT_MASTER!$A:$F,MATCH('FINAL DATA'!G$1,PRODUCT_MASTER!$A$1:$F$1,0),0)</f>
        <v>Product26</v>
      </c>
      <c r="H212" t="str">
        <f>VLOOKUP($B212,PRODUCT_MASTER!$A:$F,MATCH('FINAL DATA'!H$1,PRODUCT_MASTER!$A$1:$F$1,0),0)</f>
        <v>Seafood</v>
      </c>
      <c r="I212" t="str">
        <f>VLOOKUP($B212,PRODUCT_MASTER!$A:$F,MATCH('FINAL DATA'!I$1,PRODUCT_MASTER!$A$1:$F$1,0),0)</f>
        <v>No.</v>
      </c>
      <c r="J212" s="7">
        <f>VLOOKUP($B212,PRODUCT_MASTER!$A:$F,MATCH('FINAL DATA'!J$1,PRODUCT_MASTER!$A$1:$F$1,0),0)</f>
        <v>18</v>
      </c>
      <c r="K212" s="7">
        <f>VLOOKUP($B212,PRODUCT_MASTER!$A:$F,MATCH('FINAL DATA'!K$1,PRODUCT_MASTER!$A$1:$F$1,0),0)</f>
        <v>24.66</v>
      </c>
      <c r="L212" s="7">
        <f t="shared" si="15"/>
        <v>108</v>
      </c>
      <c r="M212" s="7">
        <f t="shared" si="16"/>
        <v>147.96</v>
      </c>
      <c r="N212">
        <f t="shared" si="17"/>
        <v>7</v>
      </c>
      <c r="O212" t="str">
        <f t="shared" si="18"/>
        <v>Oct</v>
      </c>
      <c r="P212">
        <f t="shared" si="19"/>
        <v>2021</v>
      </c>
    </row>
    <row r="213" spans="1:16" x14ac:dyDescent="0.2">
      <c r="A213" s="1">
        <v>44478</v>
      </c>
      <c r="B213" t="s">
        <v>81</v>
      </c>
      <c r="C213">
        <v>5</v>
      </c>
      <c r="D213" t="s">
        <v>103</v>
      </c>
      <c r="E213" t="s">
        <v>102</v>
      </c>
      <c r="F213" s="5">
        <v>0</v>
      </c>
      <c r="G213" t="str">
        <f>VLOOKUP($B213,PRODUCT_MASTER!$A:$F,MATCH('FINAL DATA'!G$1,PRODUCT_MASTER!$A$1:$F$1,0),0)</f>
        <v>Product38</v>
      </c>
      <c r="H213" t="str">
        <f>VLOOKUP($B213,PRODUCT_MASTER!$A:$F,MATCH('FINAL DATA'!H$1,PRODUCT_MASTER!$A$1:$F$1,0),0)</f>
        <v>Snacks</v>
      </c>
      <c r="I213" t="str">
        <f>VLOOKUP($B213,PRODUCT_MASTER!$A:$F,MATCH('FINAL DATA'!I$1,PRODUCT_MASTER!$A$1:$F$1,0),0)</f>
        <v>Kg</v>
      </c>
      <c r="J213" s="7">
        <f>VLOOKUP($B213,PRODUCT_MASTER!$A:$F,MATCH('FINAL DATA'!J$1,PRODUCT_MASTER!$A$1:$F$1,0),0)</f>
        <v>72</v>
      </c>
      <c r="K213" s="7">
        <f>VLOOKUP($B213,PRODUCT_MASTER!$A:$F,MATCH('FINAL DATA'!K$1,PRODUCT_MASTER!$A$1:$F$1,0),0)</f>
        <v>79.92</v>
      </c>
      <c r="L213" s="7">
        <f t="shared" si="15"/>
        <v>360</v>
      </c>
      <c r="M213" s="7">
        <f t="shared" si="16"/>
        <v>399.6</v>
      </c>
      <c r="N213">
        <f t="shared" si="17"/>
        <v>9</v>
      </c>
      <c r="O213" t="str">
        <f t="shared" si="18"/>
        <v>Oct</v>
      </c>
      <c r="P213">
        <f t="shared" si="19"/>
        <v>2021</v>
      </c>
    </row>
    <row r="214" spans="1:16" x14ac:dyDescent="0.2">
      <c r="A214" s="1">
        <v>44478</v>
      </c>
      <c r="B214" t="s">
        <v>69</v>
      </c>
      <c r="C214">
        <v>11</v>
      </c>
      <c r="D214" t="s">
        <v>101</v>
      </c>
      <c r="E214" t="s">
        <v>102</v>
      </c>
      <c r="F214" s="5">
        <v>0</v>
      </c>
      <c r="G214" t="str">
        <f>VLOOKUP($B214,PRODUCT_MASTER!$A:$F,MATCH('FINAL DATA'!G$1,PRODUCT_MASTER!$A$1:$F$1,0),0)</f>
        <v>Product32</v>
      </c>
      <c r="H214" t="str">
        <f>VLOOKUP($B214,PRODUCT_MASTER!$A:$F,MATCH('FINAL DATA'!H$1,PRODUCT_MASTER!$A$1:$F$1,0),0)</f>
        <v>Bakery And Desserts</v>
      </c>
      <c r="I214" t="str">
        <f>VLOOKUP($B214,PRODUCT_MASTER!$A:$F,MATCH('FINAL DATA'!I$1,PRODUCT_MASTER!$A$1:$F$1,0),0)</f>
        <v>Kg</v>
      </c>
      <c r="J214" s="7">
        <f>VLOOKUP($B214,PRODUCT_MASTER!$A:$F,MATCH('FINAL DATA'!J$1,PRODUCT_MASTER!$A$1:$F$1,0),0)</f>
        <v>89</v>
      </c>
      <c r="K214" s="7">
        <f>VLOOKUP($B214,PRODUCT_MASTER!$A:$F,MATCH('FINAL DATA'!K$1,PRODUCT_MASTER!$A$1:$F$1,0),0)</f>
        <v>117.48</v>
      </c>
      <c r="L214" s="7">
        <f t="shared" si="15"/>
        <v>979</v>
      </c>
      <c r="M214" s="7">
        <f t="shared" si="16"/>
        <v>1292.28</v>
      </c>
      <c r="N214">
        <f t="shared" si="17"/>
        <v>9</v>
      </c>
      <c r="O214" t="str">
        <f t="shared" si="18"/>
        <v>Oct</v>
      </c>
      <c r="P214">
        <f t="shared" si="19"/>
        <v>2021</v>
      </c>
    </row>
    <row r="215" spans="1:16" x14ac:dyDescent="0.2">
      <c r="A215" s="1">
        <v>44479</v>
      </c>
      <c r="B215" t="s">
        <v>75</v>
      </c>
      <c r="C215">
        <v>14</v>
      </c>
      <c r="D215" t="s">
        <v>103</v>
      </c>
      <c r="E215" t="s">
        <v>102</v>
      </c>
      <c r="F215" s="5">
        <v>0</v>
      </c>
      <c r="G215" t="str">
        <f>VLOOKUP($B215,PRODUCT_MASTER!$A:$F,MATCH('FINAL DATA'!G$1,PRODUCT_MASTER!$A$1:$F$1,0),0)</f>
        <v>Product35</v>
      </c>
      <c r="H215" t="str">
        <f>VLOOKUP($B215,PRODUCT_MASTER!$A:$F,MATCH('FINAL DATA'!H$1,PRODUCT_MASTER!$A$1:$F$1,0),0)</f>
        <v>Bakery And Desserts</v>
      </c>
      <c r="I215" t="str">
        <f>VLOOKUP($B215,PRODUCT_MASTER!$A:$F,MATCH('FINAL DATA'!I$1,PRODUCT_MASTER!$A$1:$F$1,0),0)</f>
        <v>No.</v>
      </c>
      <c r="J215" s="7">
        <f>VLOOKUP($B215,PRODUCT_MASTER!$A:$F,MATCH('FINAL DATA'!J$1,PRODUCT_MASTER!$A$1:$F$1,0),0)</f>
        <v>5</v>
      </c>
      <c r="K215" s="7">
        <f>VLOOKUP($B215,PRODUCT_MASTER!$A:$F,MATCH('FINAL DATA'!K$1,PRODUCT_MASTER!$A$1:$F$1,0),0)</f>
        <v>6.7</v>
      </c>
      <c r="L215" s="7">
        <f t="shared" si="15"/>
        <v>70</v>
      </c>
      <c r="M215" s="7">
        <f t="shared" si="16"/>
        <v>93.8</v>
      </c>
      <c r="N215">
        <f t="shared" si="17"/>
        <v>10</v>
      </c>
      <c r="O215" t="str">
        <f t="shared" si="18"/>
        <v>Oct</v>
      </c>
      <c r="P215">
        <f t="shared" si="19"/>
        <v>2021</v>
      </c>
    </row>
    <row r="216" spans="1:16" x14ac:dyDescent="0.2">
      <c r="A216" s="1">
        <v>44480</v>
      </c>
      <c r="B216" t="s">
        <v>27</v>
      </c>
      <c r="C216">
        <v>15</v>
      </c>
      <c r="D216" t="s">
        <v>103</v>
      </c>
      <c r="E216" t="s">
        <v>102</v>
      </c>
      <c r="F216" s="5">
        <v>0</v>
      </c>
      <c r="G216" t="str">
        <f>VLOOKUP($B216,PRODUCT_MASTER!$A:$F,MATCH('FINAL DATA'!G$1,PRODUCT_MASTER!$A$1:$F$1,0),0)</f>
        <v>Product11</v>
      </c>
      <c r="H216" t="str">
        <f>VLOOKUP($B216,PRODUCT_MASTER!$A:$F,MATCH('FINAL DATA'!H$1,PRODUCT_MASTER!$A$1:$F$1,0),0)</f>
        <v>Gourmet Foods</v>
      </c>
      <c r="I216" t="str">
        <f>VLOOKUP($B216,PRODUCT_MASTER!$A:$F,MATCH('FINAL DATA'!I$1,PRODUCT_MASTER!$A$1:$F$1,0),0)</f>
        <v>Lt</v>
      </c>
      <c r="J216" s="7">
        <f>VLOOKUP($B216,PRODUCT_MASTER!$A:$F,MATCH('FINAL DATA'!J$1,PRODUCT_MASTER!$A$1:$F$1,0),0)</f>
        <v>44</v>
      </c>
      <c r="K216" s="7">
        <f>VLOOKUP($B216,PRODUCT_MASTER!$A:$F,MATCH('FINAL DATA'!K$1,PRODUCT_MASTER!$A$1:$F$1,0),0)</f>
        <v>48.4</v>
      </c>
      <c r="L216" s="7">
        <f t="shared" si="15"/>
        <v>660</v>
      </c>
      <c r="M216" s="7">
        <f t="shared" si="16"/>
        <v>726</v>
      </c>
      <c r="N216">
        <f t="shared" si="17"/>
        <v>11</v>
      </c>
      <c r="O216" t="str">
        <f t="shared" si="18"/>
        <v>Oct</v>
      </c>
      <c r="P216">
        <f t="shared" si="19"/>
        <v>2021</v>
      </c>
    </row>
    <row r="217" spans="1:16" x14ac:dyDescent="0.2">
      <c r="A217" s="1">
        <v>44481</v>
      </c>
      <c r="B217" t="s">
        <v>59</v>
      </c>
      <c r="C217">
        <v>8</v>
      </c>
      <c r="D217" t="s">
        <v>101</v>
      </c>
      <c r="E217" t="s">
        <v>101</v>
      </c>
      <c r="F217" s="5">
        <v>0</v>
      </c>
      <c r="G217" t="str">
        <f>VLOOKUP($B217,PRODUCT_MASTER!$A:$F,MATCH('FINAL DATA'!G$1,PRODUCT_MASTER!$A$1:$F$1,0),0)</f>
        <v>Product27</v>
      </c>
      <c r="H217" t="str">
        <f>VLOOKUP($B217,PRODUCT_MASTER!$A:$F,MATCH('FINAL DATA'!H$1,PRODUCT_MASTER!$A$1:$F$1,0),0)</f>
        <v>Cheese And Dairy</v>
      </c>
      <c r="I217" t="str">
        <f>VLOOKUP($B217,PRODUCT_MASTER!$A:$F,MATCH('FINAL DATA'!I$1,PRODUCT_MASTER!$A$1:$F$1,0),0)</f>
        <v>Lt</v>
      </c>
      <c r="J217" s="7">
        <f>VLOOKUP($B217,PRODUCT_MASTER!$A:$F,MATCH('FINAL DATA'!J$1,PRODUCT_MASTER!$A$1:$F$1,0),0)</f>
        <v>48</v>
      </c>
      <c r="K217" s="7">
        <f>VLOOKUP($B217,PRODUCT_MASTER!$A:$F,MATCH('FINAL DATA'!K$1,PRODUCT_MASTER!$A$1:$F$1,0),0)</f>
        <v>57.120000000000005</v>
      </c>
      <c r="L217" s="7">
        <f t="shared" si="15"/>
        <v>384</v>
      </c>
      <c r="M217" s="7">
        <f t="shared" si="16"/>
        <v>456.96000000000004</v>
      </c>
      <c r="N217">
        <f t="shared" si="17"/>
        <v>12</v>
      </c>
      <c r="O217" t="str">
        <f t="shared" si="18"/>
        <v>Oct</v>
      </c>
      <c r="P217">
        <f t="shared" si="19"/>
        <v>2021</v>
      </c>
    </row>
    <row r="218" spans="1:16" x14ac:dyDescent="0.2">
      <c r="A218" s="1">
        <v>44486</v>
      </c>
      <c r="B218" t="s">
        <v>6</v>
      </c>
      <c r="C218">
        <v>13</v>
      </c>
      <c r="D218" t="s">
        <v>103</v>
      </c>
      <c r="E218" t="s">
        <v>101</v>
      </c>
      <c r="F218" s="5">
        <v>0</v>
      </c>
      <c r="G218" t="str">
        <f>VLOOKUP($B218,PRODUCT_MASTER!$A:$F,MATCH('FINAL DATA'!G$1,PRODUCT_MASTER!$A$1:$F$1,0),0)</f>
        <v>Product01</v>
      </c>
      <c r="H218" t="str">
        <f>VLOOKUP($B218,PRODUCT_MASTER!$A:$F,MATCH('FINAL DATA'!H$1,PRODUCT_MASTER!$A$1:$F$1,0),0)</f>
        <v>Organic</v>
      </c>
      <c r="I218" t="str">
        <f>VLOOKUP($B218,PRODUCT_MASTER!$A:$F,MATCH('FINAL DATA'!I$1,PRODUCT_MASTER!$A$1:$F$1,0),0)</f>
        <v>Kg</v>
      </c>
      <c r="J218" s="7">
        <f>VLOOKUP($B218,PRODUCT_MASTER!$A:$F,MATCH('FINAL DATA'!J$1,PRODUCT_MASTER!$A$1:$F$1,0),0)</f>
        <v>98</v>
      </c>
      <c r="K218" s="7">
        <f>VLOOKUP($B218,PRODUCT_MASTER!$A:$F,MATCH('FINAL DATA'!K$1,PRODUCT_MASTER!$A$1:$F$1,0),0)</f>
        <v>103.88</v>
      </c>
      <c r="L218" s="7">
        <f t="shared" si="15"/>
        <v>1274</v>
      </c>
      <c r="M218" s="7">
        <f t="shared" si="16"/>
        <v>1350.44</v>
      </c>
      <c r="N218">
        <f t="shared" si="17"/>
        <v>17</v>
      </c>
      <c r="O218" t="str">
        <f t="shared" si="18"/>
        <v>Oct</v>
      </c>
      <c r="P218">
        <f t="shared" si="19"/>
        <v>2021</v>
      </c>
    </row>
    <row r="219" spans="1:16" x14ac:dyDescent="0.2">
      <c r="A219" s="1">
        <v>44487</v>
      </c>
      <c r="B219" t="s">
        <v>55</v>
      </c>
      <c r="C219">
        <v>6</v>
      </c>
      <c r="D219" t="s">
        <v>101</v>
      </c>
      <c r="E219" t="s">
        <v>102</v>
      </c>
      <c r="F219" s="5">
        <v>0</v>
      </c>
      <c r="G219" t="str">
        <f>VLOOKUP($B219,PRODUCT_MASTER!$A:$F,MATCH('FINAL DATA'!G$1,PRODUCT_MASTER!$A$1:$F$1,0),0)</f>
        <v>Product25</v>
      </c>
      <c r="H219" t="str">
        <f>VLOOKUP($B219,PRODUCT_MASTER!$A:$F,MATCH('FINAL DATA'!H$1,PRODUCT_MASTER!$A$1:$F$1,0),0)</f>
        <v>Seafood</v>
      </c>
      <c r="I219" t="str">
        <f>VLOOKUP($B219,PRODUCT_MASTER!$A:$F,MATCH('FINAL DATA'!I$1,PRODUCT_MASTER!$A$1:$F$1,0),0)</f>
        <v>No.</v>
      </c>
      <c r="J219" s="7">
        <f>VLOOKUP($B219,PRODUCT_MASTER!$A:$F,MATCH('FINAL DATA'!J$1,PRODUCT_MASTER!$A$1:$F$1,0),0)</f>
        <v>7</v>
      </c>
      <c r="K219" s="7">
        <f>VLOOKUP($B219,PRODUCT_MASTER!$A:$F,MATCH('FINAL DATA'!K$1,PRODUCT_MASTER!$A$1:$F$1,0),0)</f>
        <v>8.33</v>
      </c>
      <c r="L219" s="7">
        <f t="shared" si="15"/>
        <v>42</v>
      </c>
      <c r="M219" s="7">
        <f t="shared" si="16"/>
        <v>49.980000000000004</v>
      </c>
      <c r="N219">
        <f t="shared" si="17"/>
        <v>18</v>
      </c>
      <c r="O219" t="str">
        <f t="shared" si="18"/>
        <v>Oct</v>
      </c>
      <c r="P219">
        <f t="shared" si="19"/>
        <v>2021</v>
      </c>
    </row>
    <row r="220" spans="1:16" x14ac:dyDescent="0.2">
      <c r="A220" s="1">
        <v>44487</v>
      </c>
      <c r="B220" t="s">
        <v>47</v>
      </c>
      <c r="C220">
        <v>13</v>
      </c>
      <c r="D220" t="s">
        <v>101</v>
      </c>
      <c r="E220" t="s">
        <v>102</v>
      </c>
      <c r="F220" s="5">
        <v>0</v>
      </c>
      <c r="G220" t="str">
        <f>VLOOKUP($B220,PRODUCT_MASTER!$A:$F,MATCH('FINAL DATA'!G$1,PRODUCT_MASTER!$A$1:$F$1,0),0)</f>
        <v>Product21</v>
      </c>
      <c r="H220" t="str">
        <f>VLOOKUP($B220,PRODUCT_MASTER!$A:$F,MATCH('FINAL DATA'!H$1,PRODUCT_MASTER!$A$1:$F$1,0),0)</f>
        <v>Poultry</v>
      </c>
      <c r="I220" t="str">
        <f>VLOOKUP($B220,PRODUCT_MASTER!$A:$F,MATCH('FINAL DATA'!I$1,PRODUCT_MASTER!$A$1:$F$1,0),0)</f>
        <v>Ft</v>
      </c>
      <c r="J220" s="7">
        <f>VLOOKUP($B220,PRODUCT_MASTER!$A:$F,MATCH('FINAL DATA'!J$1,PRODUCT_MASTER!$A$1:$F$1,0),0)</f>
        <v>126</v>
      </c>
      <c r="K220" s="7">
        <f>VLOOKUP($B220,PRODUCT_MASTER!$A:$F,MATCH('FINAL DATA'!K$1,PRODUCT_MASTER!$A$1:$F$1,0),0)</f>
        <v>162.54</v>
      </c>
      <c r="L220" s="7">
        <f t="shared" si="15"/>
        <v>1638</v>
      </c>
      <c r="M220" s="7">
        <f t="shared" si="16"/>
        <v>2113.02</v>
      </c>
      <c r="N220">
        <f t="shared" si="17"/>
        <v>18</v>
      </c>
      <c r="O220" t="str">
        <f t="shared" si="18"/>
        <v>Oct</v>
      </c>
      <c r="P220">
        <f t="shared" si="19"/>
        <v>2021</v>
      </c>
    </row>
    <row r="221" spans="1:16" x14ac:dyDescent="0.2">
      <c r="A221" s="1">
        <v>44491</v>
      </c>
      <c r="B221" t="s">
        <v>27</v>
      </c>
      <c r="C221">
        <v>7</v>
      </c>
      <c r="D221" t="s">
        <v>103</v>
      </c>
      <c r="E221" t="s">
        <v>102</v>
      </c>
      <c r="F221" s="5">
        <v>0</v>
      </c>
      <c r="G221" t="str">
        <f>VLOOKUP($B221,PRODUCT_MASTER!$A:$F,MATCH('FINAL DATA'!G$1,PRODUCT_MASTER!$A$1:$F$1,0),0)</f>
        <v>Product11</v>
      </c>
      <c r="H221" t="str">
        <f>VLOOKUP($B221,PRODUCT_MASTER!$A:$F,MATCH('FINAL DATA'!H$1,PRODUCT_MASTER!$A$1:$F$1,0),0)</f>
        <v>Gourmet Foods</v>
      </c>
      <c r="I221" t="str">
        <f>VLOOKUP($B221,PRODUCT_MASTER!$A:$F,MATCH('FINAL DATA'!I$1,PRODUCT_MASTER!$A$1:$F$1,0),0)</f>
        <v>Lt</v>
      </c>
      <c r="J221" s="7">
        <f>VLOOKUP($B221,PRODUCT_MASTER!$A:$F,MATCH('FINAL DATA'!J$1,PRODUCT_MASTER!$A$1:$F$1,0),0)</f>
        <v>44</v>
      </c>
      <c r="K221" s="7">
        <f>VLOOKUP($B221,PRODUCT_MASTER!$A:$F,MATCH('FINAL DATA'!K$1,PRODUCT_MASTER!$A$1:$F$1,0),0)</f>
        <v>48.4</v>
      </c>
      <c r="L221" s="7">
        <f t="shared" si="15"/>
        <v>308</v>
      </c>
      <c r="M221" s="7">
        <f t="shared" si="16"/>
        <v>338.8</v>
      </c>
      <c r="N221">
        <f t="shared" si="17"/>
        <v>22</v>
      </c>
      <c r="O221" t="str">
        <f t="shared" si="18"/>
        <v>Oct</v>
      </c>
      <c r="P221">
        <f t="shared" si="19"/>
        <v>2021</v>
      </c>
    </row>
    <row r="222" spans="1:16" x14ac:dyDescent="0.2">
      <c r="A222" s="1">
        <v>44491</v>
      </c>
      <c r="B222" t="s">
        <v>53</v>
      </c>
      <c r="C222">
        <v>13</v>
      </c>
      <c r="D222" t="s">
        <v>101</v>
      </c>
      <c r="E222" t="s">
        <v>102</v>
      </c>
      <c r="F222" s="5">
        <v>0</v>
      </c>
      <c r="G222" t="str">
        <f>VLOOKUP($B222,PRODUCT_MASTER!$A:$F,MATCH('FINAL DATA'!G$1,PRODUCT_MASTER!$A$1:$F$1,0),0)</f>
        <v>Product24</v>
      </c>
      <c r="H222" t="str">
        <f>VLOOKUP($B222,PRODUCT_MASTER!$A:$F,MATCH('FINAL DATA'!H$1,PRODUCT_MASTER!$A$1:$F$1,0),0)</f>
        <v>Seafood</v>
      </c>
      <c r="I222" t="str">
        <f>VLOOKUP($B222,PRODUCT_MASTER!$A:$F,MATCH('FINAL DATA'!I$1,PRODUCT_MASTER!$A$1:$F$1,0),0)</f>
        <v>Ft</v>
      </c>
      <c r="J222" s="7">
        <f>VLOOKUP($B222,PRODUCT_MASTER!$A:$F,MATCH('FINAL DATA'!J$1,PRODUCT_MASTER!$A$1:$F$1,0),0)</f>
        <v>144</v>
      </c>
      <c r="K222" s="7">
        <f>VLOOKUP($B222,PRODUCT_MASTER!$A:$F,MATCH('FINAL DATA'!K$1,PRODUCT_MASTER!$A$1:$F$1,0),0)</f>
        <v>156.96</v>
      </c>
      <c r="L222" s="7">
        <f t="shared" si="15"/>
        <v>1872</v>
      </c>
      <c r="M222" s="7">
        <f t="shared" si="16"/>
        <v>2040.48</v>
      </c>
      <c r="N222">
        <f t="shared" si="17"/>
        <v>22</v>
      </c>
      <c r="O222" t="str">
        <f t="shared" si="18"/>
        <v>Oct</v>
      </c>
      <c r="P222">
        <f t="shared" si="19"/>
        <v>2021</v>
      </c>
    </row>
    <row r="223" spans="1:16" x14ac:dyDescent="0.2">
      <c r="A223" s="1">
        <v>44491</v>
      </c>
      <c r="B223" t="s">
        <v>23</v>
      </c>
      <c r="C223">
        <v>1</v>
      </c>
      <c r="D223" t="s">
        <v>103</v>
      </c>
      <c r="E223" t="s">
        <v>102</v>
      </c>
      <c r="F223" s="5">
        <v>0</v>
      </c>
      <c r="G223" t="str">
        <f>VLOOKUP($B223,PRODUCT_MASTER!$A:$F,MATCH('FINAL DATA'!G$1,PRODUCT_MASTER!$A$1:$F$1,0),0)</f>
        <v>Product09</v>
      </c>
      <c r="H223" t="str">
        <f>VLOOKUP($B223,PRODUCT_MASTER!$A:$F,MATCH('FINAL DATA'!H$1,PRODUCT_MASTER!$A$1:$F$1,0),0)</f>
        <v>Gourmet Foods</v>
      </c>
      <c r="I223" t="str">
        <f>VLOOKUP($B223,PRODUCT_MASTER!$A:$F,MATCH('FINAL DATA'!I$1,PRODUCT_MASTER!$A$1:$F$1,0),0)</f>
        <v>No.</v>
      </c>
      <c r="J223" s="7">
        <f>VLOOKUP($B223,PRODUCT_MASTER!$A:$F,MATCH('FINAL DATA'!J$1,PRODUCT_MASTER!$A$1:$F$1,0),0)</f>
        <v>6</v>
      </c>
      <c r="K223" s="7">
        <f>VLOOKUP($B223,PRODUCT_MASTER!$A:$F,MATCH('FINAL DATA'!K$1,PRODUCT_MASTER!$A$1:$F$1,0),0)</f>
        <v>7.8599999999999994</v>
      </c>
      <c r="L223" s="7">
        <f t="shared" si="15"/>
        <v>6</v>
      </c>
      <c r="M223" s="7">
        <f t="shared" si="16"/>
        <v>7.8599999999999994</v>
      </c>
      <c r="N223">
        <f t="shared" si="17"/>
        <v>22</v>
      </c>
      <c r="O223" t="str">
        <f t="shared" si="18"/>
        <v>Oct</v>
      </c>
      <c r="P223">
        <f t="shared" si="19"/>
        <v>2021</v>
      </c>
    </row>
    <row r="224" spans="1:16" x14ac:dyDescent="0.2">
      <c r="A224" s="1">
        <v>44493</v>
      </c>
      <c r="B224" t="s">
        <v>27</v>
      </c>
      <c r="C224">
        <v>3</v>
      </c>
      <c r="D224" t="s">
        <v>100</v>
      </c>
      <c r="E224" t="s">
        <v>102</v>
      </c>
      <c r="F224" s="5">
        <v>0</v>
      </c>
      <c r="G224" t="str">
        <f>VLOOKUP($B224,PRODUCT_MASTER!$A:$F,MATCH('FINAL DATA'!G$1,PRODUCT_MASTER!$A$1:$F$1,0),0)</f>
        <v>Product11</v>
      </c>
      <c r="H224" t="str">
        <f>VLOOKUP($B224,PRODUCT_MASTER!$A:$F,MATCH('FINAL DATA'!H$1,PRODUCT_MASTER!$A$1:$F$1,0),0)</f>
        <v>Gourmet Foods</v>
      </c>
      <c r="I224" t="str">
        <f>VLOOKUP($B224,PRODUCT_MASTER!$A:$F,MATCH('FINAL DATA'!I$1,PRODUCT_MASTER!$A$1:$F$1,0),0)</f>
        <v>Lt</v>
      </c>
      <c r="J224" s="7">
        <f>VLOOKUP($B224,PRODUCT_MASTER!$A:$F,MATCH('FINAL DATA'!J$1,PRODUCT_MASTER!$A$1:$F$1,0),0)</f>
        <v>44</v>
      </c>
      <c r="K224" s="7">
        <f>VLOOKUP($B224,PRODUCT_MASTER!$A:$F,MATCH('FINAL DATA'!K$1,PRODUCT_MASTER!$A$1:$F$1,0),0)</f>
        <v>48.4</v>
      </c>
      <c r="L224" s="7">
        <f t="shared" si="15"/>
        <v>132</v>
      </c>
      <c r="M224" s="7">
        <f t="shared" si="16"/>
        <v>145.19999999999999</v>
      </c>
      <c r="N224">
        <f t="shared" si="17"/>
        <v>24</v>
      </c>
      <c r="O224" t="str">
        <f t="shared" si="18"/>
        <v>Oct</v>
      </c>
      <c r="P224">
        <f t="shared" si="19"/>
        <v>2021</v>
      </c>
    </row>
    <row r="225" spans="1:16" x14ac:dyDescent="0.2">
      <c r="A225" s="1">
        <v>44494</v>
      </c>
      <c r="B225" t="s">
        <v>93</v>
      </c>
      <c r="C225">
        <v>9</v>
      </c>
      <c r="D225" t="s">
        <v>101</v>
      </c>
      <c r="E225" t="s">
        <v>102</v>
      </c>
      <c r="F225" s="5">
        <v>0</v>
      </c>
      <c r="G225" t="str">
        <f>VLOOKUP($B225,PRODUCT_MASTER!$A:$F,MATCH('FINAL DATA'!G$1,PRODUCT_MASTER!$A$1:$F$1,0),0)</f>
        <v>Product44</v>
      </c>
      <c r="H225" t="str">
        <f>VLOOKUP($B225,PRODUCT_MASTER!$A:$F,MATCH('FINAL DATA'!H$1,PRODUCT_MASTER!$A$1:$F$1,0),0)</f>
        <v>Candy</v>
      </c>
      <c r="I225" t="str">
        <f>VLOOKUP($B225,PRODUCT_MASTER!$A:$F,MATCH('FINAL DATA'!I$1,PRODUCT_MASTER!$A$1:$F$1,0),0)</f>
        <v>Kg</v>
      </c>
      <c r="J225" s="7">
        <f>VLOOKUP($B225,PRODUCT_MASTER!$A:$F,MATCH('FINAL DATA'!J$1,PRODUCT_MASTER!$A$1:$F$1,0),0)</f>
        <v>76</v>
      </c>
      <c r="K225" s="7">
        <f>VLOOKUP($B225,PRODUCT_MASTER!$A:$F,MATCH('FINAL DATA'!K$1,PRODUCT_MASTER!$A$1:$F$1,0),0)</f>
        <v>82.08</v>
      </c>
      <c r="L225" s="7">
        <f t="shared" si="15"/>
        <v>684</v>
      </c>
      <c r="M225" s="7">
        <f t="shared" si="16"/>
        <v>738.72</v>
      </c>
      <c r="N225">
        <f t="shared" si="17"/>
        <v>25</v>
      </c>
      <c r="O225" t="str">
        <f t="shared" si="18"/>
        <v>Oct</v>
      </c>
      <c r="P225">
        <f t="shared" si="19"/>
        <v>2021</v>
      </c>
    </row>
    <row r="226" spans="1:16" x14ac:dyDescent="0.2">
      <c r="A226" s="1">
        <v>44495</v>
      </c>
      <c r="B226" t="s">
        <v>13</v>
      </c>
      <c r="C226">
        <v>6</v>
      </c>
      <c r="D226" t="s">
        <v>100</v>
      </c>
      <c r="E226" t="s">
        <v>102</v>
      </c>
      <c r="F226" s="5">
        <v>0</v>
      </c>
      <c r="G226" t="str">
        <f>VLOOKUP($B226,PRODUCT_MASTER!$A:$F,MATCH('FINAL DATA'!G$1,PRODUCT_MASTER!$A$1:$F$1,0),0)</f>
        <v>Product04</v>
      </c>
      <c r="H226" t="str">
        <f>VLOOKUP($B226,PRODUCT_MASTER!$A:$F,MATCH('FINAL DATA'!H$1,PRODUCT_MASTER!$A$1:$F$1,0),0)</f>
        <v>Organic</v>
      </c>
      <c r="I226" t="str">
        <f>VLOOKUP($B226,PRODUCT_MASTER!$A:$F,MATCH('FINAL DATA'!I$1,PRODUCT_MASTER!$A$1:$F$1,0),0)</f>
        <v>Lt</v>
      </c>
      <c r="J226" s="7">
        <f>VLOOKUP($B226,PRODUCT_MASTER!$A:$F,MATCH('FINAL DATA'!J$1,PRODUCT_MASTER!$A$1:$F$1,0),0)</f>
        <v>44</v>
      </c>
      <c r="K226" s="7">
        <f>VLOOKUP($B226,PRODUCT_MASTER!$A:$F,MATCH('FINAL DATA'!K$1,PRODUCT_MASTER!$A$1:$F$1,0),0)</f>
        <v>48.84</v>
      </c>
      <c r="L226" s="7">
        <f t="shared" si="15"/>
        <v>264</v>
      </c>
      <c r="M226" s="7">
        <f t="shared" si="16"/>
        <v>293.04000000000002</v>
      </c>
      <c r="N226">
        <f t="shared" si="17"/>
        <v>26</v>
      </c>
      <c r="O226" t="str">
        <f t="shared" si="18"/>
        <v>Oct</v>
      </c>
      <c r="P226">
        <f t="shared" si="19"/>
        <v>2021</v>
      </c>
    </row>
    <row r="227" spans="1:16" x14ac:dyDescent="0.2">
      <c r="A227" s="1">
        <v>44497</v>
      </c>
      <c r="B227" t="s">
        <v>21</v>
      </c>
      <c r="C227">
        <v>1</v>
      </c>
      <c r="D227" t="s">
        <v>103</v>
      </c>
      <c r="E227" t="s">
        <v>102</v>
      </c>
      <c r="F227" s="5">
        <v>0</v>
      </c>
      <c r="G227" t="str">
        <f>VLOOKUP($B227,PRODUCT_MASTER!$A:$F,MATCH('FINAL DATA'!G$1,PRODUCT_MASTER!$A$1:$F$1,0),0)</f>
        <v>Product08</v>
      </c>
      <c r="H227" t="str">
        <f>VLOOKUP($B227,PRODUCT_MASTER!$A:$F,MATCH('FINAL DATA'!H$1,PRODUCT_MASTER!$A$1:$F$1,0),0)</f>
        <v>Gourmet Foods</v>
      </c>
      <c r="I227" t="str">
        <f>VLOOKUP($B227,PRODUCT_MASTER!$A:$F,MATCH('FINAL DATA'!I$1,PRODUCT_MASTER!$A$1:$F$1,0),0)</f>
        <v>Kg</v>
      </c>
      <c r="J227" s="7">
        <f>VLOOKUP($B227,PRODUCT_MASTER!$A:$F,MATCH('FINAL DATA'!J$1,PRODUCT_MASTER!$A$1:$F$1,0),0)</f>
        <v>83</v>
      </c>
      <c r="K227" s="7">
        <f>VLOOKUP($B227,PRODUCT_MASTER!$A:$F,MATCH('FINAL DATA'!K$1,PRODUCT_MASTER!$A$1:$F$1,0),0)</f>
        <v>94.62</v>
      </c>
      <c r="L227" s="7">
        <f t="shared" si="15"/>
        <v>83</v>
      </c>
      <c r="M227" s="7">
        <f t="shared" si="16"/>
        <v>94.62</v>
      </c>
      <c r="N227">
        <f t="shared" si="17"/>
        <v>28</v>
      </c>
      <c r="O227" t="str">
        <f t="shared" si="18"/>
        <v>Oct</v>
      </c>
      <c r="P227">
        <f t="shared" si="19"/>
        <v>2021</v>
      </c>
    </row>
    <row r="228" spans="1:16" x14ac:dyDescent="0.2">
      <c r="A228" s="1">
        <v>44498</v>
      </c>
      <c r="B228" t="s">
        <v>81</v>
      </c>
      <c r="C228">
        <v>14</v>
      </c>
      <c r="D228" t="s">
        <v>101</v>
      </c>
      <c r="E228" t="s">
        <v>101</v>
      </c>
      <c r="F228" s="5">
        <v>0</v>
      </c>
      <c r="G228" t="str">
        <f>VLOOKUP($B228,PRODUCT_MASTER!$A:$F,MATCH('FINAL DATA'!G$1,PRODUCT_MASTER!$A$1:$F$1,0),0)</f>
        <v>Product38</v>
      </c>
      <c r="H228" t="str">
        <f>VLOOKUP($B228,PRODUCT_MASTER!$A:$F,MATCH('FINAL DATA'!H$1,PRODUCT_MASTER!$A$1:$F$1,0),0)</f>
        <v>Snacks</v>
      </c>
      <c r="I228" t="str">
        <f>VLOOKUP($B228,PRODUCT_MASTER!$A:$F,MATCH('FINAL DATA'!I$1,PRODUCT_MASTER!$A$1:$F$1,0),0)</f>
        <v>Kg</v>
      </c>
      <c r="J228" s="7">
        <f>VLOOKUP($B228,PRODUCT_MASTER!$A:$F,MATCH('FINAL DATA'!J$1,PRODUCT_MASTER!$A$1:$F$1,0),0)</f>
        <v>72</v>
      </c>
      <c r="K228" s="7">
        <f>VLOOKUP($B228,PRODUCT_MASTER!$A:$F,MATCH('FINAL DATA'!K$1,PRODUCT_MASTER!$A$1:$F$1,0),0)</f>
        <v>79.92</v>
      </c>
      <c r="L228" s="7">
        <f t="shared" si="15"/>
        <v>1008</v>
      </c>
      <c r="M228" s="7">
        <f t="shared" si="16"/>
        <v>1118.8800000000001</v>
      </c>
      <c r="N228">
        <f t="shared" si="17"/>
        <v>29</v>
      </c>
      <c r="O228" t="str">
        <f t="shared" si="18"/>
        <v>Oct</v>
      </c>
      <c r="P228">
        <f t="shared" si="19"/>
        <v>2021</v>
      </c>
    </row>
    <row r="229" spans="1:16" x14ac:dyDescent="0.2">
      <c r="A229" s="1">
        <v>44500</v>
      </c>
      <c r="B229" t="s">
        <v>47</v>
      </c>
      <c r="C229">
        <v>6</v>
      </c>
      <c r="D229" t="s">
        <v>101</v>
      </c>
      <c r="E229" t="s">
        <v>102</v>
      </c>
      <c r="F229" s="5">
        <v>0</v>
      </c>
      <c r="G229" t="str">
        <f>VLOOKUP($B229,PRODUCT_MASTER!$A:$F,MATCH('FINAL DATA'!G$1,PRODUCT_MASTER!$A$1:$F$1,0),0)</f>
        <v>Product21</v>
      </c>
      <c r="H229" t="str">
        <f>VLOOKUP($B229,PRODUCT_MASTER!$A:$F,MATCH('FINAL DATA'!H$1,PRODUCT_MASTER!$A$1:$F$1,0),0)</f>
        <v>Poultry</v>
      </c>
      <c r="I229" t="str">
        <f>VLOOKUP($B229,PRODUCT_MASTER!$A:$F,MATCH('FINAL DATA'!I$1,PRODUCT_MASTER!$A$1:$F$1,0),0)</f>
        <v>Ft</v>
      </c>
      <c r="J229" s="7">
        <f>VLOOKUP($B229,PRODUCT_MASTER!$A:$F,MATCH('FINAL DATA'!J$1,PRODUCT_MASTER!$A$1:$F$1,0),0)</f>
        <v>126</v>
      </c>
      <c r="K229" s="7">
        <f>VLOOKUP($B229,PRODUCT_MASTER!$A:$F,MATCH('FINAL DATA'!K$1,PRODUCT_MASTER!$A$1:$F$1,0),0)</f>
        <v>162.54</v>
      </c>
      <c r="L229" s="7">
        <f t="shared" si="15"/>
        <v>756</v>
      </c>
      <c r="M229" s="7">
        <f t="shared" si="16"/>
        <v>975.24</v>
      </c>
      <c r="N229">
        <f t="shared" si="17"/>
        <v>31</v>
      </c>
      <c r="O229" t="str">
        <f t="shared" si="18"/>
        <v>Oct</v>
      </c>
      <c r="P229">
        <f t="shared" si="19"/>
        <v>2021</v>
      </c>
    </row>
    <row r="230" spans="1:16" x14ac:dyDescent="0.2">
      <c r="A230" s="1">
        <v>44503</v>
      </c>
      <c r="B230" t="s">
        <v>31</v>
      </c>
      <c r="C230">
        <v>12</v>
      </c>
      <c r="D230" t="s">
        <v>103</v>
      </c>
      <c r="E230" t="s">
        <v>102</v>
      </c>
      <c r="F230" s="5">
        <v>0</v>
      </c>
      <c r="G230" t="str">
        <f>VLOOKUP($B230,PRODUCT_MASTER!$A:$F,MATCH('FINAL DATA'!G$1,PRODUCT_MASTER!$A$1:$F$1,0),0)</f>
        <v>Product13</v>
      </c>
      <c r="H230" t="str">
        <f>VLOOKUP($B230,PRODUCT_MASTER!$A:$F,MATCH('FINAL DATA'!H$1,PRODUCT_MASTER!$A$1:$F$1,0),0)</f>
        <v>Meat</v>
      </c>
      <c r="I230" t="str">
        <f>VLOOKUP($B230,PRODUCT_MASTER!$A:$F,MATCH('FINAL DATA'!I$1,PRODUCT_MASTER!$A$1:$F$1,0),0)</f>
        <v>Kg</v>
      </c>
      <c r="J230" s="7">
        <f>VLOOKUP($B230,PRODUCT_MASTER!$A:$F,MATCH('FINAL DATA'!J$1,PRODUCT_MASTER!$A$1:$F$1,0),0)</f>
        <v>112</v>
      </c>
      <c r="K230" s="7">
        <f>VLOOKUP($B230,PRODUCT_MASTER!$A:$F,MATCH('FINAL DATA'!K$1,PRODUCT_MASTER!$A$1:$F$1,0),0)</f>
        <v>122.08</v>
      </c>
      <c r="L230" s="7">
        <f t="shared" si="15"/>
        <v>1344</v>
      </c>
      <c r="M230" s="7">
        <f t="shared" si="16"/>
        <v>1464.96</v>
      </c>
      <c r="N230">
        <f t="shared" si="17"/>
        <v>3</v>
      </c>
      <c r="O230" t="str">
        <f t="shared" si="18"/>
        <v>Nov</v>
      </c>
      <c r="P230">
        <f t="shared" si="19"/>
        <v>2021</v>
      </c>
    </row>
    <row r="231" spans="1:16" x14ac:dyDescent="0.2">
      <c r="A231" s="1">
        <v>44506</v>
      </c>
      <c r="B231" t="s">
        <v>77</v>
      </c>
      <c r="C231">
        <v>10</v>
      </c>
      <c r="D231" t="s">
        <v>103</v>
      </c>
      <c r="E231" t="s">
        <v>101</v>
      </c>
      <c r="F231" s="5">
        <v>0</v>
      </c>
      <c r="G231" t="str">
        <f>VLOOKUP($B231,PRODUCT_MASTER!$A:$F,MATCH('FINAL DATA'!G$1,PRODUCT_MASTER!$A$1:$F$1,0),0)</f>
        <v>Product36</v>
      </c>
      <c r="H231" t="str">
        <f>VLOOKUP($B231,PRODUCT_MASTER!$A:$F,MATCH('FINAL DATA'!H$1,PRODUCT_MASTER!$A$1:$F$1,0),0)</f>
        <v>Bakery And Desserts</v>
      </c>
      <c r="I231" t="str">
        <f>VLOOKUP($B231,PRODUCT_MASTER!$A:$F,MATCH('FINAL DATA'!I$1,PRODUCT_MASTER!$A$1:$F$1,0),0)</f>
        <v>Kg</v>
      </c>
      <c r="J231" s="7">
        <f>VLOOKUP($B231,PRODUCT_MASTER!$A:$F,MATCH('FINAL DATA'!J$1,PRODUCT_MASTER!$A$1:$F$1,0),0)</f>
        <v>90</v>
      </c>
      <c r="K231" s="7">
        <f>VLOOKUP($B231,PRODUCT_MASTER!$A:$F,MATCH('FINAL DATA'!K$1,PRODUCT_MASTER!$A$1:$F$1,0),0)</f>
        <v>96.3</v>
      </c>
      <c r="L231" s="7">
        <f t="shared" si="15"/>
        <v>900</v>
      </c>
      <c r="M231" s="7">
        <f t="shared" si="16"/>
        <v>963</v>
      </c>
      <c r="N231">
        <f t="shared" si="17"/>
        <v>6</v>
      </c>
      <c r="O231" t="str">
        <f t="shared" si="18"/>
        <v>Nov</v>
      </c>
      <c r="P231">
        <f t="shared" si="19"/>
        <v>2021</v>
      </c>
    </row>
    <row r="232" spans="1:16" x14ac:dyDescent="0.2">
      <c r="A232" s="1">
        <v>44508</v>
      </c>
      <c r="B232" t="s">
        <v>19</v>
      </c>
      <c r="C232">
        <v>15</v>
      </c>
      <c r="D232" t="s">
        <v>103</v>
      </c>
      <c r="E232" t="s">
        <v>101</v>
      </c>
      <c r="F232" s="5">
        <v>0</v>
      </c>
      <c r="G232" t="str">
        <f>VLOOKUP($B232,PRODUCT_MASTER!$A:$F,MATCH('FINAL DATA'!G$1,PRODUCT_MASTER!$A$1:$F$1,0),0)</f>
        <v>Product07</v>
      </c>
      <c r="H232" t="str">
        <f>VLOOKUP($B232,PRODUCT_MASTER!$A:$F,MATCH('FINAL DATA'!H$1,PRODUCT_MASTER!$A$1:$F$1,0),0)</f>
        <v>Gourmet Foods</v>
      </c>
      <c r="I232" t="str">
        <f>VLOOKUP($B232,PRODUCT_MASTER!$A:$F,MATCH('FINAL DATA'!I$1,PRODUCT_MASTER!$A$1:$F$1,0),0)</f>
        <v>Lt</v>
      </c>
      <c r="J232" s="7">
        <f>VLOOKUP($B232,PRODUCT_MASTER!$A:$F,MATCH('FINAL DATA'!J$1,PRODUCT_MASTER!$A$1:$F$1,0),0)</f>
        <v>43</v>
      </c>
      <c r="K232" s="7">
        <f>VLOOKUP($B232,PRODUCT_MASTER!$A:$F,MATCH('FINAL DATA'!K$1,PRODUCT_MASTER!$A$1:$F$1,0),0)</f>
        <v>47.730000000000004</v>
      </c>
      <c r="L232" s="7">
        <f t="shared" si="15"/>
        <v>645</v>
      </c>
      <c r="M232" s="7">
        <f t="shared" si="16"/>
        <v>715.95</v>
      </c>
      <c r="N232">
        <f t="shared" si="17"/>
        <v>8</v>
      </c>
      <c r="O232" t="str">
        <f t="shared" si="18"/>
        <v>Nov</v>
      </c>
      <c r="P232">
        <f t="shared" si="19"/>
        <v>2021</v>
      </c>
    </row>
    <row r="233" spans="1:16" x14ac:dyDescent="0.2">
      <c r="A233" s="1">
        <v>44510</v>
      </c>
      <c r="B233" t="s">
        <v>89</v>
      </c>
      <c r="C233">
        <v>6</v>
      </c>
      <c r="D233" t="s">
        <v>101</v>
      </c>
      <c r="E233" t="s">
        <v>102</v>
      </c>
      <c r="F233" s="5">
        <v>0</v>
      </c>
      <c r="G233" t="str">
        <f>VLOOKUP($B233,PRODUCT_MASTER!$A:$F,MATCH('FINAL DATA'!G$1,PRODUCT_MASTER!$A$1:$F$1,0),0)</f>
        <v>Product42</v>
      </c>
      <c r="H233" t="str">
        <f>VLOOKUP($B233,PRODUCT_MASTER!$A:$F,MATCH('FINAL DATA'!H$1,PRODUCT_MASTER!$A$1:$F$1,0),0)</f>
        <v>Candy</v>
      </c>
      <c r="I233" t="str">
        <f>VLOOKUP($B233,PRODUCT_MASTER!$A:$F,MATCH('FINAL DATA'!I$1,PRODUCT_MASTER!$A$1:$F$1,0),0)</f>
        <v>Ft</v>
      </c>
      <c r="J233" s="7">
        <f>VLOOKUP($B233,PRODUCT_MASTER!$A:$F,MATCH('FINAL DATA'!J$1,PRODUCT_MASTER!$A$1:$F$1,0),0)</f>
        <v>120</v>
      </c>
      <c r="K233" s="7">
        <f>VLOOKUP($B233,PRODUCT_MASTER!$A:$F,MATCH('FINAL DATA'!K$1,PRODUCT_MASTER!$A$1:$F$1,0),0)</f>
        <v>162</v>
      </c>
      <c r="L233" s="7">
        <f t="shared" si="15"/>
        <v>720</v>
      </c>
      <c r="M233" s="7">
        <f t="shared" si="16"/>
        <v>972</v>
      </c>
      <c r="N233">
        <f t="shared" si="17"/>
        <v>10</v>
      </c>
      <c r="O233" t="str">
        <f t="shared" si="18"/>
        <v>Nov</v>
      </c>
      <c r="P233">
        <f t="shared" si="19"/>
        <v>2021</v>
      </c>
    </row>
    <row r="234" spans="1:16" x14ac:dyDescent="0.2">
      <c r="A234" s="1">
        <v>44511</v>
      </c>
      <c r="B234" t="s">
        <v>85</v>
      </c>
      <c r="C234">
        <v>12</v>
      </c>
      <c r="D234" t="s">
        <v>100</v>
      </c>
      <c r="E234" t="s">
        <v>101</v>
      </c>
      <c r="F234" s="5">
        <v>0</v>
      </c>
      <c r="G234" t="str">
        <f>VLOOKUP($B234,PRODUCT_MASTER!$A:$F,MATCH('FINAL DATA'!G$1,PRODUCT_MASTER!$A$1:$F$1,0),0)</f>
        <v>Product40</v>
      </c>
      <c r="H234" t="str">
        <f>VLOOKUP($B234,PRODUCT_MASTER!$A:$F,MATCH('FINAL DATA'!H$1,PRODUCT_MASTER!$A$1:$F$1,0),0)</f>
        <v>Snacks</v>
      </c>
      <c r="I234" t="str">
        <f>VLOOKUP($B234,PRODUCT_MASTER!$A:$F,MATCH('FINAL DATA'!I$1,PRODUCT_MASTER!$A$1:$F$1,0),0)</f>
        <v>Kg</v>
      </c>
      <c r="J234" s="7">
        <f>VLOOKUP($B234,PRODUCT_MASTER!$A:$F,MATCH('FINAL DATA'!J$1,PRODUCT_MASTER!$A$1:$F$1,0),0)</f>
        <v>90</v>
      </c>
      <c r="K234" s="7">
        <f>VLOOKUP($B234,PRODUCT_MASTER!$A:$F,MATCH('FINAL DATA'!K$1,PRODUCT_MASTER!$A$1:$F$1,0),0)</f>
        <v>115.2</v>
      </c>
      <c r="L234" s="7">
        <f t="shared" si="15"/>
        <v>1080</v>
      </c>
      <c r="M234" s="7">
        <f t="shared" si="16"/>
        <v>1382.4</v>
      </c>
      <c r="N234">
        <f t="shared" si="17"/>
        <v>11</v>
      </c>
      <c r="O234" t="str">
        <f t="shared" si="18"/>
        <v>Nov</v>
      </c>
      <c r="P234">
        <f t="shared" si="19"/>
        <v>2021</v>
      </c>
    </row>
    <row r="235" spans="1:16" x14ac:dyDescent="0.2">
      <c r="A235" s="1">
        <v>44512</v>
      </c>
      <c r="B235" t="s">
        <v>25</v>
      </c>
      <c r="C235">
        <v>3</v>
      </c>
      <c r="D235" t="s">
        <v>101</v>
      </c>
      <c r="E235" t="s">
        <v>102</v>
      </c>
      <c r="F235" s="5">
        <v>0</v>
      </c>
      <c r="G235" t="str">
        <f>VLOOKUP($B235,PRODUCT_MASTER!$A:$F,MATCH('FINAL DATA'!G$1,PRODUCT_MASTER!$A$1:$F$1,0),0)</f>
        <v>Product10</v>
      </c>
      <c r="H235" t="str">
        <f>VLOOKUP($B235,PRODUCT_MASTER!$A:$F,MATCH('FINAL DATA'!H$1,PRODUCT_MASTER!$A$1:$F$1,0),0)</f>
        <v>Gourmet Foods</v>
      </c>
      <c r="I235" t="str">
        <f>VLOOKUP($B235,PRODUCT_MASTER!$A:$F,MATCH('FINAL DATA'!I$1,PRODUCT_MASTER!$A$1:$F$1,0),0)</f>
        <v>Ft</v>
      </c>
      <c r="J235" s="7">
        <f>VLOOKUP($B235,PRODUCT_MASTER!$A:$F,MATCH('FINAL DATA'!J$1,PRODUCT_MASTER!$A$1:$F$1,0),0)</f>
        <v>148</v>
      </c>
      <c r="K235" s="7">
        <f>VLOOKUP($B235,PRODUCT_MASTER!$A:$F,MATCH('FINAL DATA'!K$1,PRODUCT_MASTER!$A$1:$F$1,0),0)</f>
        <v>164.28</v>
      </c>
      <c r="L235" s="7">
        <f t="shared" si="15"/>
        <v>444</v>
      </c>
      <c r="M235" s="7">
        <f t="shared" si="16"/>
        <v>492.84000000000003</v>
      </c>
      <c r="N235">
        <f t="shared" si="17"/>
        <v>12</v>
      </c>
      <c r="O235" t="str">
        <f t="shared" si="18"/>
        <v>Nov</v>
      </c>
      <c r="P235">
        <f t="shared" si="19"/>
        <v>2021</v>
      </c>
    </row>
    <row r="236" spans="1:16" x14ac:dyDescent="0.2">
      <c r="A236" s="1">
        <v>44520</v>
      </c>
      <c r="B236" t="s">
        <v>73</v>
      </c>
      <c r="C236">
        <v>14</v>
      </c>
      <c r="D236" t="s">
        <v>101</v>
      </c>
      <c r="E236" t="s">
        <v>101</v>
      </c>
      <c r="F236" s="5">
        <v>0</v>
      </c>
      <c r="G236" t="str">
        <f>VLOOKUP($B236,PRODUCT_MASTER!$A:$F,MATCH('FINAL DATA'!G$1,PRODUCT_MASTER!$A$1:$F$1,0),0)</f>
        <v>Product34</v>
      </c>
      <c r="H236" t="str">
        <f>VLOOKUP($B236,PRODUCT_MASTER!$A:$F,MATCH('FINAL DATA'!H$1,PRODUCT_MASTER!$A$1:$F$1,0),0)</f>
        <v>Bakery And Desserts</v>
      </c>
      <c r="I236" t="str">
        <f>VLOOKUP($B236,PRODUCT_MASTER!$A:$F,MATCH('FINAL DATA'!I$1,PRODUCT_MASTER!$A$1:$F$1,0),0)</f>
        <v>Lt</v>
      </c>
      <c r="J236" s="7">
        <f>VLOOKUP($B236,PRODUCT_MASTER!$A:$F,MATCH('FINAL DATA'!J$1,PRODUCT_MASTER!$A$1:$F$1,0),0)</f>
        <v>55</v>
      </c>
      <c r="K236" s="7">
        <f>VLOOKUP($B236,PRODUCT_MASTER!$A:$F,MATCH('FINAL DATA'!K$1,PRODUCT_MASTER!$A$1:$F$1,0),0)</f>
        <v>58.3</v>
      </c>
      <c r="L236" s="7">
        <f t="shared" si="15"/>
        <v>770</v>
      </c>
      <c r="M236" s="7">
        <f t="shared" si="16"/>
        <v>816.19999999999993</v>
      </c>
      <c r="N236">
        <f t="shared" si="17"/>
        <v>20</v>
      </c>
      <c r="O236" t="str">
        <f t="shared" si="18"/>
        <v>Nov</v>
      </c>
      <c r="P236">
        <f t="shared" si="19"/>
        <v>2021</v>
      </c>
    </row>
    <row r="237" spans="1:16" x14ac:dyDescent="0.2">
      <c r="A237" s="1">
        <v>44520</v>
      </c>
      <c r="B237" t="s">
        <v>21</v>
      </c>
      <c r="C237">
        <v>11</v>
      </c>
      <c r="D237" t="s">
        <v>101</v>
      </c>
      <c r="E237" t="s">
        <v>102</v>
      </c>
      <c r="F237" s="5">
        <v>0</v>
      </c>
      <c r="G237" t="str">
        <f>VLOOKUP($B237,PRODUCT_MASTER!$A:$F,MATCH('FINAL DATA'!G$1,PRODUCT_MASTER!$A$1:$F$1,0),0)</f>
        <v>Product08</v>
      </c>
      <c r="H237" t="str">
        <f>VLOOKUP($B237,PRODUCT_MASTER!$A:$F,MATCH('FINAL DATA'!H$1,PRODUCT_MASTER!$A$1:$F$1,0),0)</f>
        <v>Gourmet Foods</v>
      </c>
      <c r="I237" t="str">
        <f>VLOOKUP($B237,PRODUCT_MASTER!$A:$F,MATCH('FINAL DATA'!I$1,PRODUCT_MASTER!$A$1:$F$1,0),0)</f>
        <v>Kg</v>
      </c>
      <c r="J237" s="7">
        <f>VLOOKUP($B237,PRODUCT_MASTER!$A:$F,MATCH('FINAL DATA'!J$1,PRODUCT_MASTER!$A$1:$F$1,0),0)</f>
        <v>83</v>
      </c>
      <c r="K237" s="7">
        <f>VLOOKUP($B237,PRODUCT_MASTER!$A:$F,MATCH('FINAL DATA'!K$1,PRODUCT_MASTER!$A$1:$F$1,0),0)</f>
        <v>94.62</v>
      </c>
      <c r="L237" s="7">
        <f t="shared" si="15"/>
        <v>913</v>
      </c>
      <c r="M237" s="7">
        <f t="shared" si="16"/>
        <v>1040.8200000000002</v>
      </c>
      <c r="N237">
        <f t="shared" si="17"/>
        <v>20</v>
      </c>
      <c r="O237" t="str">
        <f t="shared" si="18"/>
        <v>Nov</v>
      </c>
      <c r="P237">
        <f t="shared" si="19"/>
        <v>2021</v>
      </c>
    </row>
    <row r="238" spans="1:16" x14ac:dyDescent="0.2">
      <c r="A238" s="1">
        <v>44521</v>
      </c>
      <c r="B238" t="s">
        <v>33</v>
      </c>
      <c r="C238">
        <v>1</v>
      </c>
      <c r="D238" t="s">
        <v>100</v>
      </c>
      <c r="E238" t="s">
        <v>101</v>
      </c>
      <c r="F238" s="5">
        <v>0</v>
      </c>
      <c r="G238" t="str">
        <f>VLOOKUP($B238,PRODUCT_MASTER!$A:$F,MATCH('FINAL DATA'!G$1,PRODUCT_MASTER!$A$1:$F$1,0),0)</f>
        <v>Product14</v>
      </c>
      <c r="H238" t="str">
        <f>VLOOKUP($B238,PRODUCT_MASTER!$A:$F,MATCH('FINAL DATA'!H$1,PRODUCT_MASTER!$A$1:$F$1,0),0)</f>
        <v>Meat</v>
      </c>
      <c r="I238" t="str">
        <f>VLOOKUP($B238,PRODUCT_MASTER!$A:$F,MATCH('FINAL DATA'!I$1,PRODUCT_MASTER!$A$1:$F$1,0),0)</f>
        <v>Kg</v>
      </c>
      <c r="J238" s="7">
        <f>VLOOKUP($B238,PRODUCT_MASTER!$A:$F,MATCH('FINAL DATA'!J$1,PRODUCT_MASTER!$A$1:$F$1,0),0)</f>
        <v>112</v>
      </c>
      <c r="K238" s="7">
        <f>VLOOKUP($B238,PRODUCT_MASTER!$A:$F,MATCH('FINAL DATA'!K$1,PRODUCT_MASTER!$A$1:$F$1,0),0)</f>
        <v>146.72</v>
      </c>
      <c r="L238" s="7">
        <f t="shared" si="15"/>
        <v>112</v>
      </c>
      <c r="M238" s="7">
        <f t="shared" si="16"/>
        <v>146.72</v>
      </c>
      <c r="N238">
        <f t="shared" si="17"/>
        <v>21</v>
      </c>
      <c r="O238" t="str">
        <f t="shared" si="18"/>
        <v>Nov</v>
      </c>
      <c r="P238">
        <f t="shared" si="19"/>
        <v>2021</v>
      </c>
    </row>
    <row r="239" spans="1:16" x14ac:dyDescent="0.2">
      <c r="A239" s="1">
        <v>44521</v>
      </c>
      <c r="B239" t="s">
        <v>17</v>
      </c>
      <c r="C239">
        <v>1</v>
      </c>
      <c r="D239" t="s">
        <v>101</v>
      </c>
      <c r="E239" t="s">
        <v>102</v>
      </c>
      <c r="F239" s="5">
        <v>0</v>
      </c>
      <c r="G239" t="str">
        <f>VLOOKUP($B239,PRODUCT_MASTER!$A:$F,MATCH('FINAL DATA'!G$1,PRODUCT_MASTER!$A$1:$F$1,0),0)</f>
        <v>Product06</v>
      </c>
      <c r="H239" t="str">
        <f>VLOOKUP($B239,PRODUCT_MASTER!$A:$F,MATCH('FINAL DATA'!H$1,PRODUCT_MASTER!$A$1:$F$1,0),0)</f>
        <v>Gourmet Foods</v>
      </c>
      <c r="I239" t="str">
        <f>VLOOKUP($B239,PRODUCT_MASTER!$A:$F,MATCH('FINAL DATA'!I$1,PRODUCT_MASTER!$A$1:$F$1,0),0)</f>
        <v>Kg</v>
      </c>
      <c r="J239" s="7">
        <f>VLOOKUP($B239,PRODUCT_MASTER!$A:$F,MATCH('FINAL DATA'!J$1,PRODUCT_MASTER!$A$1:$F$1,0),0)</f>
        <v>75</v>
      </c>
      <c r="K239" s="7">
        <f>VLOOKUP($B239,PRODUCT_MASTER!$A:$F,MATCH('FINAL DATA'!K$1,PRODUCT_MASTER!$A$1:$F$1,0),0)</f>
        <v>85.5</v>
      </c>
      <c r="L239" s="7">
        <f t="shared" si="15"/>
        <v>75</v>
      </c>
      <c r="M239" s="7">
        <f t="shared" si="16"/>
        <v>85.5</v>
      </c>
      <c r="N239">
        <f t="shared" si="17"/>
        <v>21</v>
      </c>
      <c r="O239" t="str">
        <f t="shared" si="18"/>
        <v>Nov</v>
      </c>
      <c r="P239">
        <f t="shared" si="19"/>
        <v>2021</v>
      </c>
    </row>
    <row r="240" spans="1:16" x14ac:dyDescent="0.2">
      <c r="A240" s="1">
        <v>44527</v>
      </c>
      <c r="B240" t="s">
        <v>29</v>
      </c>
      <c r="C240">
        <v>8</v>
      </c>
      <c r="D240" t="s">
        <v>101</v>
      </c>
      <c r="E240" t="s">
        <v>101</v>
      </c>
      <c r="F240" s="5">
        <v>0</v>
      </c>
      <c r="G240" t="str">
        <f>VLOOKUP($B240,PRODUCT_MASTER!$A:$F,MATCH('FINAL DATA'!G$1,PRODUCT_MASTER!$A$1:$F$1,0),0)</f>
        <v>Product12</v>
      </c>
      <c r="H240" t="str">
        <f>VLOOKUP($B240,PRODUCT_MASTER!$A:$F,MATCH('FINAL DATA'!H$1,PRODUCT_MASTER!$A$1:$F$1,0),0)</f>
        <v>Meat</v>
      </c>
      <c r="I240" t="str">
        <f>VLOOKUP($B240,PRODUCT_MASTER!$A:$F,MATCH('FINAL DATA'!I$1,PRODUCT_MASTER!$A$1:$F$1,0),0)</f>
        <v>Kg</v>
      </c>
      <c r="J240" s="7">
        <f>VLOOKUP($B240,PRODUCT_MASTER!$A:$F,MATCH('FINAL DATA'!J$1,PRODUCT_MASTER!$A$1:$F$1,0),0)</f>
        <v>73</v>
      </c>
      <c r="K240" s="7">
        <f>VLOOKUP($B240,PRODUCT_MASTER!$A:$F,MATCH('FINAL DATA'!K$1,PRODUCT_MASTER!$A$1:$F$1,0),0)</f>
        <v>94.17</v>
      </c>
      <c r="L240" s="7">
        <f t="shared" si="15"/>
        <v>584</v>
      </c>
      <c r="M240" s="7">
        <f t="shared" si="16"/>
        <v>753.36</v>
      </c>
      <c r="N240">
        <f t="shared" si="17"/>
        <v>27</v>
      </c>
      <c r="O240" t="str">
        <f t="shared" si="18"/>
        <v>Nov</v>
      </c>
      <c r="P240">
        <f t="shared" si="19"/>
        <v>2021</v>
      </c>
    </row>
    <row r="241" spans="1:16" x14ac:dyDescent="0.2">
      <c r="A241" s="1">
        <v>44528</v>
      </c>
      <c r="B241" t="s">
        <v>85</v>
      </c>
      <c r="C241">
        <v>2</v>
      </c>
      <c r="D241" t="s">
        <v>103</v>
      </c>
      <c r="E241" t="s">
        <v>102</v>
      </c>
      <c r="F241" s="5">
        <v>0</v>
      </c>
      <c r="G241" t="str">
        <f>VLOOKUP($B241,PRODUCT_MASTER!$A:$F,MATCH('FINAL DATA'!G$1,PRODUCT_MASTER!$A$1:$F$1,0),0)</f>
        <v>Product40</v>
      </c>
      <c r="H241" t="str">
        <f>VLOOKUP($B241,PRODUCT_MASTER!$A:$F,MATCH('FINAL DATA'!H$1,PRODUCT_MASTER!$A$1:$F$1,0),0)</f>
        <v>Snacks</v>
      </c>
      <c r="I241" t="str">
        <f>VLOOKUP($B241,PRODUCT_MASTER!$A:$F,MATCH('FINAL DATA'!I$1,PRODUCT_MASTER!$A$1:$F$1,0),0)</f>
        <v>Kg</v>
      </c>
      <c r="J241" s="7">
        <f>VLOOKUP($B241,PRODUCT_MASTER!$A:$F,MATCH('FINAL DATA'!J$1,PRODUCT_MASTER!$A$1:$F$1,0),0)</f>
        <v>90</v>
      </c>
      <c r="K241" s="7">
        <f>VLOOKUP($B241,PRODUCT_MASTER!$A:$F,MATCH('FINAL DATA'!K$1,PRODUCT_MASTER!$A$1:$F$1,0),0)</f>
        <v>115.2</v>
      </c>
      <c r="L241" s="7">
        <f t="shared" si="15"/>
        <v>180</v>
      </c>
      <c r="M241" s="7">
        <f t="shared" si="16"/>
        <v>230.4</v>
      </c>
      <c r="N241">
        <f t="shared" si="17"/>
        <v>28</v>
      </c>
      <c r="O241" t="str">
        <f t="shared" si="18"/>
        <v>Nov</v>
      </c>
      <c r="P241">
        <f t="shared" si="19"/>
        <v>2021</v>
      </c>
    </row>
    <row r="242" spans="1:16" x14ac:dyDescent="0.2">
      <c r="A242" s="1">
        <v>44530</v>
      </c>
      <c r="B242" t="s">
        <v>83</v>
      </c>
      <c r="C242">
        <v>15</v>
      </c>
      <c r="D242" t="s">
        <v>103</v>
      </c>
      <c r="E242" t="s">
        <v>101</v>
      </c>
      <c r="F242" s="5">
        <v>0</v>
      </c>
      <c r="G242" t="str">
        <f>VLOOKUP($B242,PRODUCT_MASTER!$A:$F,MATCH('FINAL DATA'!G$1,PRODUCT_MASTER!$A$1:$F$1,0),0)</f>
        <v>Product39</v>
      </c>
      <c r="H242" t="str">
        <f>VLOOKUP($B242,PRODUCT_MASTER!$A:$F,MATCH('FINAL DATA'!H$1,PRODUCT_MASTER!$A$1:$F$1,0),0)</f>
        <v>Snacks</v>
      </c>
      <c r="I242" t="str">
        <f>VLOOKUP($B242,PRODUCT_MASTER!$A:$F,MATCH('FINAL DATA'!I$1,PRODUCT_MASTER!$A$1:$F$1,0),0)</f>
        <v>No.</v>
      </c>
      <c r="J242" s="7">
        <f>VLOOKUP($B242,PRODUCT_MASTER!$A:$F,MATCH('FINAL DATA'!J$1,PRODUCT_MASTER!$A$1:$F$1,0),0)</f>
        <v>37</v>
      </c>
      <c r="K242" s="7">
        <f>VLOOKUP($B242,PRODUCT_MASTER!$A:$F,MATCH('FINAL DATA'!K$1,PRODUCT_MASTER!$A$1:$F$1,0),0)</f>
        <v>42.55</v>
      </c>
      <c r="L242" s="7">
        <f t="shared" si="15"/>
        <v>555</v>
      </c>
      <c r="M242" s="7">
        <f t="shared" si="16"/>
        <v>638.25</v>
      </c>
      <c r="N242">
        <f t="shared" si="17"/>
        <v>30</v>
      </c>
      <c r="O242" t="str">
        <f t="shared" si="18"/>
        <v>Nov</v>
      </c>
      <c r="P242">
        <f t="shared" si="19"/>
        <v>2021</v>
      </c>
    </row>
    <row r="243" spans="1:16" x14ac:dyDescent="0.2">
      <c r="A243" s="1">
        <v>44532</v>
      </c>
      <c r="B243" t="s">
        <v>37</v>
      </c>
      <c r="C243">
        <v>10</v>
      </c>
      <c r="D243" t="s">
        <v>103</v>
      </c>
      <c r="E243" t="s">
        <v>102</v>
      </c>
      <c r="F243" s="5">
        <v>0</v>
      </c>
      <c r="G243" t="str">
        <f>VLOOKUP($B243,PRODUCT_MASTER!$A:$F,MATCH('FINAL DATA'!G$1,PRODUCT_MASTER!$A$1:$F$1,0),0)</f>
        <v>Product16</v>
      </c>
      <c r="H243" t="str">
        <f>VLOOKUP($B243,PRODUCT_MASTER!$A:$F,MATCH('FINAL DATA'!H$1,PRODUCT_MASTER!$A$1:$F$1,0),0)</f>
        <v>Meat</v>
      </c>
      <c r="I243" t="str">
        <f>VLOOKUP($B243,PRODUCT_MASTER!$A:$F,MATCH('FINAL DATA'!I$1,PRODUCT_MASTER!$A$1:$F$1,0),0)</f>
        <v>No.</v>
      </c>
      <c r="J243" s="7">
        <f>VLOOKUP($B243,PRODUCT_MASTER!$A:$F,MATCH('FINAL DATA'!J$1,PRODUCT_MASTER!$A$1:$F$1,0),0)</f>
        <v>13</v>
      </c>
      <c r="K243" s="7">
        <f>VLOOKUP($B243,PRODUCT_MASTER!$A:$F,MATCH('FINAL DATA'!K$1,PRODUCT_MASTER!$A$1:$F$1,0),0)</f>
        <v>16.64</v>
      </c>
      <c r="L243" s="7">
        <f t="shared" si="15"/>
        <v>130</v>
      </c>
      <c r="M243" s="7">
        <f t="shared" si="16"/>
        <v>166.4</v>
      </c>
      <c r="N243">
        <f t="shared" si="17"/>
        <v>2</v>
      </c>
      <c r="O243" t="str">
        <f t="shared" si="18"/>
        <v>Dec</v>
      </c>
      <c r="P243">
        <f t="shared" si="19"/>
        <v>2021</v>
      </c>
    </row>
    <row r="244" spans="1:16" x14ac:dyDescent="0.2">
      <c r="A244" s="1">
        <v>44533</v>
      </c>
      <c r="B244" t="s">
        <v>73</v>
      </c>
      <c r="C244">
        <v>2</v>
      </c>
      <c r="D244" t="s">
        <v>101</v>
      </c>
      <c r="E244" t="s">
        <v>102</v>
      </c>
      <c r="F244" s="5">
        <v>0</v>
      </c>
      <c r="G244" t="str">
        <f>VLOOKUP($B244,PRODUCT_MASTER!$A:$F,MATCH('FINAL DATA'!G$1,PRODUCT_MASTER!$A$1:$F$1,0),0)</f>
        <v>Product34</v>
      </c>
      <c r="H244" t="str">
        <f>VLOOKUP($B244,PRODUCT_MASTER!$A:$F,MATCH('FINAL DATA'!H$1,PRODUCT_MASTER!$A$1:$F$1,0),0)</f>
        <v>Bakery And Desserts</v>
      </c>
      <c r="I244" t="str">
        <f>VLOOKUP($B244,PRODUCT_MASTER!$A:$F,MATCH('FINAL DATA'!I$1,PRODUCT_MASTER!$A$1:$F$1,0),0)</f>
        <v>Lt</v>
      </c>
      <c r="J244" s="7">
        <f>VLOOKUP($B244,PRODUCT_MASTER!$A:$F,MATCH('FINAL DATA'!J$1,PRODUCT_MASTER!$A$1:$F$1,0),0)</f>
        <v>55</v>
      </c>
      <c r="K244" s="7">
        <f>VLOOKUP($B244,PRODUCT_MASTER!$A:$F,MATCH('FINAL DATA'!K$1,PRODUCT_MASTER!$A$1:$F$1,0),0)</f>
        <v>58.3</v>
      </c>
      <c r="L244" s="7">
        <f t="shared" si="15"/>
        <v>110</v>
      </c>
      <c r="M244" s="7">
        <f t="shared" si="16"/>
        <v>116.6</v>
      </c>
      <c r="N244">
        <f t="shared" si="17"/>
        <v>3</v>
      </c>
      <c r="O244" t="str">
        <f t="shared" si="18"/>
        <v>Dec</v>
      </c>
      <c r="P244">
        <f t="shared" si="19"/>
        <v>2021</v>
      </c>
    </row>
    <row r="245" spans="1:16" x14ac:dyDescent="0.2">
      <c r="A245" s="1">
        <v>44533</v>
      </c>
      <c r="B245" t="s">
        <v>43</v>
      </c>
      <c r="C245">
        <v>8</v>
      </c>
      <c r="D245" t="s">
        <v>101</v>
      </c>
      <c r="E245" t="s">
        <v>101</v>
      </c>
      <c r="F245" s="5">
        <v>0</v>
      </c>
      <c r="G245" t="str">
        <f>VLOOKUP($B245,PRODUCT_MASTER!$A:$F,MATCH('FINAL DATA'!G$1,PRODUCT_MASTER!$A$1:$F$1,0),0)</f>
        <v>Product19</v>
      </c>
      <c r="H245" t="str">
        <f>VLOOKUP($B245,PRODUCT_MASTER!$A:$F,MATCH('FINAL DATA'!H$1,PRODUCT_MASTER!$A$1:$F$1,0),0)</f>
        <v>Poultry</v>
      </c>
      <c r="I245" t="str">
        <f>VLOOKUP($B245,PRODUCT_MASTER!$A:$F,MATCH('FINAL DATA'!I$1,PRODUCT_MASTER!$A$1:$F$1,0),0)</f>
        <v>Ft</v>
      </c>
      <c r="J245" s="7">
        <f>VLOOKUP($B245,PRODUCT_MASTER!$A:$F,MATCH('FINAL DATA'!J$1,PRODUCT_MASTER!$A$1:$F$1,0),0)</f>
        <v>150</v>
      </c>
      <c r="K245" s="7">
        <f>VLOOKUP($B245,PRODUCT_MASTER!$A:$F,MATCH('FINAL DATA'!K$1,PRODUCT_MASTER!$A$1:$F$1,0),0)</f>
        <v>210</v>
      </c>
      <c r="L245" s="7">
        <f t="shared" si="15"/>
        <v>1200</v>
      </c>
      <c r="M245" s="7">
        <f t="shared" si="16"/>
        <v>1680</v>
      </c>
      <c r="N245">
        <f t="shared" si="17"/>
        <v>3</v>
      </c>
      <c r="O245" t="str">
        <f t="shared" si="18"/>
        <v>Dec</v>
      </c>
      <c r="P245">
        <f t="shared" si="19"/>
        <v>2021</v>
      </c>
    </row>
    <row r="246" spans="1:16" x14ac:dyDescent="0.2">
      <c r="A246" s="1">
        <v>44535</v>
      </c>
      <c r="B246" t="s">
        <v>13</v>
      </c>
      <c r="C246">
        <v>15</v>
      </c>
      <c r="D246" t="s">
        <v>103</v>
      </c>
      <c r="E246" t="s">
        <v>102</v>
      </c>
      <c r="F246" s="5">
        <v>0</v>
      </c>
      <c r="G246" t="str">
        <f>VLOOKUP($B246,PRODUCT_MASTER!$A:$F,MATCH('FINAL DATA'!G$1,PRODUCT_MASTER!$A$1:$F$1,0),0)</f>
        <v>Product04</v>
      </c>
      <c r="H246" t="str">
        <f>VLOOKUP($B246,PRODUCT_MASTER!$A:$F,MATCH('FINAL DATA'!H$1,PRODUCT_MASTER!$A$1:$F$1,0),0)</f>
        <v>Organic</v>
      </c>
      <c r="I246" t="str">
        <f>VLOOKUP($B246,PRODUCT_MASTER!$A:$F,MATCH('FINAL DATA'!I$1,PRODUCT_MASTER!$A$1:$F$1,0),0)</f>
        <v>Lt</v>
      </c>
      <c r="J246" s="7">
        <f>VLOOKUP($B246,PRODUCT_MASTER!$A:$F,MATCH('FINAL DATA'!J$1,PRODUCT_MASTER!$A$1:$F$1,0),0)</f>
        <v>44</v>
      </c>
      <c r="K246" s="7">
        <f>VLOOKUP($B246,PRODUCT_MASTER!$A:$F,MATCH('FINAL DATA'!K$1,PRODUCT_MASTER!$A$1:$F$1,0),0)</f>
        <v>48.84</v>
      </c>
      <c r="L246" s="7">
        <f t="shared" si="15"/>
        <v>660</v>
      </c>
      <c r="M246" s="7">
        <f t="shared" si="16"/>
        <v>732.6</v>
      </c>
      <c r="N246">
        <f t="shared" si="17"/>
        <v>5</v>
      </c>
      <c r="O246" t="str">
        <f t="shared" si="18"/>
        <v>Dec</v>
      </c>
      <c r="P246">
        <f t="shared" si="19"/>
        <v>2021</v>
      </c>
    </row>
    <row r="247" spans="1:16" x14ac:dyDescent="0.2">
      <c r="A247" s="1">
        <v>44535</v>
      </c>
      <c r="B247" t="s">
        <v>25</v>
      </c>
      <c r="C247">
        <v>1</v>
      </c>
      <c r="D247" t="s">
        <v>103</v>
      </c>
      <c r="E247" t="s">
        <v>101</v>
      </c>
      <c r="F247" s="5">
        <v>0</v>
      </c>
      <c r="G247" t="str">
        <f>VLOOKUP($B247,PRODUCT_MASTER!$A:$F,MATCH('FINAL DATA'!G$1,PRODUCT_MASTER!$A$1:$F$1,0),0)</f>
        <v>Product10</v>
      </c>
      <c r="H247" t="str">
        <f>VLOOKUP($B247,PRODUCT_MASTER!$A:$F,MATCH('FINAL DATA'!H$1,PRODUCT_MASTER!$A$1:$F$1,0),0)</f>
        <v>Gourmet Foods</v>
      </c>
      <c r="I247" t="str">
        <f>VLOOKUP($B247,PRODUCT_MASTER!$A:$F,MATCH('FINAL DATA'!I$1,PRODUCT_MASTER!$A$1:$F$1,0),0)</f>
        <v>Ft</v>
      </c>
      <c r="J247" s="7">
        <f>VLOOKUP($B247,PRODUCT_MASTER!$A:$F,MATCH('FINAL DATA'!J$1,PRODUCT_MASTER!$A$1:$F$1,0),0)</f>
        <v>148</v>
      </c>
      <c r="K247" s="7">
        <f>VLOOKUP($B247,PRODUCT_MASTER!$A:$F,MATCH('FINAL DATA'!K$1,PRODUCT_MASTER!$A$1:$F$1,0),0)</f>
        <v>164.28</v>
      </c>
      <c r="L247" s="7">
        <f t="shared" si="15"/>
        <v>148</v>
      </c>
      <c r="M247" s="7">
        <f t="shared" si="16"/>
        <v>164.28</v>
      </c>
      <c r="N247">
        <f t="shared" si="17"/>
        <v>5</v>
      </c>
      <c r="O247" t="str">
        <f t="shared" si="18"/>
        <v>Dec</v>
      </c>
      <c r="P247">
        <f t="shared" si="19"/>
        <v>2021</v>
      </c>
    </row>
    <row r="248" spans="1:16" x14ac:dyDescent="0.2">
      <c r="A248" s="1">
        <v>44537</v>
      </c>
      <c r="B248" t="s">
        <v>31</v>
      </c>
      <c r="C248">
        <v>8</v>
      </c>
      <c r="D248" t="s">
        <v>103</v>
      </c>
      <c r="E248" t="s">
        <v>101</v>
      </c>
      <c r="F248" s="5">
        <v>0</v>
      </c>
      <c r="G248" t="str">
        <f>VLOOKUP($B248,PRODUCT_MASTER!$A:$F,MATCH('FINAL DATA'!G$1,PRODUCT_MASTER!$A$1:$F$1,0),0)</f>
        <v>Product13</v>
      </c>
      <c r="H248" t="str">
        <f>VLOOKUP($B248,PRODUCT_MASTER!$A:$F,MATCH('FINAL DATA'!H$1,PRODUCT_MASTER!$A$1:$F$1,0),0)</f>
        <v>Meat</v>
      </c>
      <c r="I248" t="str">
        <f>VLOOKUP($B248,PRODUCT_MASTER!$A:$F,MATCH('FINAL DATA'!I$1,PRODUCT_MASTER!$A$1:$F$1,0),0)</f>
        <v>Kg</v>
      </c>
      <c r="J248" s="7">
        <f>VLOOKUP($B248,PRODUCT_MASTER!$A:$F,MATCH('FINAL DATA'!J$1,PRODUCT_MASTER!$A$1:$F$1,0),0)</f>
        <v>112</v>
      </c>
      <c r="K248" s="7">
        <f>VLOOKUP($B248,PRODUCT_MASTER!$A:$F,MATCH('FINAL DATA'!K$1,PRODUCT_MASTER!$A$1:$F$1,0),0)</f>
        <v>122.08</v>
      </c>
      <c r="L248" s="7">
        <f t="shared" si="15"/>
        <v>896</v>
      </c>
      <c r="M248" s="7">
        <f t="shared" si="16"/>
        <v>976.64</v>
      </c>
      <c r="N248">
        <f t="shared" si="17"/>
        <v>7</v>
      </c>
      <c r="O248" t="str">
        <f t="shared" si="18"/>
        <v>Dec</v>
      </c>
      <c r="P248">
        <f t="shared" si="19"/>
        <v>2021</v>
      </c>
    </row>
    <row r="249" spans="1:16" x14ac:dyDescent="0.2">
      <c r="A249" s="1">
        <v>44538</v>
      </c>
      <c r="B249" t="s">
        <v>93</v>
      </c>
      <c r="C249">
        <v>14</v>
      </c>
      <c r="D249" t="s">
        <v>103</v>
      </c>
      <c r="E249" t="s">
        <v>101</v>
      </c>
      <c r="F249" s="5">
        <v>0</v>
      </c>
      <c r="G249" t="str">
        <f>VLOOKUP($B249,PRODUCT_MASTER!$A:$F,MATCH('FINAL DATA'!G$1,PRODUCT_MASTER!$A$1:$F$1,0),0)</f>
        <v>Product44</v>
      </c>
      <c r="H249" t="str">
        <f>VLOOKUP($B249,PRODUCT_MASTER!$A:$F,MATCH('FINAL DATA'!H$1,PRODUCT_MASTER!$A$1:$F$1,0),0)</f>
        <v>Candy</v>
      </c>
      <c r="I249" t="str">
        <f>VLOOKUP($B249,PRODUCT_MASTER!$A:$F,MATCH('FINAL DATA'!I$1,PRODUCT_MASTER!$A$1:$F$1,0),0)</f>
        <v>Kg</v>
      </c>
      <c r="J249" s="7">
        <f>VLOOKUP($B249,PRODUCT_MASTER!$A:$F,MATCH('FINAL DATA'!J$1,PRODUCT_MASTER!$A$1:$F$1,0),0)</f>
        <v>76</v>
      </c>
      <c r="K249" s="7">
        <f>VLOOKUP($B249,PRODUCT_MASTER!$A:$F,MATCH('FINAL DATA'!K$1,PRODUCT_MASTER!$A$1:$F$1,0),0)</f>
        <v>82.08</v>
      </c>
      <c r="L249" s="7">
        <f t="shared" si="15"/>
        <v>1064</v>
      </c>
      <c r="M249" s="7">
        <f t="shared" si="16"/>
        <v>1149.1199999999999</v>
      </c>
      <c r="N249">
        <f t="shared" si="17"/>
        <v>8</v>
      </c>
      <c r="O249" t="str">
        <f t="shared" si="18"/>
        <v>Dec</v>
      </c>
      <c r="P249">
        <f t="shared" si="19"/>
        <v>2021</v>
      </c>
    </row>
    <row r="250" spans="1:16" x14ac:dyDescent="0.2">
      <c r="A250" s="1">
        <v>44544</v>
      </c>
      <c r="B250" t="s">
        <v>89</v>
      </c>
      <c r="C250">
        <v>4</v>
      </c>
      <c r="D250" t="s">
        <v>103</v>
      </c>
      <c r="E250" t="s">
        <v>101</v>
      </c>
      <c r="F250" s="5">
        <v>0</v>
      </c>
      <c r="G250" t="str">
        <f>VLOOKUP($B250,PRODUCT_MASTER!$A:$F,MATCH('FINAL DATA'!G$1,PRODUCT_MASTER!$A$1:$F$1,0),0)</f>
        <v>Product42</v>
      </c>
      <c r="H250" t="str">
        <f>VLOOKUP($B250,PRODUCT_MASTER!$A:$F,MATCH('FINAL DATA'!H$1,PRODUCT_MASTER!$A$1:$F$1,0),0)</f>
        <v>Candy</v>
      </c>
      <c r="I250" t="str">
        <f>VLOOKUP($B250,PRODUCT_MASTER!$A:$F,MATCH('FINAL DATA'!I$1,PRODUCT_MASTER!$A$1:$F$1,0),0)</f>
        <v>Ft</v>
      </c>
      <c r="J250" s="7">
        <f>VLOOKUP($B250,PRODUCT_MASTER!$A:$F,MATCH('FINAL DATA'!J$1,PRODUCT_MASTER!$A$1:$F$1,0),0)</f>
        <v>120</v>
      </c>
      <c r="K250" s="7">
        <f>VLOOKUP($B250,PRODUCT_MASTER!$A:$F,MATCH('FINAL DATA'!K$1,PRODUCT_MASTER!$A$1:$F$1,0),0)</f>
        <v>162</v>
      </c>
      <c r="L250" s="7">
        <f t="shared" si="15"/>
        <v>480</v>
      </c>
      <c r="M250" s="7">
        <f t="shared" si="16"/>
        <v>648</v>
      </c>
      <c r="N250">
        <f t="shared" si="17"/>
        <v>14</v>
      </c>
      <c r="O250" t="str">
        <f t="shared" si="18"/>
        <v>Dec</v>
      </c>
      <c r="P250">
        <f t="shared" si="19"/>
        <v>2021</v>
      </c>
    </row>
    <row r="251" spans="1:16" x14ac:dyDescent="0.2">
      <c r="A251" s="1">
        <v>44548</v>
      </c>
      <c r="B251" t="s">
        <v>11</v>
      </c>
      <c r="C251">
        <v>2</v>
      </c>
      <c r="D251" t="s">
        <v>103</v>
      </c>
      <c r="E251" t="s">
        <v>102</v>
      </c>
      <c r="F251" s="5">
        <v>0</v>
      </c>
      <c r="G251" t="str">
        <f>VLOOKUP($B251,PRODUCT_MASTER!$A:$F,MATCH('FINAL DATA'!G$1,PRODUCT_MASTER!$A$1:$F$1,0),0)</f>
        <v>Product03</v>
      </c>
      <c r="H251" t="str">
        <f>VLOOKUP($B251,PRODUCT_MASTER!$A:$F,MATCH('FINAL DATA'!H$1,PRODUCT_MASTER!$A$1:$F$1,0),0)</f>
        <v>Organic</v>
      </c>
      <c r="I251" t="str">
        <f>VLOOKUP($B251,PRODUCT_MASTER!$A:$F,MATCH('FINAL DATA'!I$1,PRODUCT_MASTER!$A$1:$F$1,0),0)</f>
        <v>Kg</v>
      </c>
      <c r="J251" s="7">
        <f>VLOOKUP($B251,PRODUCT_MASTER!$A:$F,MATCH('FINAL DATA'!J$1,PRODUCT_MASTER!$A$1:$F$1,0),0)</f>
        <v>71</v>
      </c>
      <c r="K251" s="7">
        <f>VLOOKUP($B251,PRODUCT_MASTER!$A:$F,MATCH('FINAL DATA'!K$1,PRODUCT_MASTER!$A$1:$F$1,0),0)</f>
        <v>80.94</v>
      </c>
      <c r="L251" s="7">
        <f t="shared" si="15"/>
        <v>142</v>
      </c>
      <c r="M251" s="7">
        <f t="shared" si="16"/>
        <v>161.88</v>
      </c>
      <c r="N251">
        <f t="shared" si="17"/>
        <v>18</v>
      </c>
      <c r="O251" t="str">
        <f t="shared" si="18"/>
        <v>Dec</v>
      </c>
      <c r="P251">
        <f t="shared" si="19"/>
        <v>2021</v>
      </c>
    </row>
    <row r="252" spans="1:16" x14ac:dyDescent="0.2">
      <c r="A252" s="1">
        <v>44548</v>
      </c>
      <c r="B252" t="s">
        <v>49</v>
      </c>
      <c r="C252">
        <v>8</v>
      </c>
      <c r="D252" t="s">
        <v>101</v>
      </c>
      <c r="E252" t="s">
        <v>102</v>
      </c>
      <c r="F252" s="5">
        <v>0</v>
      </c>
      <c r="G252" t="str">
        <f>VLOOKUP($B252,PRODUCT_MASTER!$A:$F,MATCH('FINAL DATA'!G$1,PRODUCT_MASTER!$A$1:$F$1,0),0)</f>
        <v>Product22</v>
      </c>
      <c r="H252" t="str">
        <f>VLOOKUP($B252,PRODUCT_MASTER!$A:$F,MATCH('FINAL DATA'!H$1,PRODUCT_MASTER!$A$1:$F$1,0),0)</f>
        <v>Seafood</v>
      </c>
      <c r="I252" t="str">
        <f>VLOOKUP($B252,PRODUCT_MASTER!$A:$F,MATCH('FINAL DATA'!I$1,PRODUCT_MASTER!$A$1:$F$1,0),0)</f>
        <v>Ft</v>
      </c>
      <c r="J252" s="7">
        <f>VLOOKUP($B252,PRODUCT_MASTER!$A:$F,MATCH('FINAL DATA'!J$1,PRODUCT_MASTER!$A$1:$F$1,0),0)</f>
        <v>121</v>
      </c>
      <c r="K252" s="7">
        <f>VLOOKUP($B252,PRODUCT_MASTER!$A:$F,MATCH('FINAL DATA'!K$1,PRODUCT_MASTER!$A$1:$F$1,0),0)</f>
        <v>141.57</v>
      </c>
      <c r="L252" s="7">
        <f t="shared" si="15"/>
        <v>968</v>
      </c>
      <c r="M252" s="7">
        <f t="shared" si="16"/>
        <v>1132.56</v>
      </c>
      <c r="N252">
        <f t="shared" si="17"/>
        <v>18</v>
      </c>
      <c r="O252" t="str">
        <f t="shared" si="18"/>
        <v>Dec</v>
      </c>
      <c r="P252">
        <f t="shared" si="19"/>
        <v>2021</v>
      </c>
    </row>
    <row r="253" spans="1:16" x14ac:dyDescent="0.2">
      <c r="A253" s="1">
        <v>44549</v>
      </c>
      <c r="B253" t="s">
        <v>51</v>
      </c>
      <c r="C253">
        <v>12</v>
      </c>
      <c r="D253" t="s">
        <v>103</v>
      </c>
      <c r="E253" t="s">
        <v>101</v>
      </c>
      <c r="F253" s="5">
        <v>0</v>
      </c>
      <c r="G253" t="str">
        <f>VLOOKUP($B253,PRODUCT_MASTER!$A:$F,MATCH('FINAL DATA'!G$1,PRODUCT_MASTER!$A$1:$F$1,0),0)</f>
        <v>Product23</v>
      </c>
      <c r="H253" t="str">
        <f>VLOOKUP($B253,PRODUCT_MASTER!$A:$F,MATCH('FINAL DATA'!H$1,PRODUCT_MASTER!$A$1:$F$1,0),0)</f>
        <v>Seafood</v>
      </c>
      <c r="I253" t="str">
        <f>VLOOKUP($B253,PRODUCT_MASTER!$A:$F,MATCH('FINAL DATA'!I$1,PRODUCT_MASTER!$A$1:$F$1,0),0)</f>
        <v>Ft</v>
      </c>
      <c r="J253" s="7">
        <f>VLOOKUP($B253,PRODUCT_MASTER!$A:$F,MATCH('FINAL DATA'!J$1,PRODUCT_MASTER!$A$1:$F$1,0),0)</f>
        <v>141</v>
      </c>
      <c r="K253" s="7">
        <f>VLOOKUP($B253,PRODUCT_MASTER!$A:$F,MATCH('FINAL DATA'!K$1,PRODUCT_MASTER!$A$1:$F$1,0),0)</f>
        <v>149.46</v>
      </c>
      <c r="L253" s="7">
        <f t="shared" si="15"/>
        <v>1692</v>
      </c>
      <c r="M253" s="7">
        <f t="shared" si="16"/>
        <v>1793.52</v>
      </c>
      <c r="N253">
        <f t="shared" si="17"/>
        <v>19</v>
      </c>
      <c r="O253" t="str">
        <f t="shared" si="18"/>
        <v>Dec</v>
      </c>
      <c r="P253">
        <f t="shared" si="19"/>
        <v>2021</v>
      </c>
    </row>
    <row r="254" spans="1:16" x14ac:dyDescent="0.2">
      <c r="A254" s="1">
        <v>44549</v>
      </c>
      <c r="B254" t="s">
        <v>63</v>
      </c>
      <c r="C254">
        <v>3</v>
      </c>
      <c r="D254" t="s">
        <v>100</v>
      </c>
      <c r="E254" t="s">
        <v>101</v>
      </c>
      <c r="F254" s="5">
        <v>0</v>
      </c>
      <c r="G254" t="str">
        <f>VLOOKUP($B254,PRODUCT_MASTER!$A:$F,MATCH('FINAL DATA'!G$1,PRODUCT_MASTER!$A$1:$F$1,0),0)</f>
        <v>Product29</v>
      </c>
      <c r="H254" t="str">
        <f>VLOOKUP($B254,PRODUCT_MASTER!$A:$F,MATCH('FINAL DATA'!H$1,PRODUCT_MASTER!$A$1:$F$1,0),0)</f>
        <v>Cheese And Dairy</v>
      </c>
      <c r="I254" t="str">
        <f>VLOOKUP($B254,PRODUCT_MASTER!$A:$F,MATCH('FINAL DATA'!I$1,PRODUCT_MASTER!$A$1:$F$1,0),0)</f>
        <v>Lt</v>
      </c>
      <c r="J254" s="7">
        <f>VLOOKUP($B254,PRODUCT_MASTER!$A:$F,MATCH('FINAL DATA'!J$1,PRODUCT_MASTER!$A$1:$F$1,0),0)</f>
        <v>47</v>
      </c>
      <c r="K254" s="7">
        <f>VLOOKUP($B254,PRODUCT_MASTER!$A:$F,MATCH('FINAL DATA'!K$1,PRODUCT_MASTER!$A$1:$F$1,0),0)</f>
        <v>53.11</v>
      </c>
      <c r="L254" s="7">
        <f t="shared" si="15"/>
        <v>141</v>
      </c>
      <c r="M254" s="7">
        <f t="shared" si="16"/>
        <v>159.32999999999998</v>
      </c>
      <c r="N254">
        <f t="shared" si="17"/>
        <v>19</v>
      </c>
      <c r="O254" t="str">
        <f t="shared" si="18"/>
        <v>Dec</v>
      </c>
      <c r="P254">
        <f t="shared" si="19"/>
        <v>2021</v>
      </c>
    </row>
    <row r="255" spans="1:16" x14ac:dyDescent="0.2">
      <c r="A255" s="1">
        <v>44549</v>
      </c>
      <c r="B255" t="s">
        <v>27</v>
      </c>
      <c r="C255">
        <v>10</v>
      </c>
      <c r="D255" t="s">
        <v>101</v>
      </c>
      <c r="E255" t="s">
        <v>101</v>
      </c>
      <c r="F255" s="5">
        <v>0</v>
      </c>
      <c r="G255" t="str">
        <f>VLOOKUP($B255,PRODUCT_MASTER!$A:$F,MATCH('FINAL DATA'!G$1,PRODUCT_MASTER!$A$1:$F$1,0),0)</f>
        <v>Product11</v>
      </c>
      <c r="H255" t="str">
        <f>VLOOKUP($B255,PRODUCT_MASTER!$A:$F,MATCH('FINAL DATA'!H$1,PRODUCT_MASTER!$A$1:$F$1,0),0)</f>
        <v>Gourmet Foods</v>
      </c>
      <c r="I255" t="str">
        <f>VLOOKUP($B255,PRODUCT_MASTER!$A:$F,MATCH('FINAL DATA'!I$1,PRODUCT_MASTER!$A$1:$F$1,0),0)</f>
        <v>Lt</v>
      </c>
      <c r="J255" s="7">
        <f>VLOOKUP($B255,PRODUCT_MASTER!$A:$F,MATCH('FINAL DATA'!J$1,PRODUCT_MASTER!$A$1:$F$1,0),0)</f>
        <v>44</v>
      </c>
      <c r="K255" s="7">
        <f>VLOOKUP($B255,PRODUCT_MASTER!$A:$F,MATCH('FINAL DATA'!K$1,PRODUCT_MASTER!$A$1:$F$1,0),0)</f>
        <v>48.4</v>
      </c>
      <c r="L255" s="7">
        <f t="shared" si="15"/>
        <v>440</v>
      </c>
      <c r="M255" s="7">
        <f t="shared" si="16"/>
        <v>484</v>
      </c>
      <c r="N255">
        <f t="shared" si="17"/>
        <v>19</v>
      </c>
      <c r="O255" t="str">
        <f t="shared" si="18"/>
        <v>Dec</v>
      </c>
      <c r="P255">
        <f t="shared" si="19"/>
        <v>2021</v>
      </c>
    </row>
    <row r="256" spans="1:16" x14ac:dyDescent="0.2">
      <c r="A256" s="1">
        <v>44550</v>
      </c>
      <c r="B256" t="s">
        <v>29</v>
      </c>
      <c r="C256">
        <v>14</v>
      </c>
      <c r="D256" t="s">
        <v>103</v>
      </c>
      <c r="E256" t="s">
        <v>101</v>
      </c>
      <c r="F256" s="5">
        <v>0</v>
      </c>
      <c r="G256" t="str">
        <f>VLOOKUP($B256,PRODUCT_MASTER!$A:$F,MATCH('FINAL DATA'!G$1,PRODUCT_MASTER!$A$1:$F$1,0),0)</f>
        <v>Product12</v>
      </c>
      <c r="H256" t="str">
        <f>VLOOKUP($B256,PRODUCT_MASTER!$A:$F,MATCH('FINAL DATA'!H$1,PRODUCT_MASTER!$A$1:$F$1,0),0)</f>
        <v>Meat</v>
      </c>
      <c r="I256" t="str">
        <f>VLOOKUP($B256,PRODUCT_MASTER!$A:$F,MATCH('FINAL DATA'!I$1,PRODUCT_MASTER!$A$1:$F$1,0),0)</f>
        <v>Kg</v>
      </c>
      <c r="J256" s="7">
        <f>VLOOKUP($B256,PRODUCT_MASTER!$A:$F,MATCH('FINAL DATA'!J$1,PRODUCT_MASTER!$A$1:$F$1,0),0)</f>
        <v>73</v>
      </c>
      <c r="K256" s="7">
        <f>VLOOKUP($B256,PRODUCT_MASTER!$A:$F,MATCH('FINAL DATA'!K$1,PRODUCT_MASTER!$A$1:$F$1,0),0)</f>
        <v>94.17</v>
      </c>
      <c r="L256" s="7">
        <f t="shared" si="15"/>
        <v>1022</v>
      </c>
      <c r="M256" s="7">
        <f t="shared" si="16"/>
        <v>1318.38</v>
      </c>
      <c r="N256">
        <f t="shared" si="17"/>
        <v>20</v>
      </c>
      <c r="O256" t="str">
        <f t="shared" si="18"/>
        <v>Dec</v>
      </c>
      <c r="P256">
        <f t="shared" si="19"/>
        <v>2021</v>
      </c>
    </row>
    <row r="257" spans="1:16" x14ac:dyDescent="0.2">
      <c r="A257" s="1">
        <v>44551</v>
      </c>
      <c r="B257" t="s">
        <v>57</v>
      </c>
      <c r="C257">
        <v>10</v>
      </c>
      <c r="D257" t="s">
        <v>101</v>
      </c>
      <c r="E257" t="s">
        <v>102</v>
      </c>
      <c r="F257" s="5">
        <v>0</v>
      </c>
      <c r="G257" t="str">
        <f>VLOOKUP($B257,PRODUCT_MASTER!$A:$F,MATCH('FINAL DATA'!G$1,PRODUCT_MASTER!$A$1:$F$1,0),0)</f>
        <v>Product26</v>
      </c>
      <c r="H257" t="str">
        <f>VLOOKUP($B257,PRODUCT_MASTER!$A:$F,MATCH('FINAL DATA'!H$1,PRODUCT_MASTER!$A$1:$F$1,0),0)</f>
        <v>Seafood</v>
      </c>
      <c r="I257" t="str">
        <f>VLOOKUP($B257,PRODUCT_MASTER!$A:$F,MATCH('FINAL DATA'!I$1,PRODUCT_MASTER!$A$1:$F$1,0),0)</f>
        <v>No.</v>
      </c>
      <c r="J257" s="7">
        <f>VLOOKUP($B257,PRODUCT_MASTER!$A:$F,MATCH('FINAL DATA'!J$1,PRODUCT_MASTER!$A$1:$F$1,0),0)</f>
        <v>18</v>
      </c>
      <c r="K257" s="7">
        <f>VLOOKUP($B257,PRODUCT_MASTER!$A:$F,MATCH('FINAL DATA'!K$1,PRODUCT_MASTER!$A$1:$F$1,0),0)</f>
        <v>24.66</v>
      </c>
      <c r="L257" s="7">
        <f t="shared" si="15"/>
        <v>180</v>
      </c>
      <c r="M257" s="7">
        <f t="shared" si="16"/>
        <v>246.6</v>
      </c>
      <c r="N257">
        <f t="shared" si="17"/>
        <v>21</v>
      </c>
      <c r="O257" t="str">
        <f t="shared" si="18"/>
        <v>Dec</v>
      </c>
      <c r="P257">
        <f t="shared" si="19"/>
        <v>2021</v>
      </c>
    </row>
    <row r="258" spans="1:16" x14ac:dyDescent="0.2">
      <c r="A258" s="1">
        <v>44554</v>
      </c>
      <c r="B258" t="s">
        <v>89</v>
      </c>
      <c r="C258">
        <v>8</v>
      </c>
      <c r="D258" t="s">
        <v>100</v>
      </c>
      <c r="E258" t="s">
        <v>102</v>
      </c>
      <c r="F258" s="5">
        <v>0</v>
      </c>
      <c r="G258" t="str">
        <f>VLOOKUP($B258,PRODUCT_MASTER!$A:$F,MATCH('FINAL DATA'!G$1,PRODUCT_MASTER!$A$1:$F$1,0),0)</f>
        <v>Product42</v>
      </c>
      <c r="H258" t="str">
        <f>VLOOKUP($B258,PRODUCT_MASTER!$A:$F,MATCH('FINAL DATA'!H$1,PRODUCT_MASTER!$A$1:$F$1,0),0)</f>
        <v>Candy</v>
      </c>
      <c r="I258" t="str">
        <f>VLOOKUP($B258,PRODUCT_MASTER!$A:$F,MATCH('FINAL DATA'!I$1,PRODUCT_MASTER!$A$1:$F$1,0),0)</f>
        <v>Ft</v>
      </c>
      <c r="J258" s="7">
        <f>VLOOKUP($B258,PRODUCT_MASTER!$A:$F,MATCH('FINAL DATA'!J$1,PRODUCT_MASTER!$A$1:$F$1,0),0)</f>
        <v>120</v>
      </c>
      <c r="K258" s="7">
        <f>VLOOKUP($B258,PRODUCT_MASTER!$A:$F,MATCH('FINAL DATA'!K$1,PRODUCT_MASTER!$A$1:$F$1,0),0)</f>
        <v>162</v>
      </c>
      <c r="L258" s="7">
        <f t="shared" si="15"/>
        <v>960</v>
      </c>
      <c r="M258" s="7">
        <f t="shared" si="16"/>
        <v>1296</v>
      </c>
      <c r="N258">
        <f t="shared" si="17"/>
        <v>24</v>
      </c>
      <c r="O258" t="str">
        <f t="shared" si="18"/>
        <v>Dec</v>
      </c>
      <c r="P258">
        <f t="shared" si="19"/>
        <v>2021</v>
      </c>
    </row>
    <row r="259" spans="1:16" x14ac:dyDescent="0.2">
      <c r="A259" s="1">
        <v>44554</v>
      </c>
      <c r="B259" t="s">
        <v>77</v>
      </c>
      <c r="C259">
        <v>8</v>
      </c>
      <c r="D259" t="s">
        <v>100</v>
      </c>
      <c r="E259" t="s">
        <v>101</v>
      </c>
      <c r="F259" s="5">
        <v>0</v>
      </c>
      <c r="G259" t="str">
        <f>VLOOKUP($B259,PRODUCT_MASTER!$A:$F,MATCH('FINAL DATA'!G$1,PRODUCT_MASTER!$A$1:$F$1,0),0)</f>
        <v>Product36</v>
      </c>
      <c r="H259" t="str">
        <f>VLOOKUP($B259,PRODUCT_MASTER!$A:$F,MATCH('FINAL DATA'!H$1,PRODUCT_MASTER!$A$1:$F$1,0),0)</f>
        <v>Bakery And Desserts</v>
      </c>
      <c r="I259" t="str">
        <f>VLOOKUP($B259,PRODUCT_MASTER!$A:$F,MATCH('FINAL DATA'!I$1,PRODUCT_MASTER!$A$1:$F$1,0),0)</f>
        <v>Kg</v>
      </c>
      <c r="J259" s="7">
        <f>VLOOKUP($B259,PRODUCT_MASTER!$A:$F,MATCH('FINAL DATA'!J$1,PRODUCT_MASTER!$A$1:$F$1,0),0)</f>
        <v>90</v>
      </c>
      <c r="K259" s="7">
        <f>VLOOKUP($B259,PRODUCT_MASTER!$A:$F,MATCH('FINAL DATA'!K$1,PRODUCT_MASTER!$A$1:$F$1,0),0)</f>
        <v>96.3</v>
      </c>
      <c r="L259" s="7">
        <f t="shared" ref="L259:L322" si="20">C259*J259</f>
        <v>720</v>
      </c>
      <c r="M259" s="7">
        <f t="shared" ref="M259:M322" si="21">(K259-(K259*F259))*C259</f>
        <v>770.4</v>
      </c>
      <c r="N259">
        <f t="shared" ref="N259:N322" si="22">DAY(A259)</f>
        <v>24</v>
      </c>
      <c r="O259" t="str">
        <f t="shared" ref="O259:O322" si="23">TEXT(A259,"MMM")</f>
        <v>Dec</v>
      </c>
      <c r="P259">
        <f t="shared" ref="P259:P322" si="24">YEAR(A259)</f>
        <v>2021</v>
      </c>
    </row>
    <row r="260" spans="1:16" x14ac:dyDescent="0.2">
      <c r="A260" s="1">
        <v>44556</v>
      </c>
      <c r="B260" t="s">
        <v>87</v>
      </c>
      <c r="C260">
        <v>14</v>
      </c>
      <c r="D260" t="s">
        <v>101</v>
      </c>
      <c r="E260" t="s">
        <v>102</v>
      </c>
      <c r="F260" s="5">
        <v>0</v>
      </c>
      <c r="G260" t="str">
        <f>VLOOKUP($B260,PRODUCT_MASTER!$A:$F,MATCH('FINAL DATA'!G$1,PRODUCT_MASTER!$A$1:$F$1,0),0)</f>
        <v>Product41</v>
      </c>
      <c r="H260" t="str">
        <f>VLOOKUP($B260,PRODUCT_MASTER!$A:$F,MATCH('FINAL DATA'!H$1,PRODUCT_MASTER!$A$1:$F$1,0),0)</f>
        <v>Snacks</v>
      </c>
      <c r="I260" t="str">
        <f>VLOOKUP($B260,PRODUCT_MASTER!$A:$F,MATCH('FINAL DATA'!I$1,PRODUCT_MASTER!$A$1:$F$1,0),0)</f>
        <v>Ft</v>
      </c>
      <c r="J260" s="7">
        <f>VLOOKUP($B260,PRODUCT_MASTER!$A:$F,MATCH('FINAL DATA'!J$1,PRODUCT_MASTER!$A$1:$F$1,0),0)</f>
        <v>138</v>
      </c>
      <c r="K260" s="7">
        <f>VLOOKUP($B260,PRODUCT_MASTER!$A:$F,MATCH('FINAL DATA'!K$1,PRODUCT_MASTER!$A$1:$F$1,0),0)</f>
        <v>173.88</v>
      </c>
      <c r="L260" s="7">
        <f t="shared" si="20"/>
        <v>1932</v>
      </c>
      <c r="M260" s="7">
        <f t="shared" si="21"/>
        <v>2434.3199999999997</v>
      </c>
      <c r="N260">
        <f t="shared" si="22"/>
        <v>26</v>
      </c>
      <c r="O260" t="str">
        <f t="shared" si="23"/>
        <v>Dec</v>
      </c>
      <c r="P260">
        <f t="shared" si="24"/>
        <v>2021</v>
      </c>
    </row>
    <row r="261" spans="1:16" x14ac:dyDescent="0.2">
      <c r="A261" s="1">
        <v>44557</v>
      </c>
      <c r="B261" t="s">
        <v>63</v>
      </c>
      <c r="C261">
        <v>14</v>
      </c>
      <c r="D261" t="s">
        <v>103</v>
      </c>
      <c r="E261" t="s">
        <v>102</v>
      </c>
      <c r="F261" s="5">
        <v>0</v>
      </c>
      <c r="G261" t="str">
        <f>VLOOKUP($B261,PRODUCT_MASTER!$A:$F,MATCH('FINAL DATA'!G$1,PRODUCT_MASTER!$A$1:$F$1,0),0)</f>
        <v>Product29</v>
      </c>
      <c r="H261" t="str">
        <f>VLOOKUP($B261,PRODUCT_MASTER!$A:$F,MATCH('FINAL DATA'!H$1,PRODUCT_MASTER!$A$1:$F$1,0),0)</f>
        <v>Cheese And Dairy</v>
      </c>
      <c r="I261" t="str">
        <f>VLOOKUP($B261,PRODUCT_MASTER!$A:$F,MATCH('FINAL DATA'!I$1,PRODUCT_MASTER!$A$1:$F$1,0),0)</f>
        <v>Lt</v>
      </c>
      <c r="J261" s="7">
        <f>VLOOKUP($B261,PRODUCT_MASTER!$A:$F,MATCH('FINAL DATA'!J$1,PRODUCT_MASTER!$A$1:$F$1,0),0)</f>
        <v>47</v>
      </c>
      <c r="K261" s="7">
        <f>VLOOKUP($B261,PRODUCT_MASTER!$A:$F,MATCH('FINAL DATA'!K$1,PRODUCT_MASTER!$A$1:$F$1,0),0)</f>
        <v>53.11</v>
      </c>
      <c r="L261" s="7">
        <f t="shared" si="20"/>
        <v>658</v>
      </c>
      <c r="M261" s="7">
        <f t="shared" si="21"/>
        <v>743.54</v>
      </c>
      <c r="N261">
        <f t="shared" si="22"/>
        <v>27</v>
      </c>
      <c r="O261" t="str">
        <f t="shared" si="23"/>
        <v>Dec</v>
      </c>
      <c r="P261">
        <f t="shared" si="24"/>
        <v>2021</v>
      </c>
    </row>
    <row r="262" spans="1:16" x14ac:dyDescent="0.2">
      <c r="A262" s="1">
        <v>44558</v>
      </c>
      <c r="B262" t="s">
        <v>63</v>
      </c>
      <c r="C262">
        <v>6</v>
      </c>
      <c r="D262" t="s">
        <v>103</v>
      </c>
      <c r="E262" t="s">
        <v>102</v>
      </c>
      <c r="F262" s="5">
        <v>0</v>
      </c>
      <c r="G262" t="str">
        <f>VLOOKUP($B262,PRODUCT_MASTER!$A:$F,MATCH('FINAL DATA'!G$1,PRODUCT_MASTER!$A$1:$F$1,0),0)</f>
        <v>Product29</v>
      </c>
      <c r="H262" t="str">
        <f>VLOOKUP($B262,PRODUCT_MASTER!$A:$F,MATCH('FINAL DATA'!H$1,PRODUCT_MASTER!$A$1:$F$1,0),0)</f>
        <v>Cheese And Dairy</v>
      </c>
      <c r="I262" t="str">
        <f>VLOOKUP($B262,PRODUCT_MASTER!$A:$F,MATCH('FINAL DATA'!I$1,PRODUCT_MASTER!$A$1:$F$1,0),0)</f>
        <v>Lt</v>
      </c>
      <c r="J262" s="7">
        <f>VLOOKUP($B262,PRODUCT_MASTER!$A:$F,MATCH('FINAL DATA'!J$1,PRODUCT_MASTER!$A$1:$F$1,0),0)</f>
        <v>47</v>
      </c>
      <c r="K262" s="7">
        <f>VLOOKUP($B262,PRODUCT_MASTER!$A:$F,MATCH('FINAL DATA'!K$1,PRODUCT_MASTER!$A$1:$F$1,0),0)</f>
        <v>53.11</v>
      </c>
      <c r="L262" s="7">
        <f t="shared" si="20"/>
        <v>282</v>
      </c>
      <c r="M262" s="7">
        <f t="shared" si="21"/>
        <v>318.65999999999997</v>
      </c>
      <c r="N262">
        <f t="shared" si="22"/>
        <v>28</v>
      </c>
      <c r="O262" t="str">
        <f t="shared" si="23"/>
        <v>Dec</v>
      </c>
      <c r="P262">
        <f t="shared" si="24"/>
        <v>2021</v>
      </c>
    </row>
    <row r="263" spans="1:16" x14ac:dyDescent="0.2">
      <c r="A263" s="1">
        <v>44560</v>
      </c>
      <c r="B263" t="s">
        <v>25</v>
      </c>
      <c r="C263">
        <v>13</v>
      </c>
      <c r="D263" t="s">
        <v>101</v>
      </c>
      <c r="E263" t="s">
        <v>101</v>
      </c>
      <c r="F263" s="5">
        <v>0</v>
      </c>
      <c r="G263" t="str">
        <f>VLOOKUP($B263,PRODUCT_MASTER!$A:$F,MATCH('FINAL DATA'!G$1,PRODUCT_MASTER!$A$1:$F$1,0),0)</f>
        <v>Product10</v>
      </c>
      <c r="H263" t="str">
        <f>VLOOKUP($B263,PRODUCT_MASTER!$A:$F,MATCH('FINAL DATA'!H$1,PRODUCT_MASTER!$A$1:$F$1,0),0)</f>
        <v>Gourmet Foods</v>
      </c>
      <c r="I263" t="str">
        <f>VLOOKUP($B263,PRODUCT_MASTER!$A:$F,MATCH('FINAL DATA'!I$1,PRODUCT_MASTER!$A$1:$F$1,0),0)</f>
        <v>Ft</v>
      </c>
      <c r="J263" s="7">
        <f>VLOOKUP($B263,PRODUCT_MASTER!$A:$F,MATCH('FINAL DATA'!J$1,PRODUCT_MASTER!$A$1:$F$1,0),0)</f>
        <v>148</v>
      </c>
      <c r="K263" s="7">
        <f>VLOOKUP($B263,PRODUCT_MASTER!$A:$F,MATCH('FINAL DATA'!K$1,PRODUCT_MASTER!$A$1:$F$1,0),0)</f>
        <v>164.28</v>
      </c>
      <c r="L263" s="7">
        <f t="shared" si="20"/>
        <v>1924</v>
      </c>
      <c r="M263" s="7">
        <f t="shared" si="21"/>
        <v>2135.64</v>
      </c>
      <c r="N263">
        <f t="shared" si="22"/>
        <v>30</v>
      </c>
      <c r="O263" t="str">
        <f t="shared" si="23"/>
        <v>Dec</v>
      </c>
      <c r="P263">
        <f t="shared" si="24"/>
        <v>2021</v>
      </c>
    </row>
    <row r="264" spans="1:16" x14ac:dyDescent="0.2">
      <c r="A264" s="1">
        <v>44562</v>
      </c>
      <c r="B264" t="s">
        <v>49</v>
      </c>
      <c r="C264">
        <v>1</v>
      </c>
      <c r="D264" t="s">
        <v>100</v>
      </c>
      <c r="E264" t="s">
        <v>102</v>
      </c>
      <c r="F264" s="5">
        <v>0</v>
      </c>
      <c r="G264" t="str">
        <f>VLOOKUP($B264,PRODUCT_MASTER!$A:$F,MATCH('FINAL DATA'!G$1,PRODUCT_MASTER!$A$1:$F$1,0),0)</f>
        <v>Product22</v>
      </c>
      <c r="H264" t="str">
        <f>VLOOKUP($B264,PRODUCT_MASTER!$A:$F,MATCH('FINAL DATA'!H$1,PRODUCT_MASTER!$A$1:$F$1,0),0)</f>
        <v>Seafood</v>
      </c>
      <c r="I264" t="str">
        <f>VLOOKUP($B264,PRODUCT_MASTER!$A:$F,MATCH('FINAL DATA'!I$1,PRODUCT_MASTER!$A$1:$F$1,0),0)</f>
        <v>Ft</v>
      </c>
      <c r="J264" s="7">
        <f>VLOOKUP($B264,PRODUCT_MASTER!$A:$F,MATCH('FINAL DATA'!J$1,PRODUCT_MASTER!$A$1:$F$1,0),0)</f>
        <v>121</v>
      </c>
      <c r="K264" s="7">
        <f>VLOOKUP($B264,PRODUCT_MASTER!$A:$F,MATCH('FINAL DATA'!K$1,PRODUCT_MASTER!$A$1:$F$1,0),0)</f>
        <v>141.57</v>
      </c>
      <c r="L264" s="7">
        <f t="shared" si="20"/>
        <v>121</v>
      </c>
      <c r="M264" s="7">
        <f t="shared" si="21"/>
        <v>141.57</v>
      </c>
      <c r="N264">
        <f t="shared" si="22"/>
        <v>1</v>
      </c>
      <c r="O264" t="str">
        <f t="shared" si="23"/>
        <v>Jan</v>
      </c>
      <c r="P264">
        <f t="shared" si="24"/>
        <v>2022</v>
      </c>
    </row>
    <row r="265" spans="1:16" x14ac:dyDescent="0.2">
      <c r="A265" s="1">
        <v>44563</v>
      </c>
      <c r="B265" t="s">
        <v>25</v>
      </c>
      <c r="C265">
        <v>7</v>
      </c>
      <c r="D265" t="s">
        <v>103</v>
      </c>
      <c r="E265" t="s">
        <v>102</v>
      </c>
      <c r="F265" s="5">
        <v>0</v>
      </c>
      <c r="G265" t="str">
        <f>VLOOKUP($B265,PRODUCT_MASTER!$A:$F,MATCH('FINAL DATA'!G$1,PRODUCT_MASTER!$A$1:$F$1,0),0)</f>
        <v>Product10</v>
      </c>
      <c r="H265" t="str">
        <f>VLOOKUP($B265,PRODUCT_MASTER!$A:$F,MATCH('FINAL DATA'!H$1,PRODUCT_MASTER!$A$1:$F$1,0),0)</f>
        <v>Gourmet Foods</v>
      </c>
      <c r="I265" t="str">
        <f>VLOOKUP($B265,PRODUCT_MASTER!$A:$F,MATCH('FINAL DATA'!I$1,PRODUCT_MASTER!$A$1:$F$1,0),0)</f>
        <v>Ft</v>
      </c>
      <c r="J265" s="7">
        <f>VLOOKUP($B265,PRODUCT_MASTER!$A:$F,MATCH('FINAL DATA'!J$1,PRODUCT_MASTER!$A$1:$F$1,0),0)</f>
        <v>148</v>
      </c>
      <c r="K265" s="7">
        <f>VLOOKUP($B265,PRODUCT_MASTER!$A:$F,MATCH('FINAL DATA'!K$1,PRODUCT_MASTER!$A$1:$F$1,0),0)</f>
        <v>164.28</v>
      </c>
      <c r="L265" s="7">
        <f t="shared" si="20"/>
        <v>1036</v>
      </c>
      <c r="M265" s="7">
        <f t="shared" si="21"/>
        <v>1149.96</v>
      </c>
      <c r="N265">
        <f t="shared" si="22"/>
        <v>2</v>
      </c>
      <c r="O265" t="str">
        <f t="shared" si="23"/>
        <v>Jan</v>
      </c>
      <c r="P265">
        <f t="shared" si="24"/>
        <v>2022</v>
      </c>
    </row>
    <row r="266" spans="1:16" x14ac:dyDescent="0.2">
      <c r="A266" s="1">
        <v>44563</v>
      </c>
      <c r="B266" t="s">
        <v>35</v>
      </c>
      <c r="C266">
        <v>2</v>
      </c>
      <c r="D266" t="s">
        <v>101</v>
      </c>
      <c r="E266" t="s">
        <v>102</v>
      </c>
      <c r="F266" s="5">
        <v>0</v>
      </c>
      <c r="G266" t="str">
        <f>VLOOKUP($B266,PRODUCT_MASTER!$A:$F,MATCH('FINAL DATA'!G$1,PRODUCT_MASTER!$A$1:$F$1,0),0)</f>
        <v>Product15</v>
      </c>
      <c r="H266" t="str">
        <f>VLOOKUP($B266,PRODUCT_MASTER!$A:$F,MATCH('FINAL DATA'!H$1,PRODUCT_MASTER!$A$1:$F$1,0),0)</f>
        <v>Meat</v>
      </c>
      <c r="I266" t="str">
        <f>VLOOKUP($B266,PRODUCT_MASTER!$A:$F,MATCH('FINAL DATA'!I$1,PRODUCT_MASTER!$A$1:$F$1,0),0)</f>
        <v>No.</v>
      </c>
      <c r="J266" s="7">
        <f>VLOOKUP($B266,PRODUCT_MASTER!$A:$F,MATCH('FINAL DATA'!J$1,PRODUCT_MASTER!$A$1:$F$1,0),0)</f>
        <v>12</v>
      </c>
      <c r="K266" s="7">
        <f>VLOOKUP($B266,PRODUCT_MASTER!$A:$F,MATCH('FINAL DATA'!K$1,PRODUCT_MASTER!$A$1:$F$1,0),0)</f>
        <v>15.719999999999999</v>
      </c>
      <c r="L266" s="7">
        <f t="shared" si="20"/>
        <v>24</v>
      </c>
      <c r="M266" s="7">
        <f t="shared" si="21"/>
        <v>31.439999999999998</v>
      </c>
      <c r="N266">
        <f t="shared" si="22"/>
        <v>2</v>
      </c>
      <c r="O266" t="str">
        <f t="shared" si="23"/>
        <v>Jan</v>
      </c>
      <c r="P266">
        <f t="shared" si="24"/>
        <v>2022</v>
      </c>
    </row>
    <row r="267" spans="1:16" x14ac:dyDescent="0.2">
      <c r="A267" s="1">
        <v>44563</v>
      </c>
      <c r="B267" t="s">
        <v>71</v>
      </c>
      <c r="C267">
        <v>1</v>
      </c>
      <c r="D267" t="s">
        <v>103</v>
      </c>
      <c r="E267" t="s">
        <v>102</v>
      </c>
      <c r="F267" s="5">
        <v>0</v>
      </c>
      <c r="G267" t="str">
        <f>VLOOKUP($B267,PRODUCT_MASTER!$A:$F,MATCH('FINAL DATA'!G$1,PRODUCT_MASTER!$A$1:$F$1,0),0)</f>
        <v>Product33</v>
      </c>
      <c r="H267" t="str">
        <f>VLOOKUP($B267,PRODUCT_MASTER!$A:$F,MATCH('FINAL DATA'!H$1,PRODUCT_MASTER!$A$1:$F$1,0),0)</f>
        <v>Bakery And Desserts</v>
      </c>
      <c r="I267" t="str">
        <f>VLOOKUP($B267,PRODUCT_MASTER!$A:$F,MATCH('FINAL DATA'!I$1,PRODUCT_MASTER!$A$1:$F$1,0),0)</f>
        <v>Kg</v>
      </c>
      <c r="J267" s="7">
        <f>VLOOKUP($B267,PRODUCT_MASTER!$A:$F,MATCH('FINAL DATA'!J$1,PRODUCT_MASTER!$A$1:$F$1,0),0)</f>
        <v>95</v>
      </c>
      <c r="K267" s="7">
        <f>VLOOKUP($B267,PRODUCT_MASTER!$A:$F,MATCH('FINAL DATA'!K$1,PRODUCT_MASTER!$A$1:$F$1,0),0)</f>
        <v>119.7</v>
      </c>
      <c r="L267" s="7">
        <f t="shared" si="20"/>
        <v>95</v>
      </c>
      <c r="M267" s="7">
        <f t="shared" si="21"/>
        <v>119.7</v>
      </c>
      <c r="N267">
        <f t="shared" si="22"/>
        <v>2</v>
      </c>
      <c r="O267" t="str">
        <f t="shared" si="23"/>
        <v>Jan</v>
      </c>
      <c r="P267">
        <f t="shared" si="24"/>
        <v>2022</v>
      </c>
    </row>
    <row r="268" spans="1:16" x14ac:dyDescent="0.2">
      <c r="A268" s="1">
        <v>44564</v>
      </c>
      <c r="B268" t="s">
        <v>91</v>
      </c>
      <c r="C268">
        <v>9</v>
      </c>
      <c r="D268" t="s">
        <v>103</v>
      </c>
      <c r="E268" t="s">
        <v>102</v>
      </c>
      <c r="F268" s="5">
        <v>0</v>
      </c>
      <c r="G268" t="str">
        <f>VLOOKUP($B268,PRODUCT_MASTER!$A:$F,MATCH('FINAL DATA'!G$1,PRODUCT_MASTER!$A$1:$F$1,0),0)</f>
        <v>Product43</v>
      </c>
      <c r="H268" t="str">
        <f>VLOOKUP($B268,PRODUCT_MASTER!$A:$F,MATCH('FINAL DATA'!H$1,PRODUCT_MASTER!$A$1:$F$1,0),0)</f>
        <v>Candy</v>
      </c>
      <c r="I268" t="str">
        <f>VLOOKUP($B268,PRODUCT_MASTER!$A:$F,MATCH('FINAL DATA'!I$1,PRODUCT_MASTER!$A$1:$F$1,0),0)</f>
        <v>Kg</v>
      </c>
      <c r="J268" s="7">
        <f>VLOOKUP($B268,PRODUCT_MASTER!$A:$F,MATCH('FINAL DATA'!J$1,PRODUCT_MASTER!$A$1:$F$1,0),0)</f>
        <v>67</v>
      </c>
      <c r="K268" s="7">
        <f>VLOOKUP($B268,PRODUCT_MASTER!$A:$F,MATCH('FINAL DATA'!K$1,PRODUCT_MASTER!$A$1:$F$1,0),0)</f>
        <v>83.08</v>
      </c>
      <c r="L268" s="7">
        <f t="shared" si="20"/>
        <v>603</v>
      </c>
      <c r="M268" s="7">
        <f t="shared" si="21"/>
        <v>747.72</v>
      </c>
      <c r="N268">
        <f t="shared" si="22"/>
        <v>3</v>
      </c>
      <c r="O268" t="str">
        <f t="shared" si="23"/>
        <v>Jan</v>
      </c>
      <c r="P268">
        <f t="shared" si="24"/>
        <v>2022</v>
      </c>
    </row>
    <row r="269" spans="1:16" x14ac:dyDescent="0.2">
      <c r="A269" s="1">
        <v>44565</v>
      </c>
      <c r="B269" t="s">
        <v>29</v>
      </c>
      <c r="C269">
        <v>8</v>
      </c>
      <c r="D269" t="s">
        <v>103</v>
      </c>
      <c r="E269" t="s">
        <v>101</v>
      </c>
      <c r="F269" s="5">
        <v>0</v>
      </c>
      <c r="G269" t="str">
        <f>VLOOKUP($B269,PRODUCT_MASTER!$A:$F,MATCH('FINAL DATA'!G$1,PRODUCT_MASTER!$A$1:$F$1,0),0)</f>
        <v>Product12</v>
      </c>
      <c r="H269" t="str">
        <f>VLOOKUP($B269,PRODUCT_MASTER!$A:$F,MATCH('FINAL DATA'!H$1,PRODUCT_MASTER!$A$1:$F$1,0),0)</f>
        <v>Meat</v>
      </c>
      <c r="I269" t="str">
        <f>VLOOKUP($B269,PRODUCT_MASTER!$A:$F,MATCH('FINAL DATA'!I$1,PRODUCT_MASTER!$A$1:$F$1,0),0)</f>
        <v>Kg</v>
      </c>
      <c r="J269" s="7">
        <f>VLOOKUP($B269,PRODUCT_MASTER!$A:$F,MATCH('FINAL DATA'!J$1,PRODUCT_MASTER!$A$1:$F$1,0),0)</f>
        <v>73</v>
      </c>
      <c r="K269" s="7">
        <f>VLOOKUP($B269,PRODUCT_MASTER!$A:$F,MATCH('FINAL DATA'!K$1,PRODUCT_MASTER!$A$1:$F$1,0),0)</f>
        <v>94.17</v>
      </c>
      <c r="L269" s="7">
        <f t="shared" si="20"/>
        <v>584</v>
      </c>
      <c r="M269" s="7">
        <f t="shared" si="21"/>
        <v>753.36</v>
      </c>
      <c r="N269">
        <f t="shared" si="22"/>
        <v>4</v>
      </c>
      <c r="O269" t="str">
        <f t="shared" si="23"/>
        <v>Jan</v>
      </c>
      <c r="P269">
        <f t="shared" si="24"/>
        <v>2022</v>
      </c>
    </row>
    <row r="270" spans="1:16" x14ac:dyDescent="0.2">
      <c r="A270" s="1">
        <v>44565</v>
      </c>
      <c r="B270" t="s">
        <v>63</v>
      </c>
      <c r="C270">
        <v>1</v>
      </c>
      <c r="D270" t="s">
        <v>101</v>
      </c>
      <c r="E270" t="s">
        <v>101</v>
      </c>
      <c r="F270" s="5">
        <v>0</v>
      </c>
      <c r="G270" t="str">
        <f>VLOOKUP($B270,PRODUCT_MASTER!$A:$F,MATCH('FINAL DATA'!G$1,PRODUCT_MASTER!$A$1:$F$1,0),0)</f>
        <v>Product29</v>
      </c>
      <c r="H270" t="str">
        <f>VLOOKUP($B270,PRODUCT_MASTER!$A:$F,MATCH('FINAL DATA'!H$1,PRODUCT_MASTER!$A$1:$F$1,0),0)</f>
        <v>Cheese And Dairy</v>
      </c>
      <c r="I270" t="str">
        <f>VLOOKUP($B270,PRODUCT_MASTER!$A:$F,MATCH('FINAL DATA'!I$1,PRODUCT_MASTER!$A$1:$F$1,0),0)</f>
        <v>Lt</v>
      </c>
      <c r="J270" s="7">
        <f>VLOOKUP($B270,PRODUCT_MASTER!$A:$F,MATCH('FINAL DATA'!J$1,PRODUCT_MASTER!$A$1:$F$1,0),0)</f>
        <v>47</v>
      </c>
      <c r="K270" s="7">
        <f>VLOOKUP($B270,PRODUCT_MASTER!$A:$F,MATCH('FINAL DATA'!K$1,PRODUCT_MASTER!$A$1:$F$1,0),0)</f>
        <v>53.11</v>
      </c>
      <c r="L270" s="7">
        <f t="shared" si="20"/>
        <v>47</v>
      </c>
      <c r="M270" s="7">
        <f t="shared" si="21"/>
        <v>53.11</v>
      </c>
      <c r="N270">
        <f t="shared" si="22"/>
        <v>4</v>
      </c>
      <c r="O270" t="str">
        <f t="shared" si="23"/>
        <v>Jan</v>
      </c>
      <c r="P270">
        <f t="shared" si="24"/>
        <v>2022</v>
      </c>
    </row>
    <row r="271" spans="1:16" x14ac:dyDescent="0.2">
      <c r="A271" s="1">
        <v>44570</v>
      </c>
      <c r="B271" t="s">
        <v>69</v>
      </c>
      <c r="C271">
        <v>12</v>
      </c>
      <c r="D271" t="s">
        <v>103</v>
      </c>
      <c r="E271" t="s">
        <v>101</v>
      </c>
      <c r="F271" s="5">
        <v>0</v>
      </c>
      <c r="G271" t="str">
        <f>VLOOKUP($B271,PRODUCT_MASTER!$A:$F,MATCH('FINAL DATA'!G$1,PRODUCT_MASTER!$A$1:$F$1,0),0)</f>
        <v>Product32</v>
      </c>
      <c r="H271" t="str">
        <f>VLOOKUP($B271,PRODUCT_MASTER!$A:$F,MATCH('FINAL DATA'!H$1,PRODUCT_MASTER!$A$1:$F$1,0),0)</f>
        <v>Bakery And Desserts</v>
      </c>
      <c r="I271" t="str">
        <f>VLOOKUP($B271,PRODUCT_MASTER!$A:$F,MATCH('FINAL DATA'!I$1,PRODUCT_MASTER!$A$1:$F$1,0),0)</f>
        <v>Kg</v>
      </c>
      <c r="J271" s="7">
        <f>VLOOKUP($B271,PRODUCT_MASTER!$A:$F,MATCH('FINAL DATA'!J$1,PRODUCT_MASTER!$A$1:$F$1,0),0)</f>
        <v>89</v>
      </c>
      <c r="K271" s="7">
        <f>VLOOKUP($B271,PRODUCT_MASTER!$A:$F,MATCH('FINAL DATA'!K$1,PRODUCT_MASTER!$A$1:$F$1,0),0)</f>
        <v>117.48</v>
      </c>
      <c r="L271" s="7">
        <f t="shared" si="20"/>
        <v>1068</v>
      </c>
      <c r="M271" s="7">
        <f t="shared" si="21"/>
        <v>1409.76</v>
      </c>
      <c r="N271">
        <f t="shared" si="22"/>
        <v>9</v>
      </c>
      <c r="O271" t="str">
        <f t="shared" si="23"/>
        <v>Jan</v>
      </c>
      <c r="P271">
        <f t="shared" si="24"/>
        <v>2022</v>
      </c>
    </row>
    <row r="272" spans="1:16" x14ac:dyDescent="0.2">
      <c r="A272" s="1">
        <v>44571</v>
      </c>
      <c r="B272" t="s">
        <v>73</v>
      </c>
      <c r="C272">
        <v>14</v>
      </c>
      <c r="D272" t="s">
        <v>101</v>
      </c>
      <c r="E272" t="s">
        <v>101</v>
      </c>
      <c r="F272" s="5">
        <v>0</v>
      </c>
      <c r="G272" t="str">
        <f>VLOOKUP($B272,PRODUCT_MASTER!$A:$F,MATCH('FINAL DATA'!G$1,PRODUCT_MASTER!$A$1:$F$1,0),0)</f>
        <v>Product34</v>
      </c>
      <c r="H272" t="str">
        <f>VLOOKUP($B272,PRODUCT_MASTER!$A:$F,MATCH('FINAL DATA'!H$1,PRODUCT_MASTER!$A$1:$F$1,0),0)</f>
        <v>Bakery And Desserts</v>
      </c>
      <c r="I272" t="str">
        <f>VLOOKUP($B272,PRODUCT_MASTER!$A:$F,MATCH('FINAL DATA'!I$1,PRODUCT_MASTER!$A$1:$F$1,0),0)</f>
        <v>Lt</v>
      </c>
      <c r="J272" s="7">
        <f>VLOOKUP($B272,PRODUCT_MASTER!$A:$F,MATCH('FINAL DATA'!J$1,PRODUCT_MASTER!$A$1:$F$1,0),0)</f>
        <v>55</v>
      </c>
      <c r="K272" s="7">
        <f>VLOOKUP($B272,PRODUCT_MASTER!$A:$F,MATCH('FINAL DATA'!K$1,PRODUCT_MASTER!$A$1:$F$1,0),0)</f>
        <v>58.3</v>
      </c>
      <c r="L272" s="7">
        <f t="shared" si="20"/>
        <v>770</v>
      </c>
      <c r="M272" s="7">
        <f t="shared" si="21"/>
        <v>816.19999999999993</v>
      </c>
      <c r="N272">
        <f t="shared" si="22"/>
        <v>10</v>
      </c>
      <c r="O272" t="str">
        <f t="shared" si="23"/>
        <v>Jan</v>
      </c>
      <c r="P272">
        <f t="shared" si="24"/>
        <v>2022</v>
      </c>
    </row>
    <row r="273" spans="1:16" x14ac:dyDescent="0.2">
      <c r="A273" s="1">
        <v>44572</v>
      </c>
      <c r="B273" t="s">
        <v>69</v>
      </c>
      <c r="C273">
        <v>2</v>
      </c>
      <c r="D273" t="s">
        <v>103</v>
      </c>
      <c r="E273" t="s">
        <v>101</v>
      </c>
      <c r="F273" s="5">
        <v>0</v>
      </c>
      <c r="G273" t="str">
        <f>VLOOKUP($B273,PRODUCT_MASTER!$A:$F,MATCH('FINAL DATA'!G$1,PRODUCT_MASTER!$A$1:$F$1,0),0)</f>
        <v>Product32</v>
      </c>
      <c r="H273" t="str">
        <f>VLOOKUP($B273,PRODUCT_MASTER!$A:$F,MATCH('FINAL DATA'!H$1,PRODUCT_MASTER!$A$1:$F$1,0),0)</f>
        <v>Bakery And Desserts</v>
      </c>
      <c r="I273" t="str">
        <f>VLOOKUP($B273,PRODUCT_MASTER!$A:$F,MATCH('FINAL DATA'!I$1,PRODUCT_MASTER!$A$1:$F$1,0),0)</f>
        <v>Kg</v>
      </c>
      <c r="J273" s="7">
        <f>VLOOKUP($B273,PRODUCT_MASTER!$A:$F,MATCH('FINAL DATA'!J$1,PRODUCT_MASTER!$A$1:$F$1,0),0)</f>
        <v>89</v>
      </c>
      <c r="K273" s="7">
        <f>VLOOKUP($B273,PRODUCT_MASTER!$A:$F,MATCH('FINAL DATA'!K$1,PRODUCT_MASTER!$A$1:$F$1,0),0)</f>
        <v>117.48</v>
      </c>
      <c r="L273" s="7">
        <f t="shared" si="20"/>
        <v>178</v>
      </c>
      <c r="M273" s="7">
        <f t="shared" si="21"/>
        <v>234.96</v>
      </c>
      <c r="N273">
        <f t="shared" si="22"/>
        <v>11</v>
      </c>
      <c r="O273" t="str">
        <f t="shared" si="23"/>
        <v>Jan</v>
      </c>
      <c r="P273">
        <f t="shared" si="24"/>
        <v>2022</v>
      </c>
    </row>
    <row r="274" spans="1:16" x14ac:dyDescent="0.2">
      <c r="A274" s="1">
        <v>44574</v>
      </c>
      <c r="B274" t="s">
        <v>43</v>
      </c>
      <c r="C274">
        <v>6</v>
      </c>
      <c r="D274" t="s">
        <v>101</v>
      </c>
      <c r="E274" t="s">
        <v>101</v>
      </c>
      <c r="F274" s="5">
        <v>0</v>
      </c>
      <c r="G274" t="str">
        <f>VLOOKUP($B274,PRODUCT_MASTER!$A:$F,MATCH('FINAL DATA'!G$1,PRODUCT_MASTER!$A$1:$F$1,0),0)</f>
        <v>Product19</v>
      </c>
      <c r="H274" t="str">
        <f>VLOOKUP($B274,PRODUCT_MASTER!$A:$F,MATCH('FINAL DATA'!H$1,PRODUCT_MASTER!$A$1:$F$1,0),0)</f>
        <v>Poultry</v>
      </c>
      <c r="I274" t="str">
        <f>VLOOKUP($B274,PRODUCT_MASTER!$A:$F,MATCH('FINAL DATA'!I$1,PRODUCT_MASTER!$A$1:$F$1,0),0)</f>
        <v>Ft</v>
      </c>
      <c r="J274" s="7">
        <f>VLOOKUP($B274,PRODUCT_MASTER!$A:$F,MATCH('FINAL DATA'!J$1,PRODUCT_MASTER!$A$1:$F$1,0),0)</f>
        <v>150</v>
      </c>
      <c r="K274" s="7">
        <f>VLOOKUP($B274,PRODUCT_MASTER!$A:$F,MATCH('FINAL DATA'!K$1,PRODUCT_MASTER!$A$1:$F$1,0),0)</f>
        <v>210</v>
      </c>
      <c r="L274" s="7">
        <f t="shared" si="20"/>
        <v>900</v>
      </c>
      <c r="M274" s="7">
        <f t="shared" si="21"/>
        <v>1260</v>
      </c>
      <c r="N274">
        <f t="shared" si="22"/>
        <v>13</v>
      </c>
      <c r="O274" t="str">
        <f t="shared" si="23"/>
        <v>Jan</v>
      </c>
      <c r="P274">
        <f t="shared" si="24"/>
        <v>2022</v>
      </c>
    </row>
    <row r="275" spans="1:16" x14ac:dyDescent="0.2">
      <c r="A275" s="1">
        <v>44575</v>
      </c>
      <c r="B275" t="s">
        <v>27</v>
      </c>
      <c r="C275">
        <v>14</v>
      </c>
      <c r="D275" t="s">
        <v>103</v>
      </c>
      <c r="E275" t="s">
        <v>101</v>
      </c>
      <c r="F275" s="5">
        <v>0</v>
      </c>
      <c r="G275" t="str">
        <f>VLOOKUP($B275,PRODUCT_MASTER!$A:$F,MATCH('FINAL DATA'!G$1,PRODUCT_MASTER!$A$1:$F$1,0),0)</f>
        <v>Product11</v>
      </c>
      <c r="H275" t="str">
        <f>VLOOKUP($B275,PRODUCT_MASTER!$A:$F,MATCH('FINAL DATA'!H$1,PRODUCT_MASTER!$A$1:$F$1,0),0)</f>
        <v>Gourmet Foods</v>
      </c>
      <c r="I275" t="str">
        <f>VLOOKUP($B275,PRODUCT_MASTER!$A:$F,MATCH('FINAL DATA'!I$1,PRODUCT_MASTER!$A$1:$F$1,0),0)</f>
        <v>Lt</v>
      </c>
      <c r="J275" s="7">
        <f>VLOOKUP($B275,PRODUCT_MASTER!$A:$F,MATCH('FINAL DATA'!J$1,PRODUCT_MASTER!$A$1:$F$1,0),0)</f>
        <v>44</v>
      </c>
      <c r="K275" s="7">
        <f>VLOOKUP($B275,PRODUCT_MASTER!$A:$F,MATCH('FINAL DATA'!K$1,PRODUCT_MASTER!$A$1:$F$1,0),0)</f>
        <v>48.4</v>
      </c>
      <c r="L275" s="7">
        <f t="shared" si="20"/>
        <v>616</v>
      </c>
      <c r="M275" s="7">
        <f t="shared" si="21"/>
        <v>677.6</v>
      </c>
      <c r="N275">
        <f t="shared" si="22"/>
        <v>14</v>
      </c>
      <c r="O275" t="str">
        <f t="shared" si="23"/>
        <v>Jan</v>
      </c>
      <c r="P275">
        <f t="shared" si="24"/>
        <v>2022</v>
      </c>
    </row>
    <row r="276" spans="1:16" x14ac:dyDescent="0.2">
      <c r="A276" s="1">
        <v>44576</v>
      </c>
      <c r="B276" t="s">
        <v>49</v>
      </c>
      <c r="C276">
        <v>10</v>
      </c>
      <c r="D276" t="s">
        <v>103</v>
      </c>
      <c r="E276" t="s">
        <v>102</v>
      </c>
      <c r="F276" s="5">
        <v>0</v>
      </c>
      <c r="G276" t="str">
        <f>VLOOKUP($B276,PRODUCT_MASTER!$A:$F,MATCH('FINAL DATA'!G$1,PRODUCT_MASTER!$A$1:$F$1,0),0)</f>
        <v>Product22</v>
      </c>
      <c r="H276" t="str">
        <f>VLOOKUP($B276,PRODUCT_MASTER!$A:$F,MATCH('FINAL DATA'!H$1,PRODUCT_MASTER!$A$1:$F$1,0),0)</f>
        <v>Seafood</v>
      </c>
      <c r="I276" t="str">
        <f>VLOOKUP($B276,PRODUCT_MASTER!$A:$F,MATCH('FINAL DATA'!I$1,PRODUCT_MASTER!$A$1:$F$1,0),0)</f>
        <v>Ft</v>
      </c>
      <c r="J276" s="7">
        <f>VLOOKUP($B276,PRODUCT_MASTER!$A:$F,MATCH('FINAL DATA'!J$1,PRODUCT_MASTER!$A$1:$F$1,0),0)</f>
        <v>121</v>
      </c>
      <c r="K276" s="7">
        <f>VLOOKUP($B276,PRODUCT_MASTER!$A:$F,MATCH('FINAL DATA'!K$1,PRODUCT_MASTER!$A$1:$F$1,0),0)</f>
        <v>141.57</v>
      </c>
      <c r="L276" s="7">
        <f t="shared" si="20"/>
        <v>1210</v>
      </c>
      <c r="M276" s="7">
        <f t="shared" si="21"/>
        <v>1415.6999999999998</v>
      </c>
      <c r="N276">
        <f t="shared" si="22"/>
        <v>15</v>
      </c>
      <c r="O276" t="str">
        <f t="shared" si="23"/>
        <v>Jan</v>
      </c>
      <c r="P276">
        <f t="shared" si="24"/>
        <v>2022</v>
      </c>
    </row>
    <row r="277" spans="1:16" x14ac:dyDescent="0.2">
      <c r="A277" s="1">
        <v>44577</v>
      </c>
      <c r="B277" t="s">
        <v>33</v>
      </c>
      <c r="C277">
        <v>11</v>
      </c>
      <c r="D277" t="s">
        <v>101</v>
      </c>
      <c r="E277" t="s">
        <v>102</v>
      </c>
      <c r="F277" s="5">
        <v>0</v>
      </c>
      <c r="G277" t="str">
        <f>VLOOKUP($B277,PRODUCT_MASTER!$A:$F,MATCH('FINAL DATA'!G$1,PRODUCT_MASTER!$A$1:$F$1,0),0)</f>
        <v>Product14</v>
      </c>
      <c r="H277" t="str">
        <f>VLOOKUP($B277,PRODUCT_MASTER!$A:$F,MATCH('FINAL DATA'!H$1,PRODUCT_MASTER!$A$1:$F$1,0),0)</f>
        <v>Meat</v>
      </c>
      <c r="I277" t="str">
        <f>VLOOKUP($B277,PRODUCT_MASTER!$A:$F,MATCH('FINAL DATA'!I$1,PRODUCT_MASTER!$A$1:$F$1,0),0)</f>
        <v>Kg</v>
      </c>
      <c r="J277" s="7">
        <f>VLOOKUP($B277,PRODUCT_MASTER!$A:$F,MATCH('FINAL DATA'!J$1,PRODUCT_MASTER!$A$1:$F$1,0),0)</f>
        <v>112</v>
      </c>
      <c r="K277" s="7">
        <f>VLOOKUP($B277,PRODUCT_MASTER!$A:$F,MATCH('FINAL DATA'!K$1,PRODUCT_MASTER!$A$1:$F$1,0),0)</f>
        <v>146.72</v>
      </c>
      <c r="L277" s="7">
        <f t="shared" si="20"/>
        <v>1232</v>
      </c>
      <c r="M277" s="7">
        <f t="shared" si="21"/>
        <v>1613.92</v>
      </c>
      <c r="N277">
        <f t="shared" si="22"/>
        <v>16</v>
      </c>
      <c r="O277" t="str">
        <f t="shared" si="23"/>
        <v>Jan</v>
      </c>
      <c r="P277">
        <f t="shared" si="24"/>
        <v>2022</v>
      </c>
    </row>
    <row r="278" spans="1:16" x14ac:dyDescent="0.2">
      <c r="A278" s="1">
        <v>44578</v>
      </c>
      <c r="B278" t="s">
        <v>85</v>
      </c>
      <c r="C278">
        <v>4</v>
      </c>
      <c r="D278" t="s">
        <v>101</v>
      </c>
      <c r="E278" t="s">
        <v>101</v>
      </c>
      <c r="F278" s="5">
        <v>0</v>
      </c>
      <c r="G278" t="str">
        <f>VLOOKUP($B278,PRODUCT_MASTER!$A:$F,MATCH('FINAL DATA'!G$1,PRODUCT_MASTER!$A$1:$F$1,0),0)</f>
        <v>Product40</v>
      </c>
      <c r="H278" t="str">
        <f>VLOOKUP($B278,PRODUCT_MASTER!$A:$F,MATCH('FINAL DATA'!H$1,PRODUCT_MASTER!$A$1:$F$1,0),0)</f>
        <v>Snacks</v>
      </c>
      <c r="I278" t="str">
        <f>VLOOKUP($B278,PRODUCT_MASTER!$A:$F,MATCH('FINAL DATA'!I$1,PRODUCT_MASTER!$A$1:$F$1,0),0)</f>
        <v>Kg</v>
      </c>
      <c r="J278" s="7">
        <f>VLOOKUP($B278,PRODUCT_MASTER!$A:$F,MATCH('FINAL DATA'!J$1,PRODUCT_MASTER!$A$1:$F$1,0),0)</f>
        <v>90</v>
      </c>
      <c r="K278" s="7">
        <f>VLOOKUP($B278,PRODUCT_MASTER!$A:$F,MATCH('FINAL DATA'!K$1,PRODUCT_MASTER!$A$1:$F$1,0),0)</f>
        <v>115.2</v>
      </c>
      <c r="L278" s="7">
        <f t="shared" si="20"/>
        <v>360</v>
      </c>
      <c r="M278" s="7">
        <f t="shared" si="21"/>
        <v>460.8</v>
      </c>
      <c r="N278">
        <f t="shared" si="22"/>
        <v>17</v>
      </c>
      <c r="O278" t="str">
        <f t="shared" si="23"/>
        <v>Jan</v>
      </c>
      <c r="P278">
        <f t="shared" si="24"/>
        <v>2022</v>
      </c>
    </row>
    <row r="279" spans="1:16" x14ac:dyDescent="0.2">
      <c r="A279" s="1">
        <v>44579</v>
      </c>
      <c r="B279" t="s">
        <v>21</v>
      </c>
      <c r="C279">
        <v>9</v>
      </c>
      <c r="D279" t="s">
        <v>100</v>
      </c>
      <c r="E279" t="s">
        <v>102</v>
      </c>
      <c r="F279" s="5">
        <v>0</v>
      </c>
      <c r="G279" t="str">
        <f>VLOOKUP($B279,PRODUCT_MASTER!$A:$F,MATCH('FINAL DATA'!G$1,PRODUCT_MASTER!$A$1:$F$1,0),0)</f>
        <v>Product08</v>
      </c>
      <c r="H279" t="str">
        <f>VLOOKUP($B279,PRODUCT_MASTER!$A:$F,MATCH('FINAL DATA'!H$1,PRODUCT_MASTER!$A$1:$F$1,0),0)</f>
        <v>Gourmet Foods</v>
      </c>
      <c r="I279" t="str">
        <f>VLOOKUP($B279,PRODUCT_MASTER!$A:$F,MATCH('FINAL DATA'!I$1,PRODUCT_MASTER!$A$1:$F$1,0),0)</f>
        <v>Kg</v>
      </c>
      <c r="J279" s="7">
        <f>VLOOKUP($B279,PRODUCT_MASTER!$A:$F,MATCH('FINAL DATA'!J$1,PRODUCT_MASTER!$A$1:$F$1,0),0)</f>
        <v>83</v>
      </c>
      <c r="K279" s="7">
        <f>VLOOKUP($B279,PRODUCT_MASTER!$A:$F,MATCH('FINAL DATA'!K$1,PRODUCT_MASTER!$A$1:$F$1,0),0)</f>
        <v>94.62</v>
      </c>
      <c r="L279" s="7">
        <f t="shared" si="20"/>
        <v>747</v>
      </c>
      <c r="M279" s="7">
        <f t="shared" si="21"/>
        <v>851.58</v>
      </c>
      <c r="N279">
        <f t="shared" si="22"/>
        <v>18</v>
      </c>
      <c r="O279" t="str">
        <f t="shared" si="23"/>
        <v>Jan</v>
      </c>
      <c r="P279">
        <f t="shared" si="24"/>
        <v>2022</v>
      </c>
    </row>
    <row r="280" spans="1:16" x14ac:dyDescent="0.2">
      <c r="A280" s="1">
        <v>44581</v>
      </c>
      <c r="B280" t="s">
        <v>47</v>
      </c>
      <c r="C280">
        <v>2</v>
      </c>
      <c r="D280" t="s">
        <v>103</v>
      </c>
      <c r="E280" t="s">
        <v>102</v>
      </c>
      <c r="F280" s="5">
        <v>0</v>
      </c>
      <c r="G280" t="str">
        <f>VLOOKUP($B280,PRODUCT_MASTER!$A:$F,MATCH('FINAL DATA'!G$1,PRODUCT_MASTER!$A$1:$F$1,0),0)</f>
        <v>Product21</v>
      </c>
      <c r="H280" t="str">
        <f>VLOOKUP($B280,PRODUCT_MASTER!$A:$F,MATCH('FINAL DATA'!H$1,PRODUCT_MASTER!$A$1:$F$1,0),0)</f>
        <v>Poultry</v>
      </c>
      <c r="I280" t="str">
        <f>VLOOKUP($B280,PRODUCT_MASTER!$A:$F,MATCH('FINAL DATA'!I$1,PRODUCT_MASTER!$A$1:$F$1,0),0)</f>
        <v>Ft</v>
      </c>
      <c r="J280" s="7">
        <f>VLOOKUP($B280,PRODUCT_MASTER!$A:$F,MATCH('FINAL DATA'!J$1,PRODUCT_MASTER!$A$1:$F$1,0),0)</f>
        <v>126</v>
      </c>
      <c r="K280" s="7">
        <f>VLOOKUP($B280,PRODUCT_MASTER!$A:$F,MATCH('FINAL DATA'!K$1,PRODUCT_MASTER!$A$1:$F$1,0),0)</f>
        <v>162.54</v>
      </c>
      <c r="L280" s="7">
        <f t="shared" si="20"/>
        <v>252</v>
      </c>
      <c r="M280" s="7">
        <f t="shared" si="21"/>
        <v>325.08</v>
      </c>
      <c r="N280">
        <f t="shared" si="22"/>
        <v>20</v>
      </c>
      <c r="O280" t="str">
        <f t="shared" si="23"/>
        <v>Jan</v>
      </c>
      <c r="P280">
        <f t="shared" si="24"/>
        <v>2022</v>
      </c>
    </row>
    <row r="281" spans="1:16" x14ac:dyDescent="0.2">
      <c r="A281" s="1">
        <v>44581</v>
      </c>
      <c r="B281" t="s">
        <v>33</v>
      </c>
      <c r="C281">
        <v>7</v>
      </c>
      <c r="D281" t="s">
        <v>101</v>
      </c>
      <c r="E281" t="s">
        <v>101</v>
      </c>
      <c r="F281" s="5">
        <v>0</v>
      </c>
      <c r="G281" t="str">
        <f>VLOOKUP($B281,PRODUCT_MASTER!$A:$F,MATCH('FINAL DATA'!G$1,PRODUCT_MASTER!$A$1:$F$1,0),0)</f>
        <v>Product14</v>
      </c>
      <c r="H281" t="str">
        <f>VLOOKUP($B281,PRODUCT_MASTER!$A:$F,MATCH('FINAL DATA'!H$1,PRODUCT_MASTER!$A$1:$F$1,0),0)</f>
        <v>Meat</v>
      </c>
      <c r="I281" t="str">
        <f>VLOOKUP($B281,PRODUCT_MASTER!$A:$F,MATCH('FINAL DATA'!I$1,PRODUCT_MASTER!$A$1:$F$1,0),0)</f>
        <v>Kg</v>
      </c>
      <c r="J281" s="7">
        <f>VLOOKUP($B281,PRODUCT_MASTER!$A:$F,MATCH('FINAL DATA'!J$1,PRODUCT_MASTER!$A$1:$F$1,0),0)</f>
        <v>112</v>
      </c>
      <c r="K281" s="7">
        <f>VLOOKUP($B281,PRODUCT_MASTER!$A:$F,MATCH('FINAL DATA'!K$1,PRODUCT_MASTER!$A$1:$F$1,0),0)</f>
        <v>146.72</v>
      </c>
      <c r="L281" s="7">
        <f t="shared" si="20"/>
        <v>784</v>
      </c>
      <c r="M281" s="7">
        <f t="shared" si="21"/>
        <v>1027.04</v>
      </c>
      <c r="N281">
        <f t="shared" si="22"/>
        <v>20</v>
      </c>
      <c r="O281" t="str">
        <f t="shared" si="23"/>
        <v>Jan</v>
      </c>
      <c r="P281">
        <f t="shared" si="24"/>
        <v>2022</v>
      </c>
    </row>
    <row r="282" spans="1:16" x14ac:dyDescent="0.2">
      <c r="A282" s="1">
        <v>44583</v>
      </c>
      <c r="B282" t="s">
        <v>6</v>
      </c>
      <c r="C282">
        <v>6</v>
      </c>
      <c r="D282" t="s">
        <v>101</v>
      </c>
      <c r="E282" t="s">
        <v>102</v>
      </c>
      <c r="F282" s="5">
        <v>0</v>
      </c>
      <c r="G282" t="str">
        <f>VLOOKUP($B282,PRODUCT_MASTER!$A:$F,MATCH('FINAL DATA'!G$1,PRODUCT_MASTER!$A$1:$F$1,0),0)</f>
        <v>Product01</v>
      </c>
      <c r="H282" t="str">
        <f>VLOOKUP($B282,PRODUCT_MASTER!$A:$F,MATCH('FINAL DATA'!H$1,PRODUCT_MASTER!$A$1:$F$1,0),0)</f>
        <v>Organic</v>
      </c>
      <c r="I282" t="str">
        <f>VLOOKUP($B282,PRODUCT_MASTER!$A:$F,MATCH('FINAL DATA'!I$1,PRODUCT_MASTER!$A$1:$F$1,0),0)</f>
        <v>Kg</v>
      </c>
      <c r="J282" s="7">
        <f>VLOOKUP($B282,PRODUCT_MASTER!$A:$F,MATCH('FINAL DATA'!J$1,PRODUCT_MASTER!$A$1:$F$1,0),0)</f>
        <v>98</v>
      </c>
      <c r="K282" s="7">
        <f>VLOOKUP($B282,PRODUCT_MASTER!$A:$F,MATCH('FINAL DATA'!K$1,PRODUCT_MASTER!$A$1:$F$1,0),0)</f>
        <v>103.88</v>
      </c>
      <c r="L282" s="7">
        <f t="shared" si="20"/>
        <v>588</v>
      </c>
      <c r="M282" s="7">
        <f t="shared" si="21"/>
        <v>623.28</v>
      </c>
      <c r="N282">
        <f t="shared" si="22"/>
        <v>22</v>
      </c>
      <c r="O282" t="str">
        <f t="shared" si="23"/>
        <v>Jan</v>
      </c>
      <c r="P282">
        <f t="shared" si="24"/>
        <v>2022</v>
      </c>
    </row>
    <row r="283" spans="1:16" x14ac:dyDescent="0.2">
      <c r="A283" s="1">
        <v>44584</v>
      </c>
      <c r="B283" t="s">
        <v>9</v>
      </c>
      <c r="C283">
        <v>5</v>
      </c>
      <c r="D283" t="s">
        <v>100</v>
      </c>
      <c r="E283" t="s">
        <v>102</v>
      </c>
      <c r="F283" s="5">
        <v>0</v>
      </c>
      <c r="G283" t="str">
        <f>VLOOKUP($B283,PRODUCT_MASTER!$A:$F,MATCH('FINAL DATA'!G$1,PRODUCT_MASTER!$A$1:$F$1,0),0)</f>
        <v>Product02</v>
      </c>
      <c r="H283" t="str">
        <f>VLOOKUP($B283,PRODUCT_MASTER!$A:$F,MATCH('FINAL DATA'!H$1,PRODUCT_MASTER!$A$1:$F$1,0),0)</f>
        <v>Organic</v>
      </c>
      <c r="I283" t="str">
        <f>VLOOKUP($B283,PRODUCT_MASTER!$A:$F,MATCH('FINAL DATA'!I$1,PRODUCT_MASTER!$A$1:$F$1,0),0)</f>
        <v>Kg</v>
      </c>
      <c r="J283" s="7">
        <f>VLOOKUP($B283,PRODUCT_MASTER!$A:$F,MATCH('FINAL DATA'!J$1,PRODUCT_MASTER!$A$1:$F$1,0),0)</f>
        <v>105</v>
      </c>
      <c r="K283" s="7">
        <f>VLOOKUP($B283,PRODUCT_MASTER!$A:$F,MATCH('FINAL DATA'!K$1,PRODUCT_MASTER!$A$1:$F$1,0),0)</f>
        <v>142.80000000000001</v>
      </c>
      <c r="L283" s="7">
        <f t="shared" si="20"/>
        <v>525</v>
      </c>
      <c r="M283" s="7">
        <f t="shared" si="21"/>
        <v>714</v>
      </c>
      <c r="N283">
        <f t="shared" si="22"/>
        <v>23</v>
      </c>
      <c r="O283" t="str">
        <f t="shared" si="23"/>
        <v>Jan</v>
      </c>
      <c r="P283">
        <f t="shared" si="24"/>
        <v>2022</v>
      </c>
    </row>
    <row r="284" spans="1:16" x14ac:dyDescent="0.2">
      <c r="A284" s="1">
        <v>44584</v>
      </c>
      <c r="B284" t="s">
        <v>89</v>
      </c>
      <c r="C284">
        <v>8</v>
      </c>
      <c r="D284" t="s">
        <v>103</v>
      </c>
      <c r="E284" t="s">
        <v>101</v>
      </c>
      <c r="F284" s="5">
        <v>0</v>
      </c>
      <c r="G284" t="str">
        <f>VLOOKUP($B284,PRODUCT_MASTER!$A:$F,MATCH('FINAL DATA'!G$1,PRODUCT_MASTER!$A$1:$F$1,0),0)</f>
        <v>Product42</v>
      </c>
      <c r="H284" t="str">
        <f>VLOOKUP($B284,PRODUCT_MASTER!$A:$F,MATCH('FINAL DATA'!H$1,PRODUCT_MASTER!$A$1:$F$1,0),0)</f>
        <v>Candy</v>
      </c>
      <c r="I284" t="str">
        <f>VLOOKUP($B284,PRODUCT_MASTER!$A:$F,MATCH('FINAL DATA'!I$1,PRODUCT_MASTER!$A$1:$F$1,0),0)</f>
        <v>Ft</v>
      </c>
      <c r="J284" s="7">
        <f>VLOOKUP($B284,PRODUCT_MASTER!$A:$F,MATCH('FINAL DATA'!J$1,PRODUCT_MASTER!$A$1:$F$1,0),0)</f>
        <v>120</v>
      </c>
      <c r="K284" s="7">
        <f>VLOOKUP($B284,PRODUCT_MASTER!$A:$F,MATCH('FINAL DATA'!K$1,PRODUCT_MASTER!$A$1:$F$1,0),0)</f>
        <v>162</v>
      </c>
      <c r="L284" s="7">
        <f t="shared" si="20"/>
        <v>960</v>
      </c>
      <c r="M284" s="7">
        <f t="shared" si="21"/>
        <v>1296</v>
      </c>
      <c r="N284">
        <f t="shared" si="22"/>
        <v>23</v>
      </c>
      <c r="O284" t="str">
        <f t="shared" si="23"/>
        <v>Jan</v>
      </c>
      <c r="P284">
        <f t="shared" si="24"/>
        <v>2022</v>
      </c>
    </row>
    <row r="285" spans="1:16" x14ac:dyDescent="0.2">
      <c r="A285" s="1">
        <v>44585</v>
      </c>
      <c r="B285" t="s">
        <v>65</v>
      </c>
      <c r="C285">
        <v>15</v>
      </c>
      <c r="D285" t="s">
        <v>101</v>
      </c>
      <c r="E285" t="s">
        <v>101</v>
      </c>
      <c r="F285" s="5">
        <v>0</v>
      </c>
      <c r="G285" t="str">
        <f>VLOOKUP($B285,PRODUCT_MASTER!$A:$F,MATCH('FINAL DATA'!G$1,PRODUCT_MASTER!$A$1:$F$1,0),0)</f>
        <v>Product30</v>
      </c>
      <c r="H285" t="str">
        <f>VLOOKUP($B285,PRODUCT_MASTER!$A:$F,MATCH('FINAL DATA'!H$1,PRODUCT_MASTER!$A$1:$F$1,0),0)</f>
        <v>Cheese And Dairy</v>
      </c>
      <c r="I285" t="str">
        <f>VLOOKUP($B285,PRODUCT_MASTER!$A:$F,MATCH('FINAL DATA'!I$1,PRODUCT_MASTER!$A$1:$F$1,0),0)</f>
        <v>Ft</v>
      </c>
      <c r="J285" s="7">
        <f>VLOOKUP($B285,PRODUCT_MASTER!$A:$F,MATCH('FINAL DATA'!J$1,PRODUCT_MASTER!$A$1:$F$1,0),0)</f>
        <v>148</v>
      </c>
      <c r="K285" s="7">
        <f>VLOOKUP($B285,PRODUCT_MASTER!$A:$F,MATCH('FINAL DATA'!K$1,PRODUCT_MASTER!$A$1:$F$1,0),0)</f>
        <v>201.28</v>
      </c>
      <c r="L285" s="7">
        <f t="shared" si="20"/>
        <v>2220</v>
      </c>
      <c r="M285" s="7">
        <f t="shared" si="21"/>
        <v>3019.2</v>
      </c>
      <c r="N285">
        <f t="shared" si="22"/>
        <v>24</v>
      </c>
      <c r="O285" t="str">
        <f t="shared" si="23"/>
        <v>Jan</v>
      </c>
      <c r="P285">
        <f t="shared" si="24"/>
        <v>2022</v>
      </c>
    </row>
    <row r="286" spans="1:16" x14ac:dyDescent="0.2">
      <c r="A286" s="1">
        <v>44586</v>
      </c>
      <c r="B286" t="s">
        <v>39</v>
      </c>
      <c r="C286">
        <v>14</v>
      </c>
      <c r="D286" t="s">
        <v>103</v>
      </c>
      <c r="E286" t="s">
        <v>102</v>
      </c>
      <c r="F286" s="5">
        <v>0</v>
      </c>
      <c r="G286" t="str">
        <f>VLOOKUP($B286,PRODUCT_MASTER!$A:$F,MATCH('FINAL DATA'!G$1,PRODUCT_MASTER!$A$1:$F$1,0),0)</f>
        <v>Product17</v>
      </c>
      <c r="H286" t="str">
        <f>VLOOKUP($B286,PRODUCT_MASTER!$A:$F,MATCH('FINAL DATA'!H$1,PRODUCT_MASTER!$A$1:$F$1,0),0)</f>
        <v>Poultry</v>
      </c>
      <c r="I286" t="str">
        <f>VLOOKUP($B286,PRODUCT_MASTER!$A:$F,MATCH('FINAL DATA'!I$1,PRODUCT_MASTER!$A$1:$F$1,0),0)</f>
        <v>Ft</v>
      </c>
      <c r="J286" s="7">
        <f>VLOOKUP($B286,PRODUCT_MASTER!$A:$F,MATCH('FINAL DATA'!J$1,PRODUCT_MASTER!$A$1:$F$1,0),0)</f>
        <v>134</v>
      </c>
      <c r="K286" s="7">
        <f>VLOOKUP($B286,PRODUCT_MASTER!$A:$F,MATCH('FINAL DATA'!K$1,PRODUCT_MASTER!$A$1:$F$1,0),0)</f>
        <v>156.78</v>
      </c>
      <c r="L286" s="7">
        <f t="shared" si="20"/>
        <v>1876</v>
      </c>
      <c r="M286" s="7">
        <f t="shared" si="21"/>
        <v>2194.92</v>
      </c>
      <c r="N286">
        <f t="shared" si="22"/>
        <v>25</v>
      </c>
      <c r="O286" t="str">
        <f t="shared" si="23"/>
        <v>Jan</v>
      </c>
      <c r="P286">
        <f t="shared" si="24"/>
        <v>2022</v>
      </c>
    </row>
    <row r="287" spans="1:16" x14ac:dyDescent="0.2">
      <c r="A287" s="1">
        <v>44589</v>
      </c>
      <c r="B287" t="s">
        <v>37</v>
      </c>
      <c r="C287">
        <v>11</v>
      </c>
      <c r="D287" t="s">
        <v>103</v>
      </c>
      <c r="E287" t="s">
        <v>101</v>
      </c>
      <c r="F287" s="5">
        <v>0</v>
      </c>
      <c r="G287" t="str">
        <f>VLOOKUP($B287,PRODUCT_MASTER!$A:$F,MATCH('FINAL DATA'!G$1,PRODUCT_MASTER!$A$1:$F$1,0),0)</f>
        <v>Product16</v>
      </c>
      <c r="H287" t="str">
        <f>VLOOKUP($B287,PRODUCT_MASTER!$A:$F,MATCH('FINAL DATA'!H$1,PRODUCT_MASTER!$A$1:$F$1,0),0)</f>
        <v>Meat</v>
      </c>
      <c r="I287" t="str">
        <f>VLOOKUP($B287,PRODUCT_MASTER!$A:$F,MATCH('FINAL DATA'!I$1,PRODUCT_MASTER!$A$1:$F$1,0),0)</f>
        <v>No.</v>
      </c>
      <c r="J287" s="7">
        <f>VLOOKUP($B287,PRODUCT_MASTER!$A:$F,MATCH('FINAL DATA'!J$1,PRODUCT_MASTER!$A$1:$F$1,0),0)</f>
        <v>13</v>
      </c>
      <c r="K287" s="7">
        <f>VLOOKUP($B287,PRODUCT_MASTER!$A:$F,MATCH('FINAL DATA'!K$1,PRODUCT_MASTER!$A$1:$F$1,0),0)</f>
        <v>16.64</v>
      </c>
      <c r="L287" s="7">
        <f t="shared" si="20"/>
        <v>143</v>
      </c>
      <c r="M287" s="7">
        <f t="shared" si="21"/>
        <v>183.04000000000002</v>
      </c>
      <c r="N287">
        <f t="shared" si="22"/>
        <v>28</v>
      </c>
      <c r="O287" t="str">
        <f t="shared" si="23"/>
        <v>Jan</v>
      </c>
      <c r="P287">
        <f t="shared" si="24"/>
        <v>2022</v>
      </c>
    </row>
    <row r="288" spans="1:16" x14ac:dyDescent="0.2">
      <c r="A288" s="1">
        <v>44592</v>
      </c>
      <c r="B288" t="s">
        <v>51</v>
      </c>
      <c r="C288">
        <v>6</v>
      </c>
      <c r="D288" t="s">
        <v>101</v>
      </c>
      <c r="E288" t="s">
        <v>102</v>
      </c>
      <c r="F288" s="5">
        <v>0</v>
      </c>
      <c r="G288" t="str">
        <f>VLOOKUP($B288,PRODUCT_MASTER!$A:$F,MATCH('FINAL DATA'!G$1,PRODUCT_MASTER!$A$1:$F$1,0),0)</f>
        <v>Product23</v>
      </c>
      <c r="H288" t="str">
        <f>VLOOKUP($B288,PRODUCT_MASTER!$A:$F,MATCH('FINAL DATA'!H$1,PRODUCT_MASTER!$A$1:$F$1,0),0)</f>
        <v>Seafood</v>
      </c>
      <c r="I288" t="str">
        <f>VLOOKUP($B288,PRODUCT_MASTER!$A:$F,MATCH('FINAL DATA'!I$1,PRODUCT_MASTER!$A$1:$F$1,0),0)</f>
        <v>Ft</v>
      </c>
      <c r="J288" s="7">
        <f>VLOOKUP($B288,PRODUCT_MASTER!$A:$F,MATCH('FINAL DATA'!J$1,PRODUCT_MASTER!$A$1:$F$1,0),0)</f>
        <v>141</v>
      </c>
      <c r="K288" s="7">
        <f>VLOOKUP($B288,PRODUCT_MASTER!$A:$F,MATCH('FINAL DATA'!K$1,PRODUCT_MASTER!$A$1:$F$1,0),0)</f>
        <v>149.46</v>
      </c>
      <c r="L288" s="7">
        <f t="shared" si="20"/>
        <v>846</v>
      </c>
      <c r="M288" s="7">
        <f t="shared" si="21"/>
        <v>896.76</v>
      </c>
      <c r="N288">
        <f t="shared" si="22"/>
        <v>31</v>
      </c>
      <c r="O288" t="str">
        <f t="shared" si="23"/>
        <v>Jan</v>
      </c>
      <c r="P288">
        <f t="shared" si="24"/>
        <v>2022</v>
      </c>
    </row>
    <row r="289" spans="1:16" x14ac:dyDescent="0.2">
      <c r="A289" s="1">
        <v>44592</v>
      </c>
      <c r="B289" t="s">
        <v>87</v>
      </c>
      <c r="C289">
        <v>9</v>
      </c>
      <c r="D289" t="s">
        <v>103</v>
      </c>
      <c r="E289" t="s">
        <v>102</v>
      </c>
      <c r="F289" s="5">
        <v>0</v>
      </c>
      <c r="G289" t="str">
        <f>VLOOKUP($B289,PRODUCT_MASTER!$A:$F,MATCH('FINAL DATA'!G$1,PRODUCT_MASTER!$A$1:$F$1,0),0)</f>
        <v>Product41</v>
      </c>
      <c r="H289" t="str">
        <f>VLOOKUP($B289,PRODUCT_MASTER!$A:$F,MATCH('FINAL DATA'!H$1,PRODUCT_MASTER!$A$1:$F$1,0),0)</f>
        <v>Snacks</v>
      </c>
      <c r="I289" t="str">
        <f>VLOOKUP($B289,PRODUCT_MASTER!$A:$F,MATCH('FINAL DATA'!I$1,PRODUCT_MASTER!$A$1:$F$1,0),0)</f>
        <v>Ft</v>
      </c>
      <c r="J289" s="7">
        <f>VLOOKUP($B289,PRODUCT_MASTER!$A:$F,MATCH('FINAL DATA'!J$1,PRODUCT_MASTER!$A$1:$F$1,0),0)</f>
        <v>138</v>
      </c>
      <c r="K289" s="7">
        <f>VLOOKUP($B289,PRODUCT_MASTER!$A:$F,MATCH('FINAL DATA'!K$1,PRODUCT_MASTER!$A$1:$F$1,0),0)</f>
        <v>173.88</v>
      </c>
      <c r="L289" s="7">
        <f t="shared" si="20"/>
        <v>1242</v>
      </c>
      <c r="M289" s="7">
        <f t="shared" si="21"/>
        <v>1564.92</v>
      </c>
      <c r="N289">
        <f t="shared" si="22"/>
        <v>31</v>
      </c>
      <c r="O289" t="str">
        <f t="shared" si="23"/>
        <v>Jan</v>
      </c>
      <c r="P289">
        <f t="shared" si="24"/>
        <v>2022</v>
      </c>
    </row>
    <row r="290" spans="1:16" x14ac:dyDescent="0.2">
      <c r="A290" s="1">
        <v>44593</v>
      </c>
      <c r="B290" t="s">
        <v>15</v>
      </c>
      <c r="C290">
        <v>9</v>
      </c>
      <c r="D290" t="s">
        <v>103</v>
      </c>
      <c r="E290" t="s">
        <v>102</v>
      </c>
      <c r="F290" s="5">
        <v>0</v>
      </c>
      <c r="G290" t="str">
        <f>VLOOKUP($B290,PRODUCT_MASTER!$A:$F,MATCH('FINAL DATA'!G$1,PRODUCT_MASTER!$A$1:$F$1,0),0)</f>
        <v>Product05</v>
      </c>
      <c r="H290" t="str">
        <f>VLOOKUP($B290,PRODUCT_MASTER!$A:$F,MATCH('FINAL DATA'!H$1,PRODUCT_MASTER!$A$1:$F$1,0),0)</f>
        <v>Organic</v>
      </c>
      <c r="I290" t="str">
        <f>VLOOKUP($B290,PRODUCT_MASTER!$A:$F,MATCH('FINAL DATA'!I$1,PRODUCT_MASTER!$A$1:$F$1,0),0)</f>
        <v>Ft</v>
      </c>
      <c r="J290" s="7">
        <f>VLOOKUP($B290,PRODUCT_MASTER!$A:$F,MATCH('FINAL DATA'!J$1,PRODUCT_MASTER!$A$1:$F$1,0),0)</f>
        <v>133</v>
      </c>
      <c r="K290" s="7">
        <f>VLOOKUP($B290,PRODUCT_MASTER!$A:$F,MATCH('FINAL DATA'!K$1,PRODUCT_MASTER!$A$1:$F$1,0),0)</f>
        <v>155.61000000000001</v>
      </c>
      <c r="L290" s="7">
        <f t="shared" si="20"/>
        <v>1197</v>
      </c>
      <c r="M290" s="7">
        <f t="shared" si="21"/>
        <v>1400.4900000000002</v>
      </c>
      <c r="N290">
        <f t="shared" si="22"/>
        <v>1</v>
      </c>
      <c r="O290" t="str">
        <f t="shared" si="23"/>
        <v>Feb</v>
      </c>
      <c r="P290">
        <f t="shared" si="24"/>
        <v>2022</v>
      </c>
    </row>
    <row r="291" spans="1:16" x14ac:dyDescent="0.2">
      <c r="A291" s="1">
        <v>44595</v>
      </c>
      <c r="B291" t="s">
        <v>33</v>
      </c>
      <c r="C291">
        <v>8</v>
      </c>
      <c r="D291" t="s">
        <v>103</v>
      </c>
      <c r="E291" t="s">
        <v>101</v>
      </c>
      <c r="F291" s="5">
        <v>0</v>
      </c>
      <c r="G291" t="str">
        <f>VLOOKUP($B291,PRODUCT_MASTER!$A:$F,MATCH('FINAL DATA'!G$1,PRODUCT_MASTER!$A$1:$F$1,0),0)</f>
        <v>Product14</v>
      </c>
      <c r="H291" t="str">
        <f>VLOOKUP($B291,PRODUCT_MASTER!$A:$F,MATCH('FINAL DATA'!H$1,PRODUCT_MASTER!$A$1:$F$1,0),0)</f>
        <v>Meat</v>
      </c>
      <c r="I291" t="str">
        <f>VLOOKUP($B291,PRODUCT_MASTER!$A:$F,MATCH('FINAL DATA'!I$1,PRODUCT_MASTER!$A$1:$F$1,0),0)</f>
        <v>Kg</v>
      </c>
      <c r="J291" s="7">
        <f>VLOOKUP($B291,PRODUCT_MASTER!$A:$F,MATCH('FINAL DATA'!J$1,PRODUCT_MASTER!$A$1:$F$1,0),0)</f>
        <v>112</v>
      </c>
      <c r="K291" s="7">
        <f>VLOOKUP($B291,PRODUCT_MASTER!$A:$F,MATCH('FINAL DATA'!K$1,PRODUCT_MASTER!$A$1:$F$1,0),0)</f>
        <v>146.72</v>
      </c>
      <c r="L291" s="7">
        <f t="shared" si="20"/>
        <v>896</v>
      </c>
      <c r="M291" s="7">
        <f t="shared" si="21"/>
        <v>1173.76</v>
      </c>
      <c r="N291">
        <f t="shared" si="22"/>
        <v>3</v>
      </c>
      <c r="O291" t="str">
        <f t="shared" si="23"/>
        <v>Feb</v>
      </c>
      <c r="P291">
        <f t="shared" si="24"/>
        <v>2022</v>
      </c>
    </row>
    <row r="292" spans="1:16" x14ac:dyDescent="0.2">
      <c r="A292" s="1">
        <v>44597</v>
      </c>
      <c r="B292" t="s">
        <v>41</v>
      </c>
      <c r="C292">
        <v>6</v>
      </c>
      <c r="D292" t="s">
        <v>103</v>
      </c>
      <c r="E292" t="s">
        <v>102</v>
      </c>
      <c r="F292" s="5">
        <v>0</v>
      </c>
      <c r="G292" t="str">
        <f>VLOOKUP($B292,PRODUCT_MASTER!$A:$F,MATCH('FINAL DATA'!G$1,PRODUCT_MASTER!$A$1:$F$1,0),0)</f>
        <v>Product18</v>
      </c>
      <c r="H292" t="str">
        <f>VLOOKUP($B292,PRODUCT_MASTER!$A:$F,MATCH('FINAL DATA'!H$1,PRODUCT_MASTER!$A$1:$F$1,0),0)</f>
        <v>Poultry</v>
      </c>
      <c r="I292" t="str">
        <f>VLOOKUP($B292,PRODUCT_MASTER!$A:$F,MATCH('FINAL DATA'!I$1,PRODUCT_MASTER!$A$1:$F$1,0),0)</f>
        <v>No.</v>
      </c>
      <c r="J292" s="7">
        <f>VLOOKUP($B292,PRODUCT_MASTER!$A:$F,MATCH('FINAL DATA'!J$1,PRODUCT_MASTER!$A$1:$F$1,0),0)</f>
        <v>37</v>
      </c>
      <c r="K292" s="7">
        <f>VLOOKUP($B292,PRODUCT_MASTER!$A:$F,MATCH('FINAL DATA'!K$1,PRODUCT_MASTER!$A$1:$F$1,0),0)</f>
        <v>49.21</v>
      </c>
      <c r="L292" s="7">
        <f t="shared" si="20"/>
        <v>222</v>
      </c>
      <c r="M292" s="7">
        <f t="shared" si="21"/>
        <v>295.26</v>
      </c>
      <c r="N292">
        <f t="shared" si="22"/>
        <v>5</v>
      </c>
      <c r="O292" t="str">
        <f t="shared" si="23"/>
        <v>Feb</v>
      </c>
      <c r="P292">
        <f t="shared" si="24"/>
        <v>2022</v>
      </c>
    </row>
    <row r="293" spans="1:16" x14ac:dyDescent="0.2">
      <c r="A293" s="1">
        <v>44598</v>
      </c>
      <c r="B293" t="s">
        <v>9</v>
      </c>
      <c r="C293">
        <v>6</v>
      </c>
      <c r="D293" t="s">
        <v>103</v>
      </c>
      <c r="E293" t="s">
        <v>102</v>
      </c>
      <c r="F293" s="5">
        <v>0</v>
      </c>
      <c r="G293" t="str">
        <f>VLOOKUP($B293,PRODUCT_MASTER!$A:$F,MATCH('FINAL DATA'!G$1,PRODUCT_MASTER!$A$1:$F$1,0),0)</f>
        <v>Product02</v>
      </c>
      <c r="H293" t="str">
        <f>VLOOKUP($B293,PRODUCT_MASTER!$A:$F,MATCH('FINAL DATA'!H$1,PRODUCT_MASTER!$A$1:$F$1,0),0)</f>
        <v>Organic</v>
      </c>
      <c r="I293" t="str">
        <f>VLOOKUP($B293,PRODUCT_MASTER!$A:$F,MATCH('FINAL DATA'!I$1,PRODUCT_MASTER!$A$1:$F$1,0),0)</f>
        <v>Kg</v>
      </c>
      <c r="J293" s="7">
        <f>VLOOKUP($B293,PRODUCT_MASTER!$A:$F,MATCH('FINAL DATA'!J$1,PRODUCT_MASTER!$A$1:$F$1,0),0)</f>
        <v>105</v>
      </c>
      <c r="K293" s="7">
        <f>VLOOKUP($B293,PRODUCT_MASTER!$A:$F,MATCH('FINAL DATA'!K$1,PRODUCT_MASTER!$A$1:$F$1,0),0)</f>
        <v>142.80000000000001</v>
      </c>
      <c r="L293" s="7">
        <f t="shared" si="20"/>
        <v>630</v>
      </c>
      <c r="M293" s="7">
        <f t="shared" si="21"/>
        <v>856.80000000000007</v>
      </c>
      <c r="N293">
        <f t="shared" si="22"/>
        <v>6</v>
      </c>
      <c r="O293" t="str">
        <f t="shared" si="23"/>
        <v>Feb</v>
      </c>
      <c r="P293">
        <f t="shared" si="24"/>
        <v>2022</v>
      </c>
    </row>
    <row r="294" spans="1:16" x14ac:dyDescent="0.2">
      <c r="A294" s="1">
        <v>44600</v>
      </c>
      <c r="B294" t="s">
        <v>15</v>
      </c>
      <c r="C294">
        <v>11</v>
      </c>
      <c r="D294" t="s">
        <v>101</v>
      </c>
      <c r="E294" t="s">
        <v>102</v>
      </c>
      <c r="F294" s="5">
        <v>0</v>
      </c>
      <c r="G294" t="str">
        <f>VLOOKUP($B294,PRODUCT_MASTER!$A:$F,MATCH('FINAL DATA'!G$1,PRODUCT_MASTER!$A$1:$F$1,0),0)</f>
        <v>Product05</v>
      </c>
      <c r="H294" t="str">
        <f>VLOOKUP($B294,PRODUCT_MASTER!$A:$F,MATCH('FINAL DATA'!H$1,PRODUCT_MASTER!$A$1:$F$1,0),0)</f>
        <v>Organic</v>
      </c>
      <c r="I294" t="str">
        <f>VLOOKUP($B294,PRODUCT_MASTER!$A:$F,MATCH('FINAL DATA'!I$1,PRODUCT_MASTER!$A$1:$F$1,0),0)</f>
        <v>Ft</v>
      </c>
      <c r="J294" s="7">
        <f>VLOOKUP($B294,PRODUCT_MASTER!$A:$F,MATCH('FINAL DATA'!J$1,PRODUCT_MASTER!$A$1:$F$1,0),0)</f>
        <v>133</v>
      </c>
      <c r="K294" s="7">
        <f>VLOOKUP($B294,PRODUCT_MASTER!$A:$F,MATCH('FINAL DATA'!K$1,PRODUCT_MASTER!$A$1:$F$1,0),0)</f>
        <v>155.61000000000001</v>
      </c>
      <c r="L294" s="7">
        <f t="shared" si="20"/>
        <v>1463</v>
      </c>
      <c r="M294" s="7">
        <f t="shared" si="21"/>
        <v>1711.71</v>
      </c>
      <c r="N294">
        <f t="shared" si="22"/>
        <v>8</v>
      </c>
      <c r="O294" t="str">
        <f t="shared" si="23"/>
        <v>Feb</v>
      </c>
      <c r="P294">
        <f t="shared" si="24"/>
        <v>2022</v>
      </c>
    </row>
    <row r="295" spans="1:16" x14ac:dyDescent="0.2">
      <c r="A295" s="1">
        <v>44600</v>
      </c>
      <c r="B295" t="s">
        <v>13</v>
      </c>
      <c r="C295">
        <v>3</v>
      </c>
      <c r="D295" t="s">
        <v>101</v>
      </c>
      <c r="E295" t="s">
        <v>102</v>
      </c>
      <c r="F295" s="5">
        <v>0</v>
      </c>
      <c r="G295" t="str">
        <f>VLOOKUP($B295,PRODUCT_MASTER!$A:$F,MATCH('FINAL DATA'!G$1,PRODUCT_MASTER!$A$1:$F$1,0),0)</f>
        <v>Product04</v>
      </c>
      <c r="H295" t="str">
        <f>VLOOKUP($B295,PRODUCT_MASTER!$A:$F,MATCH('FINAL DATA'!H$1,PRODUCT_MASTER!$A$1:$F$1,0),0)</f>
        <v>Organic</v>
      </c>
      <c r="I295" t="str">
        <f>VLOOKUP($B295,PRODUCT_MASTER!$A:$F,MATCH('FINAL DATA'!I$1,PRODUCT_MASTER!$A$1:$F$1,0),0)</f>
        <v>Lt</v>
      </c>
      <c r="J295" s="7">
        <f>VLOOKUP($B295,PRODUCT_MASTER!$A:$F,MATCH('FINAL DATA'!J$1,PRODUCT_MASTER!$A$1:$F$1,0),0)</f>
        <v>44</v>
      </c>
      <c r="K295" s="7">
        <f>VLOOKUP($B295,PRODUCT_MASTER!$A:$F,MATCH('FINAL DATA'!K$1,PRODUCT_MASTER!$A$1:$F$1,0),0)</f>
        <v>48.84</v>
      </c>
      <c r="L295" s="7">
        <f t="shared" si="20"/>
        <v>132</v>
      </c>
      <c r="M295" s="7">
        <f t="shared" si="21"/>
        <v>146.52000000000001</v>
      </c>
      <c r="N295">
        <f t="shared" si="22"/>
        <v>8</v>
      </c>
      <c r="O295" t="str">
        <f t="shared" si="23"/>
        <v>Feb</v>
      </c>
      <c r="P295">
        <f t="shared" si="24"/>
        <v>2022</v>
      </c>
    </row>
    <row r="296" spans="1:16" x14ac:dyDescent="0.2">
      <c r="A296" s="1">
        <v>44601</v>
      </c>
      <c r="B296" t="s">
        <v>69</v>
      </c>
      <c r="C296">
        <v>14</v>
      </c>
      <c r="D296" t="s">
        <v>101</v>
      </c>
      <c r="E296" t="s">
        <v>101</v>
      </c>
      <c r="F296" s="5">
        <v>0</v>
      </c>
      <c r="G296" t="str">
        <f>VLOOKUP($B296,PRODUCT_MASTER!$A:$F,MATCH('FINAL DATA'!G$1,PRODUCT_MASTER!$A$1:$F$1,0),0)</f>
        <v>Product32</v>
      </c>
      <c r="H296" t="str">
        <f>VLOOKUP($B296,PRODUCT_MASTER!$A:$F,MATCH('FINAL DATA'!H$1,PRODUCT_MASTER!$A$1:$F$1,0),0)</f>
        <v>Bakery And Desserts</v>
      </c>
      <c r="I296" t="str">
        <f>VLOOKUP($B296,PRODUCT_MASTER!$A:$F,MATCH('FINAL DATA'!I$1,PRODUCT_MASTER!$A$1:$F$1,0),0)</f>
        <v>Kg</v>
      </c>
      <c r="J296" s="7">
        <f>VLOOKUP($B296,PRODUCT_MASTER!$A:$F,MATCH('FINAL DATA'!J$1,PRODUCT_MASTER!$A$1:$F$1,0),0)</f>
        <v>89</v>
      </c>
      <c r="K296" s="7">
        <f>VLOOKUP($B296,PRODUCT_MASTER!$A:$F,MATCH('FINAL DATA'!K$1,PRODUCT_MASTER!$A$1:$F$1,0),0)</f>
        <v>117.48</v>
      </c>
      <c r="L296" s="7">
        <f t="shared" si="20"/>
        <v>1246</v>
      </c>
      <c r="M296" s="7">
        <f t="shared" si="21"/>
        <v>1644.72</v>
      </c>
      <c r="N296">
        <f t="shared" si="22"/>
        <v>9</v>
      </c>
      <c r="O296" t="str">
        <f t="shared" si="23"/>
        <v>Feb</v>
      </c>
      <c r="P296">
        <f t="shared" si="24"/>
        <v>2022</v>
      </c>
    </row>
    <row r="297" spans="1:16" x14ac:dyDescent="0.2">
      <c r="A297" s="1">
        <v>44604</v>
      </c>
      <c r="B297" t="s">
        <v>25</v>
      </c>
      <c r="C297">
        <v>13</v>
      </c>
      <c r="D297" t="s">
        <v>103</v>
      </c>
      <c r="E297" t="s">
        <v>102</v>
      </c>
      <c r="F297" s="5">
        <v>0</v>
      </c>
      <c r="G297" t="str">
        <f>VLOOKUP($B297,PRODUCT_MASTER!$A:$F,MATCH('FINAL DATA'!G$1,PRODUCT_MASTER!$A$1:$F$1,0),0)</f>
        <v>Product10</v>
      </c>
      <c r="H297" t="str">
        <f>VLOOKUP($B297,PRODUCT_MASTER!$A:$F,MATCH('FINAL DATA'!H$1,PRODUCT_MASTER!$A$1:$F$1,0),0)</f>
        <v>Gourmet Foods</v>
      </c>
      <c r="I297" t="str">
        <f>VLOOKUP($B297,PRODUCT_MASTER!$A:$F,MATCH('FINAL DATA'!I$1,PRODUCT_MASTER!$A$1:$F$1,0),0)</f>
        <v>Ft</v>
      </c>
      <c r="J297" s="7">
        <f>VLOOKUP($B297,PRODUCT_MASTER!$A:$F,MATCH('FINAL DATA'!J$1,PRODUCT_MASTER!$A$1:$F$1,0),0)</f>
        <v>148</v>
      </c>
      <c r="K297" s="7">
        <f>VLOOKUP($B297,PRODUCT_MASTER!$A:$F,MATCH('FINAL DATA'!K$1,PRODUCT_MASTER!$A$1:$F$1,0),0)</f>
        <v>164.28</v>
      </c>
      <c r="L297" s="7">
        <f t="shared" si="20"/>
        <v>1924</v>
      </c>
      <c r="M297" s="7">
        <f t="shared" si="21"/>
        <v>2135.64</v>
      </c>
      <c r="N297">
        <f t="shared" si="22"/>
        <v>12</v>
      </c>
      <c r="O297" t="str">
        <f t="shared" si="23"/>
        <v>Feb</v>
      </c>
      <c r="P297">
        <f t="shared" si="24"/>
        <v>2022</v>
      </c>
    </row>
    <row r="298" spans="1:16" x14ac:dyDescent="0.2">
      <c r="A298" s="1">
        <v>44606</v>
      </c>
      <c r="B298" t="s">
        <v>57</v>
      </c>
      <c r="C298">
        <v>8</v>
      </c>
      <c r="D298" t="s">
        <v>101</v>
      </c>
      <c r="E298" t="s">
        <v>102</v>
      </c>
      <c r="F298" s="5">
        <v>0</v>
      </c>
      <c r="G298" t="str">
        <f>VLOOKUP($B298,PRODUCT_MASTER!$A:$F,MATCH('FINAL DATA'!G$1,PRODUCT_MASTER!$A$1:$F$1,0),0)</f>
        <v>Product26</v>
      </c>
      <c r="H298" t="str">
        <f>VLOOKUP($B298,PRODUCT_MASTER!$A:$F,MATCH('FINAL DATA'!H$1,PRODUCT_MASTER!$A$1:$F$1,0),0)</f>
        <v>Seafood</v>
      </c>
      <c r="I298" t="str">
        <f>VLOOKUP($B298,PRODUCT_MASTER!$A:$F,MATCH('FINAL DATA'!I$1,PRODUCT_MASTER!$A$1:$F$1,0),0)</f>
        <v>No.</v>
      </c>
      <c r="J298" s="7">
        <f>VLOOKUP($B298,PRODUCT_MASTER!$A:$F,MATCH('FINAL DATA'!J$1,PRODUCT_MASTER!$A$1:$F$1,0),0)</f>
        <v>18</v>
      </c>
      <c r="K298" s="7">
        <f>VLOOKUP($B298,PRODUCT_MASTER!$A:$F,MATCH('FINAL DATA'!K$1,PRODUCT_MASTER!$A$1:$F$1,0),0)</f>
        <v>24.66</v>
      </c>
      <c r="L298" s="7">
        <f t="shared" si="20"/>
        <v>144</v>
      </c>
      <c r="M298" s="7">
        <f t="shared" si="21"/>
        <v>197.28</v>
      </c>
      <c r="N298">
        <f t="shared" si="22"/>
        <v>14</v>
      </c>
      <c r="O298" t="str">
        <f t="shared" si="23"/>
        <v>Feb</v>
      </c>
      <c r="P298">
        <f t="shared" si="24"/>
        <v>2022</v>
      </c>
    </row>
    <row r="299" spans="1:16" x14ac:dyDescent="0.2">
      <c r="A299" s="1">
        <v>44606</v>
      </c>
      <c r="B299" t="s">
        <v>61</v>
      </c>
      <c r="C299">
        <v>3</v>
      </c>
      <c r="D299" t="s">
        <v>103</v>
      </c>
      <c r="E299" t="s">
        <v>102</v>
      </c>
      <c r="F299" s="5">
        <v>0</v>
      </c>
      <c r="G299" t="str">
        <f>VLOOKUP($B299,PRODUCT_MASTER!$A:$F,MATCH('FINAL DATA'!G$1,PRODUCT_MASTER!$A$1:$F$1,0),0)</f>
        <v>Product28</v>
      </c>
      <c r="H299" t="str">
        <f>VLOOKUP($B299,PRODUCT_MASTER!$A:$F,MATCH('FINAL DATA'!H$1,PRODUCT_MASTER!$A$1:$F$1,0),0)</f>
        <v>Cheese And Dairy</v>
      </c>
      <c r="I299" t="str">
        <f>VLOOKUP($B299,PRODUCT_MASTER!$A:$F,MATCH('FINAL DATA'!I$1,PRODUCT_MASTER!$A$1:$F$1,0),0)</f>
        <v>No.</v>
      </c>
      <c r="J299" s="7">
        <f>VLOOKUP($B299,PRODUCT_MASTER!$A:$F,MATCH('FINAL DATA'!J$1,PRODUCT_MASTER!$A$1:$F$1,0),0)</f>
        <v>37</v>
      </c>
      <c r="K299" s="7">
        <f>VLOOKUP($B299,PRODUCT_MASTER!$A:$F,MATCH('FINAL DATA'!K$1,PRODUCT_MASTER!$A$1:$F$1,0),0)</f>
        <v>41.81</v>
      </c>
      <c r="L299" s="7">
        <f t="shared" si="20"/>
        <v>111</v>
      </c>
      <c r="M299" s="7">
        <f t="shared" si="21"/>
        <v>125.43</v>
      </c>
      <c r="N299">
        <f t="shared" si="22"/>
        <v>14</v>
      </c>
      <c r="O299" t="str">
        <f t="shared" si="23"/>
        <v>Feb</v>
      </c>
      <c r="P299">
        <f t="shared" si="24"/>
        <v>2022</v>
      </c>
    </row>
    <row r="300" spans="1:16" x14ac:dyDescent="0.2">
      <c r="A300" s="1">
        <v>44608</v>
      </c>
      <c r="B300" t="s">
        <v>69</v>
      </c>
      <c r="C300">
        <v>1</v>
      </c>
      <c r="D300" t="s">
        <v>101</v>
      </c>
      <c r="E300" t="s">
        <v>102</v>
      </c>
      <c r="F300" s="5">
        <v>0</v>
      </c>
      <c r="G300" t="str">
        <f>VLOOKUP($B300,PRODUCT_MASTER!$A:$F,MATCH('FINAL DATA'!G$1,PRODUCT_MASTER!$A$1:$F$1,0),0)</f>
        <v>Product32</v>
      </c>
      <c r="H300" t="str">
        <f>VLOOKUP($B300,PRODUCT_MASTER!$A:$F,MATCH('FINAL DATA'!H$1,PRODUCT_MASTER!$A$1:$F$1,0),0)</f>
        <v>Bakery And Desserts</v>
      </c>
      <c r="I300" t="str">
        <f>VLOOKUP($B300,PRODUCT_MASTER!$A:$F,MATCH('FINAL DATA'!I$1,PRODUCT_MASTER!$A$1:$F$1,0),0)</f>
        <v>Kg</v>
      </c>
      <c r="J300" s="7">
        <f>VLOOKUP($B300,PRODUCT_MASTER!$A:$F,MATCH('FINAL DATA'!J$1,PRODUCT_MASTER!$A$1:$F$1,0),0)</f>
        <v>89</v>
      </c>
      <c r="K300" s="7">
        <f>VLOOKUP($B300,PRODUCT_MASTER!$A:$F,MATCH('FINAL DATA'!K$1,PRODUCT_MASTER!$A$1:$F$1,0),0)</f>
        <v>117.48</v>
      </c>
      <c r="L300" s="7">
        <f t="shared" si="20"/>
        <v>89</v>
      </c>
      <c r="M300" s="7">
        <f t="shared" si="21"/>
        <v>117.48</v>
      </c>
      <c r="N300">
        <f t="shared" si="22"/>
        <v>16</v>
      </c>
      <c r="O300" t="str">
        <f t="shared" si="23"/>
        <v>Feb</v>
      </c>
      <c r="P300">
        <f t="shared" si="24"/>
        <v>2022</v>
      </c>
    </row>
    <row r="301" spans="1:16" x14ac:dyDescent="0.2">
      <c r="A301" s="1">
        <v>44611</v>
      </c>
      <c r="B301" t="s">
        <v>9</v>
      </c>
      <c r="C301">
        <v>13</v>
      </c>
      <c r="D301" t="s">
        <v>101</v>
      </c>
      <c r="E301" t="s">
        <v>102</v>
      </c>
      <c r="F301" s="5">
        <v>0</v>
      </c>
      <c r="G301" t="str">
        <f>VLOOKUP($B301,PRODUCT_MASTER!$A:$F,MATCH('FINAL DATA'!G$1,PRODUCT_MASTER!$A$1:$F$1,0),0)</f>
        <v>Product02</v>
      </c>
      <c r="H301" t="str">
        <f>VLOOKUP($B301,PRODUCT_MASTER!$A:$F,MATCH('FINAL DATA'!H$1,PRODUCT_MASTER!$A$1:$F$1,0),0)</f>
        <v>Organic</v>
      </c>
      <c r="I301" t="str">
        <f>VLOOKUP($B301,PRODUCT_MASTER!$A:$F,MATCH('FINAL DATA'!I$1,PRODUCT_MASTER!$A$1:$F$1,0),0)</f>
        <v>Kg</v>
      </c>
      <c r="J301" s="7">
        <f>VLOOKUP($B301,PRODUCT_MASTER!$A:$F,MATCH('FINAL DATA'!J$1,PRODUCT_MASTER!$A$1:$F$1,0),0)</f>
        <v>105</v>
      </c>
      <c r="K301" s="7">
        <f>VLOOKUP($B301,PRODUCT_MASTER!$A:$F,MATCH('FINAL DATA'!K$1,PRODUCT_MASTER!$A$1:$F$1,0),0)</f>
        <v>142.80000000000001</v>
      </c>
      <c r="L301" s="7">
        <f t="shared" si="20"/>
        <v>1365</v>
      </c>
      <c r="M301" s="7">
        <f t="shared" si="21"/>
        <v>1856.4</v>
      </c>
      <c r="N301">
        <f t="shared" si="22"/>
        <v>19</v>
      </c>
      <c r="O301" t="str">
        <f t="shared" si="23"/>
        <v>Feb</v>
      </c>
      <c r="P301">
        <f t="shared" si="24"/>
        <v>2022</v>
      </c>
    </row>
    <row r="302" spans="1:16" x14ac:dyDescent="0.2">
      <c r="A302" s="1">
        <v>44612</v>
      </c>
      <c r="B302" t="s">
        <v>29</v>
      </c>
      <c r="C302">
        <v>6</v>
      </c>
      <c r="D302" t="s">
        <v>103</v>
      </c>
      <c r="E302" t="s">
        <v>102</v>
      </c>
      <c r="F302" s="5">
        <v>0</v>
      </c>
      <c r="G302" t="str">
        <f>VLOOKUP($B302,PRODUCT_MASTER!$A:$F,MATCH('FINAL DATA'!G$1,PRODUCT_MASTER!$A$1:$F$1,0),0)</f>
        <v>Product12</v>
      </c>
      <c r="H302" t="str">
        <f>VLOOKUP($B302,PRODUCT_MASTER!$A:$F,MATCH('FINAL DATA'!H$1,PRODUCT_MASTER!$A$1:$F$1,0),0)</f>
        <v>Meat</v>
      </c>
      <c r="I302" t="str">
        <f>VLOOKUP($B302,PRODUCT_MASTER!$A:$F,MATCH('FINAL DATA'!I$1,PRODUCT_MASTER!$A$1:$F$1,0),0)</f>
        <v>Kg</v>
      </c>
      <c r="J302" s="7">
        <f>VLOOKUP($B302,PRODUCT_MASTER!$A:$F,MATCH('FINAL DATA'!J$1,PRODUCT_MASTER!$A$1:$F$1,0),0)</f>
        <v>73</v>
      </c>
      <c r="K302" s="7">
        <f>VLOOKUP($B302,PRODUCT_MASTER!$A:$F,MATCH('FINAL DATA'!K$1,PRODUCT_MASTER!$A$1:$F$1,0),0)</f>
        <v>94.17</v>
      </c>
      <c r="L302" s="7">
        <f t="shared" si="20"/>
        <v>438</v>
      </c>
      <c r="M302" s="7">
        <f t="shared" si="21"/>
        <v>565.02</v>
      </c>
      <c r="N302">
        <f t="shared" si="22"/>
        <v>20</v>
      </c>
      <c r="O302" t="str">
        <f t="shared" si="23"/>
        <v>Feb</v>
      </c>
      <c r="P302">
        <f t="shared" si="24"/>
        <v>2022</v>
      </c>
    </row>
    <row r="303" spans="1:16" x14ac:dyDescent="0.2">
      <c r="A303" s="1">
        <v>44615</v>
      </c>
      <c r="B303" t="s">
        <v>31</v>
      </c>
      <c r="C303">
        <v>6</v>
      </c>
      <c r="D303" t="s">
        <v>101</v>
      </c>
      <c r="E303" t="s">
        <v>101</v>
      </c>
      <c r="F303" s="5">
        <v>0</v>
      </c>
      <c r="G303" t="str">
        <f>VLOOKUP($B303,PRODUCT_MASTER!$A:$F,MATCH('FINAL DATA'!G$1,PRODUCT_MASTER!$A$1:$F$1,0),0)</f>
        <v>Product13</v>
      </c>
      <c r="H303" t="str">
        <f>VLOOKUP($B303,PRODUCT_MASTER!$A:$F,MATCH('FINAL DATA'!H$1,PRODUCT_MASTER!$A$1:$F$1,0),0)</f>
        <v>Meat</v>
      </c>
      <c r="I303" t="str">
        <f>VLOOKUP($B303,PRODUCT_MASTER!$A:$F,MATCH('FINAL DATA'!I$1,PRODUCT_MASTER!$A$1:$F$1,0),0)</f>
        <v>Kg</v>
      </c>
      <c r="J303" s="7">
        <f>VLOOKUP($B303,PRODUCT_MASTER!$A:$F,MATCH('FINAL DATA'!J$1,PRODUCT_MASTER!$A$1:$F$1,0),0)</f>
        <v>112</v>
      </c>
      <c r="K303" s="7">
        <f>VLOOKUP($B303,PRODUCT_MASTER!$A:$F,MATCH('FINAL DATA'!K$1,PRODUCT_MASTER!$A$1:$F$1,0),0)</f>
        <v>122.08</v>
      </c>
      <c r="L303" s="7">
        <f t="shared" si="20"/>
        <v>672</v>
      </c>
      <c r="M303" s="7">
        <f t="shared" si="21"/>
        <v>732.48</v>
      </c>
      <c r="N303">
        <f t="shared" si="22"/>
        <v>23</v>
      </c>
      <c r="O303" t="str">
        <f t="shared" si="23"/>
        <v>Feb</v>
      </c>
      <c r="P303">
        <f t="shared" si="24"/>
        <v>2022</v>
      </c>
    </row>
    <row r="304" spans="1:16" x14ac:dyDescent="0.2">
      <c r="A304" s="1">
        <v>44615</v>
      </c>
      <c r="B304" t="s">
        <v>37</v>
      </c>
      <c r="C304">
        <v>15</v>
      </c>
      <c r="D304" t="s">
        <v>101</v>
      </c>
      <c r="E304" t="s">
        <v>102</v>
      </c>
      <c r="F304" s="5">
        <v>0</v>
      </c>
      <c r="G304" t="str">
        <f>VLOOKUP($B304,PRODUCT_MASTER!$A:$F,MATCH('FINAL DATA'!G$1,PRODUCT_MASTER!$A$1:$F$1,0),0)</f>
        <v>Product16</v>
      </c>
      <c r="H304" t="str">
        <f>VLOOKUP($B304,PRODUCT_MASTER!$A:$F,MATCH('FINAL DATA'!H$1,PRODUCT_MASTER!$A$1:$F$1,0),0)</f>
        <v>Meat</v>
      </c>
      <c r="I304" t="str">
        <f>VLOOKUP($B304,PRODUCT_MASTER!$A:$F,MATCH('FINAL DATA'!I$1,PRODUCT_MASTER!$A$1:$F$1,0),0)</f>
        <v>No.</v>
      </c>
      <c r="J304" s="7">
        <f>VLOOKUP($B304,PRODUCT_MASTER!$A:$F,MATCH('FINAL DATA'!J$1,PRODUCT_MASTER!$A$1:$F$1,0),0)</f>
        <v>13</v>
      </c>
      <c r="K304" s="7">
        <f>VLOOKUP($B304,PRODUCT_MASTER!$A:$F,MATCH('FINAL DATA'!K$1,PRODUCT_MASTER!$A$1:$F$1,0),0)</f>
        <v>16.64</v>
      </c>
      <c r="L304" s="7">
        <f t="shared" si="20"/>
        <v>195</v>
      </c>
      <c r="M304" s="7">
        <f t="shared" si="21"/>
        <v>249.60000000000002</v>
      </c>
      <c r="N304">
        <f t="shared" si="22"/>
        <v>23</v>
      </c>
      <c r="O304" t="str">
        <f t="shared" si="23"/>
        <v>Feb</v>
      </c>
      <c r="P304">
        <f t="shared" si="24"/>
        <v>2022</v>
      </c>
    </row>
    <row r="305" spans="1:16" x14ac:dyDescent="0.2">
      <c r="A305" s="1">
        <v>44615</v>
      </c>
      <c r="B305" t="s">
        <v>77</v>
      </c>
      <c r="C305">
        <v>8</v>
      </c>
      <c r="D305" t="s">
        <v>103</v>
      </c>
      <c r="E305" t="s">
        <v>101</v>
      </c>
      <c r="F305" s="5">
        <v>0</v>
      </c>
      <c r="G305" t="str">
        <f>VLOOKUP($B305,PRODUCT_MASTER!$A:$F,MATCH('FINAL DATA'!G$1,PRODUCT_MASTER!$A$1:$F$1,0),0)</f>
        <v>Product36</v>
      </c>
      <c r="H305" t="str">
        <f>VLOOKUP($B305,PRODUCT_MASTER!$A:$F,MATCH('FINAL DATA'!H$1,PRODUCT_MASTER!$A$1:$F$1,0),0)</f>
        <v>Bakery And Desserts</v>
      </c>
      <c r="I305" t="str">
        <f>VLOOKUP($B305,PRODUCT_MASTER!$A:$F,MATCH('FINAL DATA'!I$1,PRODUCT_MASTER!$A$1:$F$1,0),0)</f>
        <v>Kg</v>
      </c>
      <c r="J305" s="7">
        <f>VLOOKUP($B305,PRODUCT_MASTER!$A:$F,MATCH('FINAL DATA'!J$1,PRODUCT_MASTER!$A$1:$F$1,0),0)</f>
        <v>90</v>
      </c>
      <c r="K305" s="7">
        <f>VLOOKUP($B305,PRODUCT_MASTER!$A:$F,MATCH('FINAL DATA'!K$1,PRODUCT_MASTER!$A$1:$F$1,0),0)</f>
        <v>96.3</v>
      </c>
      <c r="L305" s="7">
        <f t="shared" si="20"/>
        <v>720</v>
      </c>
      <c r="M305" s="7">
        <f t="shared" si="21"/>
        <v>770.4</v>
      </c>
      <c r="N305">
        <f t="shared" si="22"/>
        <v>23</v>
      </c>
      <c r="O305" t="str">
        <f t="shared" si="23"/>
        <v>Feb</v>
      </c>
      <c r="P305">
        <f t="shared" si="24"/>
        <v>2022</v>
      </c>
    </row>
    <row r="306" spans="1:16" x14ac:dyDescent="0.2">
      <c r="A306" s="1">
        <v>44619</v>
      </c>
      <c r="B306" t="s">
        <v>29</v>
      </c>
      <c r="C306">
        <v>7</v>
      </c>
      <c r="D306" t="s">
        <v>103</v>
      </c>
      <c r="E306" t="s">
        <v>102</v>
      </c>
      <c r="F306" s="5">
        <v>0</v>
      </c>
      <c r="G306" t="str">
        <f>VLOOKUP($B306,PRODUCT_MASTER!$A:$F,MATCH('FINAL DATA'!G$1,PRODUCT_MASTER!$A$1:$F$1,0),0)</f>
        <v>Product12</v>
      </c>
      <c r="H306" t="str">
        <f>VLOOKUP($B306,PRODUCT_MASTER!$A:$F,MATCH('FINAL DATA'!H$1,PRODUCT_MASTER!$A$1:$F$1,0),0)</f>
        <v>Meat</v>
      </c>
      <c r="I306" t="str">
        <f>VLOOKUP($B306,PRODUCT_MASTER!$A:$F,MATCH('FINAL DATA'!I$1,PRODUCT_MASTER!$A$1:$F$1,0),0)</f>
        <v>Kg</v>
      </c>
      <c r="J306" s="7">
        <f>VLOOKUP($B306,PRODUCT_MASTER!$A:$F,MATCH('FINAL DATA'!J$1,PRODUCT_MASTER!$A$1:$F$1,0),0)</f>
        <v>73</v>
      </c>
      <c r="K306" s="7">
        <f>VLOOKUP($B306,PRODUCT_MASTER!$A:$F,MATCH('FINAL DATA'!K$1,PRODUCT_MASTER!$A$1:$F$1,0),0)</f>
        <v>94.17</v>
      </c>
      <c r="L306" s="7">
        <f t="shared" si="20"/>
        <v>511</v>
      </c>
      <c r="M306" s="7">
        <f t="shared" si="21"/>
        <v>659.19</v>
      </c>
      <c r="N306">
        <f t="shared" si="22"/>
        <v>27</v>
      </c>
      <c r="O306" t="str">
        <f t="shared" si="23"/>
        <v>Feb</v>
      </c>
      <c r="P306">
        <f t="shared" si="24"/>
        <v>2022</v>
      </c>
    </row>
    <row r="307" spans="1:16" x14ac:dyDescent="0.2">
      <c r="A307" s="1">
        <v>44619</v>
      </c>
      <c r="B307" t="s">
        <v>15</v>
      </c>
      <c r="C307">
        <v>15</v>
      </c>
      <c r="D307" t="s">
        <v>103</v>
      </c>
      <c r="E307" t="s">
        <v>101</v>
      </c>
      <c r="F307" s="5">
        <v>0</v>
      </c>
      <c r="G307" t="str">
        <f>VLOOKUP($B307,PRODUCT_MASTER!$A:$F,MATCH('FINAL DATA'!G$1,PRODUCT_MASTER!$A$1:$F$1,0),0)</f>
        <v>Product05</v>
      </c>
      <c r="H307" t="str">
        <f>VLOOKUP($B307,PRODUCT_MASTER!$A:$F,MATCH('FINAL DATA'!H$1,PRODUCT_MASTER!$A$1:$F$1,0),0)</f>
        <v>Organic</v>
      </c>
      <c r="I307" t="str">
        <f>VLOOKUP($B307,PRODUCT_MASTER!$A:$F,MATCH('FINAL DATA'!I$1,PRODUCT_MASTER!$A$1:$F$1,0),0)</f>
        <v>Ft</v>
      </c>
      <c r="J307" s="7">
        <f>VLOOKUP($B307,PRODUCT_MASTER!$A:$F,MATCH('FINAL DATA'!J$1,PRODUCT_MASTER!$A$1:$F$1,0),0)</f>
        <v>133</v>
      </c>
      <c r="K307" s="7">
        <f>VLOOKUP($B307,PRODUCT_MASTER!$A:$F,MATCH('FINAL DATA'!K$1,PRODUCT_MASTER!$A$1:$F$1,0),0)</f>
        <v>155.61000000000001</v>
      </c>
      <c r="L307" s="7">
        <f t="shared" si="20"/>
        <v>1995</v>
      </c>
      <c r="M307" s="7">
        <f t="shared" si="21"/>
        <v>2334.15</v>
      </c>
      <c r="N307">
        <f t="shared" si="22"/>
        <v>27</v>
      </c>
      <c r="O307" t="str">
        <f t="shared" si="23"/>
        <v>Feb</v>
      </c>
      <c r="P307">
        <f t="shared" si="24"/>
        <v>2022</v>
      </c>
    </row>
    <row r="308" spans="1:16" x14ac:dyDescent="0.2">
      <c r="A308" s="1">
        <v>44620</v>
      </c>
      <c r="B308" t="s">
        <v>79</v>
      </c>
      <c r="C308">
        <v>15</v>
      </c>
      <c r="D308" t="s">
        <v>103</v>
      </c>
      <c r="E308" t="s">
        <v>102</v>
      </c>
      <c r="F308" s="5">
        <v>0</v>
      </c>
      <c r="G308" t="str">
        <f>VLOOKUP($B308,PRODUCT_MASTER!$A:$F,MATCH('FINAL DATA'!G$1,PRODUCT_MASTER!$A$1:$F$1,0),0)</f>
        <v>Product37</v>
      </c>
      <c r="H308" t="str">
        <f>VLOOKUP($B308,PRODUCT_MASTER!$A:$F,MATCH('FINAL DATA'!H$1,PRODUCT_MASTER!$A$1:$F$1,0),0)</f>
        <v>Snacks</v>
      </c>
      <c r="I308" t="str">
        <f>VLOOKUP($B308,PRODUCT_MASTER!$A:$F,MATCH('FINAL DATA'!I$1,PRODUCT_MASTER!$A$1:$F$1,0),0)</f>
        <v>Kg</v>
      </c>
      <c r="J308" s="7">
        <f>VLOOKUP($B308,PRODUCT_MASTER!$A:$F,MATCH('FINAL DATA'!J$1,PRODUCT_MASTER!$A$1:$F$1,0),0)</f>
        <v>67</v>
      </c>
      <c r="K308" s="7">
        <f>VLOOKUP($B308,PRODUCT_MASTER!$A:$F,MATCH('FINAL DATA'!K$1,PRODUCT_MASTER!$A$1:$F$1,0),0)</f>
        <v>85.76</v>
      </c>
      <c r="L308" s="7">
        <f t="shared" si="20"/>
        <v>1005</v>
      </c>
      <c r="M308" s="7">
        <f t="shared" si="21"/>
        <v>1286.4000000000001</v>
      </c>
      <c r="N308">
        <f t="shared" si="22"/>
        <v>28</v>
      </c>
      <c r="O308" t="str">
        <f t="shared" si="23"/>
        <v>Feb</v>
      </c>
      <c r="P308">
        <f t="shared" si="24"/>
        <v>2022</v>
      </c>
    </row>
    <row r="309" spans="1:16" x14ac:dyDescent="0.2">
      <c r="A309" s="1">
        <v>44624</v>
      </c>
      <c r="B309" t="s">
        <v>57</v>
      </c>
      <c r="C309">
        <v>13</v>
      </c>
      <c r="D309" t="s">
        <v>100</v>
      </c>
      <c r="E309" t="s">
        <v>101</v>
      </c>
      <c r="F309" s="5">
        <v>0</v>
      </c>
      <c r="G309" t="str">
        <f>VLOOKUP($B309,PRODUCT_MASTER!$A:$F,MATCH('FINAL DATA'!G$1,PRODUCT_MASTER!$A$1:$F$1,0),0)</f>
        <v>Product26</v>
      </c>
      <c r="H309" t="str">
        <f>VLOOKUP($B309,PRODUCT_MASTER!$A:$F,MATCH('FINAL DATA'!H$1,PRODUCT_MASTER!$A$1:$F$1,0),0)</f>
        <v>Seafood</v>
      </c>
      <c r="I309" t="str">
        <f>VLOOKUP($B309,PRODUCT_MASTER!$A:$F,MATCH('FINAL DATA'!I$1,PRODUCT_MASTER!$A$1:$F$1,0),0)</f>
        <v>No.</v>
      </c>
      <c r="J309" s="7">
        <f>VLOOKUP($B309,PRODUCT_MASTER!$A:$F,MATCH('FINAL DATA'!J$1,PRODUCT_MASTER!$A$1:$F$1,0),0)</f>
        <v>18</v>
      </c>
      <c r="K309" s="7">
        <f>VLOOKUP($B309,PRODUCT_MASTER!$A:$F,MATCH('FINAL DATA'!K$1,PRODUCT_MASTER!$A$1:$F$1,0),0)</f>
        <v>24.66</v>
      </c>
      <c r="L309" s="7">
        <f t="shared" si="20"/>
        <v>234</v>
      </c>
      <c r="M309" s="7">
        <f t="shared" si="21"/>
        <v>320.58</v>
      </c>
      <c r="N309">
        <f t="shared" si="22"/>
        <v>4</v>
      </c>
      <c r="O309" t="str">
        <f t="shared" si="23"/>
        <v>Mar</v>
      </c>
      <c r="P309">
        <f t="shared" si="24"/>
        <v>2022</v>
      </c>
    </row>
    <row r="310" spans="1:16" x14ac:dyDescent="0.2">
      <c r="A310" s="1">
        <v>44626</v>
      </c>
      <c r="B310" t="s">
        <v>13</v>
      </c>
      <c r="C310">
        <v>2</v>
      </c>
      <c r="D310" t="s">
        <v>103</v>
      </c>
      <c r="E310" t="s">
        <v>102</v>
      </c>
      <c r="F310" s="5">
        <v>0</v>
      </c>
      <c r="G310" t="str">
        <f>VLOOKUP($B310,PRODUCT_MASTER!$A:$F,MATCH('FINAL DATA'!G$1,PRODUCT_MASTER!$A$1:$F$1,0),0)</f>
        <v>Product04</v>
      </c>
      <c r="H310" t="str">
        <f>VLOOKUP($B310,PRODUCT_MASTER!$A:$F,MATCH('FINAL DATA'!H$1,PRODUCT_MASTER!$A$1:$F$1,0),0)</f>
        <v>Organic</v>
      </c>
      <c r="I310" t="str">
        <f>VLOOKUP($B310,PRODUCT_MASTER!$A:$F,MATCH('FINAL DATA'!I$1,PRODUCT_MASTER!$A$1:$F$1,0),0)</f>
        <v>Lt</v>
      </c>
      <c r="J310" s="7">
        <f>VLOOKUP($B310,PRODUCT_MASTER!$A:$F,MATCH('FINAL DATA'!J$1,PRODUCT_MASTER!$A$1:$F$1,0),0)</f>
        <v>44</v>
      </c>
      <c r="K310" s="7">
        <f>VLOOKUP($B310,PRODUCT_MASTER!$A:$F,MATCH('FINAL DATA'!K$1,PRODUCT_MASTER!$A$1:$F$1,0),0)</f>
        <v>48.84</v>
      </c>
      <c r="L310" s="7">
        <f t="shared" si="20"/>
        <v>88</v>
      </c>
      <c r="M310" s="7">
        <f t="shared" si="21"/>
        <v>97.68</v>
      </c>
      <c r="N310">
        <f t="shared" si="22"/>
        <v>6</v>
      </c>
      <c r="O310" t="str">
        <f t="shared" si="23"/>
        <v>Mar</v>
      </c>
      <c r="P310">
        <f t="shared" si="24"/>
        <v>2022</v>
      </c>
    </row>
    <row r="311" spans="1:16" x14ac:dyDescent="0.2">
      <c r="A311" s="1">
        <v>44627</v>
      </c>
      <c r="B311" t="s">
        <v>11</v>
      </c>
      <c r="C311">
        <v>1</v>
      </c>
      <c r="D311" t="s">
        <v>103</v>
      </c>
      <c r="E311" t="s">
        <v>102</v>
      </c>
      <c r="F311" s="5">
        <v>0</v>
      </c>
      <c r="G311" t="str">
        <f>VLOOKUP($B311,PRODUCT_MASTER!$A:$F,MATCH('FINAL DATA'!G$1,PRODUCT_MASTER!$A$1:$F$1,0),0)</f>
        <v>Product03</v>
      </c>
      <c r="H311" t="str">
        <f>VLOOKUP($B311,PRODUCT_MASTER!$A:$F,MATCH('FINAL DATA'!H$1,PRODUCT_MASTER!$A$1:$F$1,0),0)</f>
        <v>Organic</v>
      </c>
      <c r="I311" t="str">
        <f>VLOOKUP($B311,PRODUCT_MASTER!$A:$F,MATCH('FINAL DATA'!I$1,PRODUCT_MASTER!$A$1:$F$1,0),0)</f>
        <v>Kg</v>
      </c>
      <c r="J311" s="7">
        <f>VLOOKUP($B311,PRODUCT_MASTER!$A:$F,MATCH('FINAL DATA'!J$1,PRODUCT_MASTER!$A$1:$F$1,0),0)</f>
        <v>71</v>
      </c>
      <c r="K311" s="7">
        <f>VLOOKUP($B311,PRODUCT_MASTER!$A:$F,MATCH('FINAL DATA'!K$1,PRODUCT_MASTER!$A$1:$F$1,0),0)</f>
        <v>80.94</v>
      </c>
      <c r="L311" s="7">
        <f t="shared" si="20"/>
        <v>71</v>
      </c>
      <c r="M311" s="7">
        <f t="shared" si="21"/>
        <v>80.94</v>
      </c>
      <c r="N311">
        <f t="shared" si="22"/>
        <v>7</v>
      </c>
      <c r="O311" t="str">
        <f t="shared" si="23"/>
        <v>Mar</v>
      </c>
      <c r="P311">
        <f t="shared" si="24"/>
        <v>2022</v>
      </c>
    </row>
    <row r="312" spans="1:16" x14ac:dyDescent="0.2">
      <c r="A312" s="1">
        <v>44628</v>
      </c>
      <c r="B312" t="s">
        <v>93</v>
      </c>
      <c r="C312">
        <v>6</v>
      </c>
      <c r="D312" t="s">
        <v>103</v>
      </c>
      <c r="E312" t="s">
        <v>101</v>
      </c>
      <c r="F312" s="5">
        <v>0</v>
      </c>
      <c r="G312" t="str">
        <f>VLOOKUP($B312,PRODUCT_MASTER!$A:$F,MATCH('FINAL DATA'!G$1,PRODUCT_MASTER!$A$1:$F$1,0),0)</f>
        <v>Product44</v>
      </c>
      <c r="H312" t="str">
        <f>VLOOKUP($B312,PRODUCT_MASTER!$A:$F,MATCH('FINAL DATA'!H$1,PRODUCT_MASTER!$A$1:$F$1,0),0)</f>
        <v>Candy</v>
      </c>
      <c r="I312" t="str">
        <f>VLOOKUP($B312,PRODUCT_MASTER!$A:$F,MATCH('FINAL DATA'!I$1,PRODUCT_MASTER!$A$1:$F$1,0),0)</f>
        <v>Kg</v>
      </c>
      <c r="J312" s="7">
        <f>VLOOKUP($B312,PRODUCT_MASTER!$A:$F,MATCH('FINAL DATA'!J$1,PRODUCT_MASTER!$A$1:$F$1,0),0)</f>
        <v>76</v>
      </c>
      <c r="K312" s="7">
        <f>VLOOKUP($B312,PRODUCT_MASTER!$A:$F,MATCH('FINAL DATA'!K$1,PRODUCT_MASTER!$A$1:$F$1,0),0)</f>
        <v>82.08</v>
      </c>
      <c r="L312" s="7">
        <f t="shared" si="20"/>
        <v>456</v>
      </c>
      <c r="M312" s="7">
        <f t="shared" si="21"/>
        <v>492.48</v>
      </c>
      <c r="N312">
        <f t="shared" si="22"/>
        <v>8</v>
      </c>
      <c r="O312" t="str">
        <f t="shared" si="23"/>
        <v>Mar</v>
      </c>
      <c r="P312">
        <f t="shared" si="24"/>
        <v>2022</v>
      </c>
    </row>
    <row r="313" spans="1:16" x14ac:dyDescent="0.2">
      <c r="A313" s="1">
        <v>44629</v>
      </c>
      <c r="B313" t="s">
        <v>65</v>
      </c>
      <c r="C313">
        <v>3</v>
      </c>
      <c r="D313" t="s">
        <v>103</v>
      </c>
      <c r="E313" t="s">
        <v>101</v>
      </c>
      <c r="F313" s="5">
        <v>0</v>
      </c>
      <c r="G313" t="str">
        <f>VLOOKUP($B313,PRODUCT_MASTER!$A:$F,MATCH('FINAL DATA'!G$1,PRODUCT_MASTER!$A$1:$F$1,0),0)</f>
        <v>Product30</v>
      </c>
      <c r="H313" t="str">
        <f>VLOOKUP($B313,PRODUCT_MASTER!$A:$F,MATCH('FINAL DATA'!H$1,PRODUCT_MASTER!$A$1:$F$1,0),0)</f>
        <v>Cheese And Dairy</v>
      </c>
      <c r="I313" t="str">
        <f>VLOOKUP($B313,PRODUCT_MASTER!$A:$F,MATCH('FINAL DATA'!I$1,PRODUCT_MASTER!$A$1:$F$1,0),0)</f>
        <v>Ft</v>
      </c>
      <c r="J313" s="7">
        <f>VLOOKUP($B313,PRODUCT_MASTER!$A:$F,MATCH('FINAL DATA'!J$1,PRODUCT_MASTER!$A$1:$F$1,0),0)</f>
        <v>148</v>
      </c>
      <c r="K313" s="7">
        <f>VLOOKUP($B313,PRODUCT_MASTER!$A:$F,MATCH('FINAL DATA'!K$1,PRODUCT_MASTER!$A$1:$F$1,0),0)</f>
        <v>201.28</v>
      </c>
      <c r="L313" s="7">
        <f t="shared" si="20"/>
        <v>444</v>
      </c>
      <c r="M313" s="7">
        <f t="shared" si="21"/>
        <v>603.84</v>
      </c>
      <c r="N313">
        <f t="shared" si="22"/>
        <v>9</v>
      </c>
      <c r="O313" t="str">
        <f t="shared" si="23"/>
        <v>Mar</v>
      </c>
      <c r="P313">
        <f t="shared" si="24"/>
        <v>2022</v>
      </c>
    </row>
    <row r="314" spans="1:16" x14ac:dyDescent="0.2">
      <c r="A314" s="1">
        <v>44629</v>
      </c>
      <c r="B314" t="s">
        <v>13</v>
      </c>
      <c r="C314">
        <v>11</v>
      </c>
      <c r="D314" t="s">
        <v>101</v>
      </c>
      <c r="E314" t="s">
        <v>102</v>
      </c>
      <c r="F314" s="5">
        <v>0</v>
      </c>
      <c r="G314" t="str">
        <f>VLOOKUP($B314,PRODUCT_MASTER!$A:$F,MATCH('FINAL DATA'!G$1,PRODUCT_MASTER!$A$1:$F$1,0),0)</f>
        <v>Product04</v>
      </c>
      <c r="H314" t="str">
        <f>VLOOKUP($B314,PRODUCT_MASTER!$A:$F,MATCH('FINAL DATA'!H$1,PRODUCT_MASTER!$A$1:$F$1,0),0)</f>
        <v>Organic</v>
      </c>
      <c r="I314" t="str">
        <f>VLOOKUP($B314,PRODUCT_MASTER!$A:$F,MATCH('FINAL DATA'!I$1,PRODUCT_MASTER!$A$1:$F$1,0),0)</f>
        <v>Lt</v>
      </c>
      <c r="J314" s="7">
        <f>VLOOKUP($B314,PRODUCT_MASTER!$A:$F,MATCH('FINAL DATA'!J$1,PRODUCT_MASTER!$A$1:$F$1,0),0)</f>
        <v>44</v>
      </c>
      <c r="K314" s="7">
        <f>VLOOKUP($B314,PRODUCT_MASTER!$A:$F,MATCH('FINAL DATA'!K$1,PRODUCT_MASTER!$A$1:$F$1,0),0)</f>
        <v>48.84</v>
      </c>
      <c r="L314" s="7">
        <f t="shared" si="20"/>
        <v>484</v>
      </c>
      <c r="M314" s="7">
        <f t="shared" si="21"/>
        <v>537.24</v>
      </c>
      <c r="N314">
        <f t="shared" si="22"/>
        <v>9</v>
      </c>
      <c r="O314" t="str">
        <f t="shared" si="23"/>
        <v>Mar</v>
      </c>
      <c r="P314">
        <f t="shared" si="24"/>
        <v>2022</v>
      </c>
    </row>
    <row r="315" spans="1:16" x14ac:dyDescent="0.2">
      <c r="A315" s="1">
        <v>44630</v>
      </c>
      <c r="B315" t="s">
        <v>71</v>
      </c>
      <c r="C315">
        <v>12</v>
      </c>
      <c r="D315" t="s">
        <v>100</v>
      </c>
      <c r="E315" t="s">
        <v>101</v>
      </c>
      <c r="F315" s="5">
        <v>0</v>
      </c>
      <c r="G315" t="str">
        <f>VLOOKUP($B315,PRODUCT_MASTER!$A:$F,MATCH('FINAL DATA'!G$1,PRODUCT_MASTER!$A$1:$F$1,0),0)</f>
        <v>Product33</v>
      </c>
      <c r="H315" t="str">
        <f>VLOOKUP($B315,PRODUCT_MASTER!$A:$F,MATCH('FINAL DATA'!H$1,PRODUCT_MASTER!$A$1:$F$1,0),0)</f>
        <v>Bakery And Desserts</v>
      </c>
      <c r="I315" t="str">
        <f>VLOOKUP($B315,PRODUCT_MASTER!$A:$F,MATCH('FINAL DATA'!I$1,PRODUCT_MASTER!$A$1:$F$1,0),0)</f>
        <v>Kg</v>
      </c>
      <c r="J315" s="7">
        <f>VLOOKUP($B315,PRODUCT_MASTER!$A:$F,MATCH('FINAL DATA'!J$1,PRODUCT_MASTER!$A$1:$F$1,0),0)</f>
        <v>95</v>
      </c>
      <c r="K315" s="7">
        <f>VLOOKUP($B315,PRODUCT_MASTER!$A:$F,MATCH('FINAL DATA'!K$1,PRODUCT_MASTER!$A$1:$F$1,0),0)</f>
        <v>119.7</v>
      </c>
      <c r="L315" s="7">
        <f t="shared" si="20"/>
        <v>1140</v>
      </c>
      <c r="M315" s="7">
        <f t="shared" si="21"/>
        <v>1436.4</v>
      </c>
      <c r="N315">
        <f t="shared" si="22"/>
        <v>10</v>
      </c>
      <c r="O315" t="str">
        <f t="shared" si="23"/>
        <v>Mar</v>
      </c>
      <c r="P315">
        <f t="shared" si="24"/>
        <v>2022</v>
      </c>
    </row>
    <row r="316" spans="1:16" x14ac:dyDescent="0.2">
      <c r="A316" s="1">
        <v>44634</v>
      </c>
      <c r="B316" t="s">
        <v>37</v>
      </c>
      <c r="C316">
        <v>2</v>
      </c>
      <c r="D316" t="s">
        <v>103</v>
      </c>
      <c r="E316" t="s">
        <v>102</v>
      </c>
      <c r="F316" s="5">
        <v>0</v>
      </c>
      <c r="G316" t="str">
        <f>VLOOKUP($B316,PRODUCT_MASTER!$A:$F,MATCH('FINAL DATA'!G$1,PRODUCT_MASTER!$A$1:$F$1,0),0)</f>
        <v>Product16</v>
      </c>
      <c r="H316" t="str">
        <f>VLOOKUP($B316,PRODUCT_MASTER!$A:$F,MATCH('FINAL DATA'!H$1,PRODUCT_MASTER!$A$1:$F$1,0),0)</f>
        <v>Meat</v>
      </c>
      <c r="I316" t="str">
        <f>VLOOKUP($B316,PRODUCT_MASTER!$A:$F,MATCH('FINAL DATA'!I$1,PRODUCT_MASTER!$A$1:$F$1,0),0)</f>
        <v>No.</v>
      </c>
      <c r="J316" s="7">
        <f>VLOOKUP($B316,PRODUCT_MASTER!$A:$F,MATCH('FINAL DATA'!J$1,PRODUCT_MASTER!$A$1:$F$1,0),0)</f>
        <v>13</v>
      </c>
      <c r="K316" s="7">
        <f>VLOOKUP($B316,PRODUCT_MASTER!$A:$F,MATCH('FINAL DATA'!K$1,PRODUCT_MASTER!$A$1:$F$1,0),0)</f>
        <v>16.64</v>
      </c>
      <c r="L316" s="7">
        <f t="shared" si="20"/>
        <v>26</v>
      </c>
      <c r="M316" s="7">
        <f t="shared" si="21"/>
        <v>33.28</v>
      </c>
      <c r="N316">
        <f t="shared" si="22"/>
        <v>14</v>
      </c>
      <c r="O316" t="str">
        <f t="shared" si="23"/>
        <v>Mar</v>
      </c>
      <c r="P316">
        <f t="shared" si="24"/>
        <v>2022</v>
      </c>
    </row>
    <row r="317" spans="1:16" x14ac:dyDescent="0.2">
      <c r="A317" s="1">
        <v>44634</v>
      </c>
      <c r="B317" t="s">
        <v>57</v>
      </c>
      <c r="C317">
        <v>13</v>
      </c>
      <c r="D317" t="s">
        <v>103</v>
      </c>
      <c r="E317" t="s">
        <v>101</v>
      </c>
      <c r="F317" s="5">
        <v>0</v>
      </c>
      <c r="G317" t="str">
        <f>VLOOKUP($B317,PRODUCT_MASTER!$A:$F,MATCH('FINAL DATA'!G$1,PRODUCT_MASTER!$A$1:$F$1,0),0)</f>
        <v>Product26</v>
      </c>
      <c r="H317" t="str">
        <f>VLOOKUP($B317,PRODUCT_MASTER!$A:$F,MATCH('FINAL DATA'!H$1,PRODUCT_MASTER!$A$1:$F$1,0),0)</f>
        <v>Seafood</v>
      </c>
      <c r="I317" t="str">
        <f>VLOOKUP($B317,PRODUCT_MASTER!$A:$F,MATCH('FINAL DATA'!I$1,PRODUCT_MASTER!$A$1:$F$1,0),0)</f>
        <v>No.</v>
      </c>
      <c r="J317" s="7">
        <f>VLOOKUP($B317,PRODUCT_MASTER!$A:$F,MATCH('FINAL DATA'!J$1,PRODUCT_MASTER!$A$1:$F$1,0),0)</f>
        <v>18</v>
      </c>
      <c r="K317" s="7">
        <f>VLOOKUP($B317,PRODUCT_MASTER!$A:$F,MATCH('FINAL DATA'!K$1,PRODUCT_MASTER!$A$1:$F$1,0),0)</f>
        <v>24.66</v>
      </c>
      <c r="L317" s="7">
        <f t="shared" si="20"/>
        <v>234</v>
      </c>
      <c r="M317" s="7">
        <f t="shared" si="21"/>
        <v>320.58</v>
      </c>
      <c r="N317">
        <f t="shared" si="22"/>
        <v>14</v>
      </c>
      <c r="O317" t="str">
        <f t="shared" si="23"/>
        <v>Mar</v>
      </c>
      <c r="P317">
        <f t="shared" si="24"/>
        <v>2022</v>
      </c>
    </row>
    <row r="318" spans="1:16" x14ac:dyDescent="0.2">
      <c r="A318" s="1">
        <v>44638</v>
      </c>
      <c r="B318" t="s">
        <v>43</v>
      </c>
      <c r="C318">
        <v>2</v>
      </c>
      <c r="D318" t="s">
        <v>101</v>
      </c>
      <c r="E318" t="s">
        <v>102</v>
      </c>
      <c r="F318" s="5">
        <v>0</v>
      </c>
      <c r="G318" t="str">
        <f>VLOOKUP($B318,PRODUCT_MASTER!$A:$F,MATCH('FINAL DATA'!G$1,PRODUCT_MASTER!$A$1:$F$1,0),0)</f>
        <v>Product19</v>
      </c>
      <c r="H318" t="str">
        <f>VLOOKUP($B318,PRODUCT_MASTER!$A:$F,MATCH('FINAL DATA'!H$1,PRODUCT_MASTER!$A$1:$F$1,0),0)</f>
        <v>Poultry</v>
      </c>
      <c r="I318" t="str">
        <f>VLOOKUP($B318,PRODUCT_MASTER!$A:$F,MATCH('FINAL DATA'!I$1,PRODUCT_MASTER!$A$1:$F$1,0),0)</f>
        <v>Ft</v>
      </c>
      <c r="J318" s="7">
        <f>VLOOKUP($B318,PRODUCT_MASTER!$A:$F,MATCH('FINAL DATA'!J$1,PRODUCT_MASTER!$A$1:$F$1,0),0)</f>
        <v>150</v>
      </c>
      <c r="K318" s="7">
        <f>VLOOKUP($B318,PRODUCT_MASTER!$A:$F,MATCH('FINAL DATA'!K$1,PRODUCT_MASTER!$A$1:$F$1,0),0)</f>
        <v>210</v>
      </c>
      <c r="L318" s="7">
        <f t="shared" si="20"/>
        <v>300</v>
      </c>
      <c r="M318" s="7">
        <f t="shared" si="21"/>
        <v>420</v>
      </c>
      <c r="N318">
        <f t="shared" si="22"/>
        <v>18</v>
      </c>
      <c r="O318" t="str">
        <f t="shared" si="23"/>
        <v>Mar</v>
      </c>
      <c r="P318">
        <f t="shared" si="24"/>
        <v>2022</v>
      </c>
    </row>
    <row r="319" spans="1:16" x14ac:dyDescent="0.2">
      <c r="A319" s="1">
        <v>44638</v>
      </c>
      <c r="B319" t="s">
        <v>59</v>
      </c>
      <c r="C319">
        <v>10</v>
      </c>
      <c r="D319" t="s">
        <v>103</v>
      </c>
      <c r="E319" t="s">
        <v>102</v>
      </c>
      <c r="F319" s="5">
        <v>0</v>
      </c>
      <c r="G319" t="str">
        <f>VLOOKUP($B319,PRODUCT_MASTER!$A:$F,MATCH('FINAL DATA'!G$1,PRODUCT_MASTER!$A$1:$F$1,0),0)</f>
        <v>Product27</v>
      </c>
      <c r="H319" t="str">
        <f>VLOOKUP($B319,PRODUCT_MASTER!$A:$F,MATCH('FINAL DATA'!H$1,PRODUCT_MASTER!$A$1:$F$1,0),0)</f>
        <v>Cheese And Dairy</v>
      </c>
      <c r="I319" t="str">
        <f>VLOOKUP($B319,PRODUCT_MASTER!$A:$F,MATCH('FINAL DATA'!I$1,PRODUCT_MASTER!$A$1:$F$1,0),0)</f>
        <v>Lt</v>
      </c>
      <c r="J319" s="7">
        <f>VLOOKUP($B319,PRODUCT_MASTER!$A:$F,MATCH('FINAL DATA'!J$1,PRODUCT_MASTER!$A$1:$F$1,0),0)</f>
        <v>48</v>
      </c>
      <c r="K319" s="7">
        <f>VLOOKUP($B319,PRODUCT_MASTER!$A:$F,MATCH('FINAL DATA'!K$1,PRODUCT_MASTER!$A$1:$F$1,0),0)</f>
        <v>57.120000000000005</v>
      </c>
      <c r="L319" s="7">
        <f t="shared" si="20"/>
        <v>480</v>
      </c>
      <c r="M319" s="7">
        <f t="shared" si="21"/>
        <v>571.20000000000005</v>
      </c>
      <c r="N319">
        <f t="shared" si="22"/>
        <v>18</v>
      </c>
      <c r="O319" t="str">
        <f t="shared" si="23"/>
        <v>Mar</v>
      </c>
      <c r="P319">
        <f t="shared" si="24"/>
        <v>2022</v>
      </c>
    </row>
    <row r="320" spans="1:16" x14ac:dyDescent="0.2">
      <c r="A320" s="1">
        <v>44639</v>
      </c>
      <c r="B320" t="s">
        <v>87</v>
      </c>
      <c r="C320">
        <v>6</v>
      </c>
      <c r="D320" t="s">
        <v>100</v>
      </c>
      <c r="E320" t="s">
        <v>102</v>
      </c>
      <c r="F320" s="5">
        <v>0</v>
      </c>
      <c r="G320" t="str">
        <f>VLOOKUP($B320,PRODUCT_MASTER!$A:$F,MATCH('FINAL DATA'!G$1,PRODUCT_MASTER!$A$1:$F$1,0),0)</f>
        <v>Product41</v>
      </c>
      <c r="H320" t="str">
        <f>VLOOKUP($B320,PRODUCT_MASTER!$A:$F,MATCH('FINAL DATA'!H$1,PRODUCT_MASTER!$A$1:$F$1,0),0)</f>
        <v>Snacks</v>
      </c>
      <c r="I320" t="str">
        <f>VLOOKUP($B320,PRODUCT_MASTER!$A:$F,MATCH('FINAL DATA'!I$1,PRODUCT_MASTER!$A$1:$F$1,0),0)</f>
        <v>Ft</v>
      </c>
      <c r="J320" s="7">
        <f>VLOOKUP($B320,PRODUCT_MASTER!$A:$F,MATCH('FINAL DATA'!J$1,PRODUCT_MASTER!$A$1:$F$1,0),0)</f>
        <v>138</v>
      </c>
      <c r="K320" s="7">
        <f>VLOOKUP($B320,PRODUCT_MASTER!$A:$F,MATCH('FINAL DATA'!K$1,PRODUCT_MASTER!$A$1:$F$1,0),0)</f>
        <v>173.88</v>
      </c>
      <c r="L320" s="7">
        <f t="shared" si="20"/>
        <v>828</v>
      </c>
      <c r="M320" s="7">
        <f t="shared" si="21"/>
        <v>1043.28</v>
      </c>
      <c r="N320">
        <f t="shared" si="22"/>
        <v>19</v>
      </c>
      <c r="O320" t="str">
        <f t="shared" si="23"/>
        <v>Mar</v>
      </c>
      <c r="P320">
        <f t="shared" si="24"/>
        <v>2022</v>
      </c>
    </row>
    <row r="321" spans="1:16" x14ac:dyDescent="0.2">
      <c r="A321" s="1">
        <v>44643</v>
      </c>
      <c r="B321" t="s">
        <v>69</v>
      </c>
      <c r="C321">
        <v>9</v>
      </c>
      <c r="D321" t="s">
        <v>103</v>
      </c>
      <c r="E321" t="s">
        <v>102</v>
      </c>
      <c r="F321" s="5">
        <v>0</v>
      </c>
      <c r="G321" t="str">
        <f>VLOOKUP($B321,PRODUCT_MASTER!$A:$F,MATCH('FINAL DATA'!G$1,PRODUCT_MASTER!$A$1:$F$1,0),0)</f>
        <v>Product32</v>
      </c>
      <c r="H321" t="str">
        <f>VLOOKUP($B321,PRODUCT_MASTER!$A:$F,MATCH('FINAL DATA'!H$1,PRODUCT_MASTER!$A$1:$F$1,0),0)</f>
        <v>Bakery And Desserts</v>
      </c>
      <c r="I321" t="str">
        <f>VLOOKUP($B321,PRODUCT_MASTER!$A:$F,MATCH('FINAL DATA'!I$1,PRODUCT_MASTER!$A$1:$F$1,0),0)</f>
        <v>Kg</v>
      </c>
      <c r="J321" s="7">
        <f>VLOOKUP($B321,PRODUCT_MASTER!$A:$F,MATCH('FINAL DATA'!J$1,PRODUCT_MASTER!$A$1:$F$1,0),0)</f>
        <v>89</v>
      </c>
      <c r="K321" s="7">
        <f>VLOOKUP($B321,PRODUCT_MASTER!$A:$F,MATCH('FINAL DATA'!K$1,PRODUCT_MASTER!$A$1:$F$1,0),0)</f>
        <v>117.48</v>
      </c>
      <c r="L321" s="7">
        <f t="shared" si="20"/>
        <v>801</v>
      </c>
      <c r="M321" s="7">
        <f t="shared" si="21"/>
        <v>1057.32</v>
      </c>
      <c r="N321">
        <f t="shared" si="22"/>
        <v>23</v>
      </c>
      <c r="O321" t="str">
        <f t="shared" si="23"/>
        <v>Mar</v>
      </c>
      <c r="P321">
        <f t="shared" si="24"/>
        <v>2022</v>
      </c>
    </row>
    <row r="322" spans="1:16" x14ac:dyDescent="0.2">
      <c r="A322" s="1">
        <v>44645</v>
      </c>
      <c r="B322" t="s">
        <v>6</v>
      </c>
      <c r="C322">
        <v>2</v>
      </c>
      <c r="D322" t="s">
        <v>100</v>
      </c>
      <c r="E322" t="s">
        <v>101</v>
      </c>
      <c r="F322" s="5">
        <v>0</v>
      </c>
      <c r="G322" t="str">
        <f>VLOOKUP($B322,PRODUCT_MASTER!$A:$F,MATCH('FINAL DATA'!G$1,PRODUCT_MASTER!$A$1:$F$1,0),0)</f>
        <v>Product01</v>
      </c>
      <c r="H322" t="str">
        <f>VLOOKUP($B322,PRODUCT_MASTER!$A:$F,MATCH('FINAL DATA'!H$1,PRODUCT_MASTER!$A$1:$F$1,0),0)</f>
        <v>Organic</v>
      </c>
      <c r="I322" t="str">
        <f>VLOOKUP($B322,PRODUCT_MASTER!$A:$F,MATCH('FINAL DATA'!I$1,PRODUCT_MASTER!$A$1:$F$1,0),0)</f>
        <v>Kg</v>
      </c>
      <c r="J322" s="7">
        <f>VLOOKUP($B322,PRODUCT_MASTER!$A:$F,MATCH('FINAL DATA'!J$1,PRODUCT_MASTER!$A$1:$F$1,0),0)</f>
        <v>98</v>
      </c>
      <c r="K322" s="7">
        <f>VLOOKUP($B322,PRODUCT_MASTER!$A:$F,MATCH('FINAL DATA'!K$1,PRODUCT_MASTER!$A$1:$F$1,0),0)</f>
        <v>103.88</v>
      </c>
      <c r="L322" s="7">
        <f t="shared" si="20"/>
        <v>196</v>
      </c>
      <c r="M322" s="7">
        <f t="shared" si="21"/>
        <v>207.76</v>
      </c>
      <c r="N322">
        <f t="shared" si="22"/>
        <v>25</v>
      </c>
      <c r="O322" t="str">
        <f t="shared" si="23"/>
        <v>Mar</v>
      </c>
      <c r="P322">
        <f t="shared" si="24"/>
        <v>2022</v>
      </c>
    </row>
    <row r="323" spans="1:16" x14ac:dyDescent="0.2">
      <c r="A323" s="1">
        <v>44645</v>
      </c>
      <c r="B323" t="s">
        <v>65</v>
      </c>
      <c r="C323">
        <v>11</v>
      </c>
      <c r="D323" t="s">
        <v>103</v>
      </c>
      <c r="E323" t="s">
        <v>101</v>
      </c>
      <c r="F323" s="5">
        <v>0</v>
      </c>
      <c r="G323" t="str">
        <f>VLOOKUP($B323,PRODUCT_MASTER!$A:$F,MATCH('FINAL DATA'!G$1,PRODUCT_MASTER!$A$1:$F$1,0),0)</f>
        <v>Product30</v>
      </c>
      <c r="H323" t="str">
        <f>VLOOKUP($B323,PRODUCT_MASTER!$A:$F,MATCH('FINAL DATA'!H$1,PRODUCT_MASTER!$A$1:$F$1,0),0)</f>
        <v>Cheese And Dairy</v>
      </c>
      <c r="I323" t="str">
        <f>VLOOKUP($B323,PRODUCT_MASTER!$A:$F,MATCH('FINAL DATA'!I$1,PRODUCT_MASTER!$A$1:$F$1,0),0)</f>
        <v>Ft</v>
      </c>
      <c r="J323" s="7">
        <f>VLOOKUP($B323,PRODUCT_MASTER!$A:$F,MATCH('FINAL DATA'!J$1,PRODUCT_MASTER!$A$1:$F$1,0),0)</f>
        <v>148</v>
      </c>
      <c r="K323" s="7">
        <f>VLOOKUP($B323,PRODUCT_MASTER!$A:$F,MATCH('FINAL DATA'!K$1,PRODUCT_MASTER!$A$1:$F$1,0),0)</f>
        <v>201.28</v>
      </c>
      <c r="L323" s="7">
        <f t="shared" ref="L323:L386" si="25">C323*J323</f>
        <v>1628</v>
      </c>
      <c r="M323" s="7">
        <f t="shared" ref="M323:M386" si="26">(K323-(K323*F323))*C323</f>
        <v>2214.08</v>
      </c>
      <c r="N323">
        <f t="shared" ref="N323:N386" si="27">DAY(A323)</f>
        <v>25</v>
      </c>
      <c r="O323" t="str">
        <f t="shared" ref="O323:O386" si="28">TEXT(A323,"MMM")</f>
        <v>Mar</v>
      </c>
      <c r="P323">
        <f t="shared" ref="P323:P386" si="29">YEAR(A323)</f>
        <v>2022</v>
      </c>
    </row>
    <row r="324" spans="1:16" x14ac:dyDescent="0.2">
      <c r="A324" s="1">
        <v>44649</v>
      </c>
      <c r="B324" t="s">
        <v>69</v>
      </c>
      <c r="C324">
        <v>12</v>
      </c>
      <c r="D324" t="s">
        <v>101</v>
      </c>
      <c r="E324" t="s">
        <v>101</v>
      </c>
      <c r="F324" s="5">
        <v>0</v>
      </c>
      <c r="G324" t="str">
        <f>VLOOKUP($B324,PRODUCT_MASTER!$A:$F,MATCH('FINAL DATA'!G$1,PRODUCT_MASTER!$A$1:$F$1,0),0)</f>
        <v>Product32</v>
      </c>
      <c r="H324" t="str">
        <f>VLOOKUP($B324,PRODUCT_MASTER!$A:$F,MATCH('FINAL DATA'!H$1,PRODUCT_MASTER!$A$1:$F$1,0),0)</f>
        <v>Bakery And Desserts</v>
      </c>
      <c r="I324" t="str">
        <f>VLOOKUP($B324,PRODUCT_MASTER!$A:$F,MATCH('FINAL DATA'!I$1,PRODUCT_MASTER!$A$1:$F$1,0),0)</f>
        <v>Kg</v>
      </c>
      <c r="J324" s="7">
        <f>VLOOKUP($B324,PRODUCT_MASTER!$A:$F,MATCH('FINAL DATA'!J$1,PRODUCT_MASTER!$A$1:$F$1,0),0)</f>
        <v>89</v>
      </c>
      <c r="K324" s="7">
        <f>VLOOKUP($B324,PRODUCT_MASTER!$A:$F,MATCH('FINAL DATA'!K$1,PRODUCT_MASTER!$A$1:$F$1,0),0)</f>
        <v>117.48</v>
      </c>
      <c r="L324" s="7">
        <f t="shared" si="25"/>
        <v>1068</v>
      </c>
      <c r="M324" s="7">
        <f t="shared" si="26"/>
        <v>1409.76</v>
      </c>
      <c r="N324">
        <f t="shared" si="27"/>
        <v>29</v>
      </c>
      <c r="O324" t="str">
        <f t="shared" si="28"/>
        <v>Mar</v>
      </c>
      <c r="P324">
        <f t="shared" si="29"/>
        <v>2022</v>
      </c>
    </row>
    <row r="325" spans="1:16" x14ac:dyDescent="0.2">
      <c r="A325" s="1">
        <v>44650</v>
      </c>
      <c r="B325" t="s">
        <v>6</v>
      </c>
      <c r="C325">
        <v>13</v>
      </c>
      <c r="D325" t="s">
        <v>101</v>
      </c>
      <c r="E325" t="s">
        <v>102</v>
      </c>
      <c r="F325" s="5">
        <v>0</v>
      </c>
      <c r="G325" t="str">
        <f>VLOOKUP($B325,PRODUCT_MASTER!$A:$F,MATCH('FINAL DATA'!G$1,PRODUCT_MASTER!$A$1:$F$1,0),0)</f>
        <v>Product01</v>
      </c>
      <c r="H325" t="str">
        <f>VLOOKUP($B325,PRODUCT_MASTER!$A:$F,MATCH('FINAL DATA'!H$1,PRODUCT_MASTER!$A$1:$F$1,0),0)</f>
        <v>Organic</v>
      </c>
      <c r="I325" t="str">
        <f>VLOOKUP($B325,PRODUCT_MASTER!$A:$F,MATCH('FINAL DATA'!I$1,PRODUCT_MASTER!$A$1:$F$1,0),0)</f>
        <v>Kg</v>
      </c>
      <c r="J325" s="7">
        <f>VLOOKUP($B325,PRODUCT_MASTER!$A:$F,MATCH('FINAL DATA'!J$1,PRODUCT_MASTER!$A$1:$F$1,0),0)</f>
        <v>98</v>
      </c>
      <c r="K325" s="7">
        <f>VLOOKUP($B325,PRODUCT_MASTER!$A:$F,MATCH('FINAL DATA'!K$1,PRODUCT_MASTER!$A$1:$F$1,0),0)</f>
        <v>103.88</v>
      </c>
      <c r="L325" s="7">
        <f t="shared" si="25"/>
        <v>1274</v>
      </c>
      <c r="M325" s="7">
        <f t="shared" si="26"/>
        <v>1350.44</v>
      </c>
      <c r="N325">
        <f t="shared" si="27"/>
        <v>30</v>
      </c>
      <c r="O325" t="str">
        <f t="shared" si="28"/>
        <v>Mar</v>
      </c>
      <c r="P325">
        <f t="shared" si="29"/>
        <v>2022</v>
      </c>
    </row>
    <row r="326" spans="1:16" x14ac:dyDescent="0.2">
      <c r="A326" s="1">
        <v>44652</v>
      </c>
      <c r="B326" t="s">
        <v>9</v>
      </c>
      <c r="C326">
        <v>2</v>
      </c>
      <c r="D326" t="s">
        <v>101</v>
      </c>
      <c r="E326" t="s">
        <v>102</v>
      </c>
      <c r="F326" s="5">
        <v>0</v>
      </c>
      <c r="G326" t="str">
        <f>VLOOKUP($B326,PRODUCT_MASTER!$A:$F,MATCH('FINAL DATA'!G$1,PRODUCT_MASTER!$A$1:$F$1,0),0)</f>
        <v>Product02</v>
      </c>
      <c r="H326" t="str">
        <f>VLOOKUP($B326,PRODUCT_MASTER!$A:$F,MATCH('FINAL DATA'!H$1,PRODUCT_MASTER!$A$1:$F$1,0),0)</f>
        <v>Organic</v>
      </c>
      <c r="I326" t="str">
        <f>VLOOKUP($B326,PRODUCT_MASTER!$A:$F,MATCH('FINAL DATA'!I$1,PRODUCT_MASTER!$A$1:$F$1,0),0)</f>
        <v>Kg</v>
      </c>
      <c r="J326" s="7">
        <f>VLOOKUP($B326,PRODUCT_MASTER!$A:$F,MATCH('FINAL DATA'!J$1,PRODUCT_MASTER!$A$1:$F$1,0),0)</f>
        <v>105</v>
      </c>
      <c r="K326" s="7">
        <f>VLOOKUP($B326,PRODUCT_MASTER!$A:$F,MATCH('FINAL DATA'!K$1,PRODUCT_MASTER!$A$1:$F$1,0),0)</f>
        <v>142.80000000000001</v>
      </c>
      <c r="L326" s="7">
        <f t="shared" si="25"/>
        <v>210</v>
      </c>
      <c r="M326" s="7">
        <f t="shared" si="26"/>
        <v>285.60000000000002</v>
      </c>
      <c r="N326">
        <f t="shared" si="27"/>
        <v>1</v>
      </c>
      <c r="O326" t="str">
        <f t="shared" si="28"/>
        <v>Apr</v>
      </c>
      <c r="P326">
        <f t="shared" si="29"/>
        <v>2022</v>
      </c>
    </row>
    <row r="327" spans="1:16" x14ac:dyDescent="0.2">
      <c r="A327" s="1">
        <v>44653</v>
      </c>
      <c r="B327" t="s">
        <v>9</v>
      </c>
      <c r="C327">
        <v>3</v>
      </c>
      <c r="D327" t="s">
        <v>103</v>
      </c>
      <c r="E327" t="s">
        <v>102</v>
      </c>
      <c r="F327" s="5">
        <v>0</v>
      </c>
      <c r="G327" t="str">
        <f>VLOOKUP($B327,PRODUCT_MASTER!$A:$F,MATCH('FINAL DATA'!G$1,PRODUCT_MASTER!$A$1:$F$1,0),0)</f>
        <v>Product02</v>
      </c>
      <c r="H327" t="str">
        <f>VLOOKUP($B327,PRODUCT_MASTER!$A:$F,MATCH('FINAL DATA'!H$1,PRODUCT_MASTER!$A$1:$F$1,0),0)</f>
        <v>Organic</v>
      </c>
      <c r="I327" t="str">
        <f>VLOOKUP($B327,PRODUCT_MASTER!$A:$F,MATCH('FINAL DATA'!I$1,PRODUCT_MASTER!$A$1:$F$1,0),0)</f>
        <v>Kg</v>
      </c>
      <c r="J327" s="7">
        <f>VLOOKUP($B327,PRODUCT_MASTER!$A:$F,MATCH('FINAL DATA'!J$1,PRODUCT_MASTER!$A$1:$F$1,0),0)</f>
        <v>105</v>
      </c>
      <c r="K327" s="7">
        <f>VLOOKUP($B327,PRODUCT_MASTER!$A:$F,MATCH('FINAL DATA'!K$1,PRODUCT_MASTER!$A$1:$F$1,0),0)</f>
        <v>142.80000000000001</v>
      </c>
      <c r="L327" s="7">
        <f t="shared" si="25"/>
        <v>315</v>
      </c>
      <c r="M327" s="7">
        <f t="shared" si="26"/>
        <v>428.40000000000003</v>
      </c>
      <c r="N327">
        <f t="shared" si="27"/>
        <v>2</v>
      </c>
      <c r="O327" t="str">
        <f t="shared" si="28"/>
        <v>Apr</v>
      </c>
      <c r="P327">
        <f t="shared" si="29"/>
        <v>2022</v>
      </c>
    </row>
    <row r="328" spans="1:16" x14ac:dyDescent="0.2">
      <c r="A328" s="1">
        <v>44657</v>
      </c>
      <c r="B328" t="s">
        <v>85</v>
      </c>
      <c r="C328">
        <v>2</v>
      </c>
      <c r="D328" t="s">
        <v>100</v>
      </c>
      <c r="E328" t="s">
        <v>102</v>
      </c>
      <c r="F328" s="5">
        <v>0</v>
      </c>
      <c r="G328" t="str">
        <f>VLOOKUP($B328,PRODUCT_MASTER!$A:$F,MATCH('FINAL DATA'!G$1,PRODUCT_MASTER!$A$1:$F$1,0),0)</f>
        <v>Product40</v>
      </c>
      <c r="H328" t="str">
        <f>VLOOKUP($B328,PRODUCT_MASTER!$A:$F,MATCH('FINAL DATA'!H$1,PRODUCT_MASTER!$A$1:$F$1,0),0)</f>
        <v>Snacks</v>
      </c>
      <c r="I328" t="str">
        <f>VLOOKUP($B328,PRODUCT_MASTER!$A:$F,MATCH('FINAL DATA'!I$1,PRODUCT_MASTER!$A$1:$F$1,0),0)</f>
        <v>Kg</v>
      </c>
      <c r="J328" s="7">
        <f>VLOOKUP($B328,PRODUCT_MASTER!$A:$F,MATCH('FINAL DATA'!J$1,PRODUCT_MASTER!$A$1:$F$1,0),0)</f>
        <v>90</v>
      </c>
      <c r="K328" s="7">
        <f>VLOOKUP($B328,PRODUCT_MASTER!$A:$F,MATCH('FINAL DATA'!K$1,PRODUCT_MASTER!$A$1:$F$1,0),0)</f>
        <v>115.2</v>
      </c>
      <c r="L328" s="7">
        <f t="shared" si="25"/>
        <v>180</v>
      </c>
      <c r="M328" s="7">
        <f t="shared" si="26"/>
        <v>230.4</v>
      </c>
      <c r="N328">
        <f t="shared" si="27"/>
        <v>6</v>
      </c>
      <c r="O328" t="str">
        <f t="shared" si="28"/>
        <v>Apr</v>
      </c>
      <c r="P328">
        <f t="shared" si="29"/>
        <v>2022</v>
      </c>
    </row>
    <row r="329" spans="1:16" x14ac:dyDescent="0.2">
      <c r="A329" s="1">
        <v>44658</v>
      </c>
      <c r="B329" t="s">
        <v>57</v>
      </c>
      <c r="C329">
        <v>7</v>
      </c>
      <c r="D329" t="s">
        <v>103</v>
      </c>
      <c r="E329" t="s">
        <v>101</v>
      </c>
      <c r="F329" s="5">
        <v>0</v>
      </c>
      <c r="G329" t="str">
        <f>VLOOKUP($B329,PRODUCT_MASTER!$A:$F,MATCH('FINAL DATA'!G$1,PRODUCT_MASTER!$A$1:$F$1,0),0)</f>
        <v>Product26</v>
      </c>
      <c r="H329" t="str">
        <f>VLOOKUP($B329,PRODUCT_MASTER!$A:$F,MATCH('FINAL DATA'!H$1,PRODUCT_MASTER!$A$1:$F$1,0),0)</f>
        <v>Seafood</v>
      </c>
      <c r="I329" t="str">
        <f>VLOOKUP($B329,PRODUCT_MASTER!$A:$F,MATCH('FINAL DATA'!I$1,PRODUCT_MASTER!$A$1:$F$1,0),0)</f>
        <v>No.</v>
      </c>
      <c r="J329" s="7">
        <f>VLOOKUP($B329,PRODUCT_MASTER!$A:$F,MATCH('FINAL DATA'!J$1,PRODUCT_MASTER!$A$1:$F$1,0),0)</f>
        <v>18</v>
      </c>
      <c r="K329" s="7">
        <f>VLOOKUP($B329,PRODUCT_MASTER!$A:$F,MATCH('FINAL DATA'!K$1,PRODUCT_MASTER!$A$1:$F$1,0),0)</f>
        <v>24.66</v>
      </c>
      <c r="L329" s="7">
        <f t="shared" si="25"/>
        <v>126</v>
      </c>
      <c r="M329" s="7">
        <f t="shared" si="26"/>
        <v>172.62</v>
      </c>
      <c r="N329">
        <f t="shared" si="27"/>
        <v>7</v>
      </c>
      <c r="O329" t="str">
        <f t="shared" si="28"/>
        <v>Apr</v>
      </c>
      <c r="P329">
        <f t="shared" si="29"/>
        <v>2022</v>
      </c>
    </row>
    <row r="330" spans="1:16" x14ac:dyDescent="0.2">
      <c r="A330" s="1">
        <v>44660</v>
      </c>
      <c r="B330" t="s">
        <v>83</v>
      </c>
      <c r="C330">
        <v>12</v>
      </c>
      <c r="D330" t="s">
        <v>100</v>
      </c>
      <c r="E330" t="s">
        <v>102</v>
      </c>
      <c r="F330" s="5">
        <v>0</v>
      </c>
      <c r="G330" t="str">
        <f>VLOOKUP($B330,PRODUCT_MASTER!$A:$F,MATCH('FINAL DATA'!G$1,PRODUCT_MASTER!$A$1:$F$1,0),0)</f>
        <v>Product39</v>
      </c>
      <c r="H330" t="str">
        <f>VLOOKUP($B330,PRODUCT_MASTER!$A:$F,MATCH('FINAL DATA'!H$1,PRODUCT_MASTER!$A$1:$F$1,0),0)</f>
        <v>Snacks</v>
      </c>
      <c r="I330" t="str">
        <f>VLOOKUP($B330,PRODUCT_MASTER!$A:$F,MATCH('FINAL DATA'!I$1,PRODUCT_MASTER!$A$1:$F$1,0),0)</f>
        <v>No.</v>
      </c>
      <c r="J330" s="7">
        <f>VLOOKUP($B330,PRODUCT_MASTER!$A:$F,MATCH('FINAL DATA'!J$1,PRODUCT_MASTER!$A$1:$F$1,0),0)</f>
        <v>37</v>
      </c>
      <c r="K330" s="7">
        <f>VLOOKUP($B330,PRODUCT_MASTER!$A:$F,MATCH('FINAL DATA'!K$1,PRODUCT_MASTER!$A$1:$F$1,0),0)</f>
        <v>42.55</v>
      </c>
      <c r="L330" s="7">
        <f t="shared" si="25"/>
        <v>444</v>
      </c>
      <c r="M330" s="7">
        <f t="shared" si="26"/>
        <v>510.59999999999997</v>
      </c>
      <c r="N330">
        <f t="shared" si="27"/>
        <v>9</v>
      </c>
      <c r="O330" t="str">
        <f t="shared" si="28"/>
        <v>Apr</v>
      </c>
      <c r="P330">
        <f t="shared" si="29"/>
        <v>2022</v>
      </c>
    </row>
    <row r="331" spans="1:16" x14ac:dyDescent="0.2">
      <c r="A331" s="1">
        <v>44660</v>
      </c>
      <c r="B331" t="s">
        <v>9</v>
      </c>
      <c r="C331">
        <v>9</v>
      </c>
      <c r="D331" t="s">
        <v>101</v>
      </c>
      <c r="E331" t="s">
        <v>101</v>
      </c>
      <c r="F331" s="5">
        <v>0</v>
      </c>
      <c r="G331" t="str">
        <f>VLOOKUP($B331,PRODUCT_MASTER!$A:$F,MATCH('FINAL DATA'!G$1,PRODUCT_MASTER!$A$1:$F$1,0),0)</f>
        <v>Product02</v>
      </c>
      <c r="H331" t="str">
        <f>VLOOKUP($B331,PRODUCT_MASTER!$A:$F,MATCH('FINAL DATA'!H$1,PRODUCT_MASTER!$A$1:$F$1,0),0)</f>
        <v>Organic</v>
      </c>
      <c r="I331" t="str">
        <f>VLOOKUP($B331,PRODUCT_MASTER!$A:$F,MATCH('FINAL DATA'!I$1,PRODUCT_MASTER!$A$1:$F$1,0),0)</f>
        <v>Kg</v>
      </c>
      <c r="J331" s="7">
        <f>VLOOKUP($B331,PRODUCT_MASTER!$A:$F,MATCH('FINAL DATA'!J$1,PRODUCT_MASTER!$A$1:$F$1,0),0)</f>
        <v>105</v>
      </c>
      <c r="K331" s="7">
        <f>VLOOKUP($B331,PRODUCT_MASTER!$A:$F,MATCH('FINAL DATA'!K$1,PRODUCT_MASTER!$A$1:$F$1,0),0)</f>
        <v>142.80000000000001</v>
      </c>
      <c r="L331" s="7">
        <f t="shared" si="25"/>
        <v>945</v>
      </c>
      <c r="M331" s="7">
        <f t="shared" si="26"/>
        <v>1285.2</v>
      </c>
      <c r="N331">
        <f t="shared" si="27"/>
        <v>9</v>
      </c>
      <c r="O331" t="str">
        <f t="shared" si="28"/>
        <v>Apr</v>
      </c>
      <c r="P331">
        <f t="shared" si="29"/>
        <v>2022</v>
      </c>
    </row>
    <row r="332" spans="1:16" x14ac:dyDescent="0.2">
      <c r="A332" s="1">
        <v>44664</v>
      </c>
      <c r="B332" t="s">
        <v>37</v>
      </c>
      <c r="C332">
        <v>14</v>
      </c>
      <c r="D332" t="s">
        <v>100</v>
      </c>
      <c r="E332" t="s">
        <v>101</v>
      </c>
      <c r="F332" s="5">
        <v>0</v>
      </c>
      <c r="G332" t="str">
        <f>VLOOKUP($B332,PRODUCT_MASTER!$A:$F,MATCH('FINAL DATA'!G$1,PRODUCT_MASTER!$A$1:$F$1,0),0)</f>
        <v>Product16</v>
      </c>
      <c r="H332" t="str">
        <f>VLOOKUP($B332,PRODUCT_MASTER!$A:$F,MATCH('FINAL DATA'!H$1,PRODUCT_MASTER!$A$1:$F$1,0),0)</f>
        <v>Meat</v>
      </c>
      <c r="I332" t="str">
        <f>VLOOKUP($B332,PRODUCT_MASTER!$A:$F,MATCH('FINAL DATA'!I$1,PRODUCT_MASTER!$A$1:$F$1,0),0)</f>
        <v>No.</v>
      </c>
      <c r="J332" s="7">
        <f>VLOOKUP($B332,PRODUCT_MASTER!$A:$F,MATCH('FINAL DATA'!J$1,PRODUCT_MASTER!$A$1:$F$1,0),0)</f>
        <v>13</v>
      </c>
      <c r="K332" s="7">
        <f>VLOOKUP($B332,PRODUCT_MASTER!$A:$F,MATCH('FINAL DATA'!K$1,PRODUCT_MASTER!$A$1:$F$1,0),0)</f>
        <v>16.64</v>
      </c>
      <c r="L332" s="7">
        <f t="shared" si="25"/>
        <v>182</v>
      </c>
      <c r="M332" s="7">
        <f t="shared" si="26"/>
        <v>232.96</v>
      </c>
      <c r="N332">
        <f t="shared" si="27"/>
        <v>13</v>
      </c>
      <c r="O332" t="str">
        <f t="shared" si="28"/>
        <v>Apr</v>
      </c>
      <c r="P332">
        <f t="shared" si="29"/>
        <v>2022</v>
      </c>
    </row>
    <row r="333" spans="1:16" x14ac:dyDescent="0.2">
      <c r="A333" s="1">
        <v>44669</v>
      </c>
      <c r="B333" t="s">
        <v>87</v>
      </c>
      <c r="C333">
        <v>9</v>
      </c>
      <c r="D333" t="s">
        <v>103</v>
      </c>
      <c r="E333" t="s">
        <v>102</v>
      </c>
      <c r="F333" s="5">
        <v>0</v>
      </c>
      <c r="G333" t="str">
        <f>VLOOKUP($B333,PRODUCT_MASTER!$A:$F,MATCH('FINAL DATA'!G$1,PRODUCT_MASTER!$A$1:$F$1,0),0)</f>
        <v>Product41</v>
      </c>
      <c r="H333" t="str">
        <f>VLOOKUP($B333,PRODUCT_MASTER!$A:$F,MATCH('FINAL DATA'!H$1,PRODUCT_MASTER!$A$1:$F$1,0),0)</f>
        <v>Snacks</v>
      </c>
      <c r="I333" t="str">
        <f>VLOOKUP($B333,PRODUCT_MASTER!$A:$F,MATCH('FINAL DATA'!I$1,PRODUCT_MASTER!$A$1:$F$1,0),0)</f>
        <v>Ft</v>
      </c>
      <c r="J333" s="7">
        <f>VLOOKUP($B333,PRODUCT_MASTER!$A:$F,MATCH('FINAL DATA'!J$1,PRODUCT_MASTER!$A$1:$F$1,0),0)</f>
        <v>138</v>
      </c>
      <c r="K333" s="7">
        <f>VLOOKUP($B333,PRODUCT_MASTER!$A:$F,MATCH('FINAL DATA'!K$1,PRODUCT_MASTER!$A$1:$F$1,0),0)</f>
        <v>173.88</v>
      </c>
      <c r="L333" s="7">
        <f t="shared" si="25"/>
        <v>1242</v>
      </c>
      <c r="M333" s="7">
        <f t="shared" si="26"/>
        <v>1564.92</v>
      </c>
      <c r="N333">
        <f t="shared" si="27"/>
        <v>18</v>
      </c>
      <c r="O333" t="str">
        <f t="shared" si="28"/>
        <v>Apr</v>
      </c>
      <c r="P333">
        <f t="shared" si="29"/>
        <v>2022</v>
      </c>
    </row>
    <row r="334" spans="1:16" x14ac:dyDescent="0.2">
      <c r="A334" s="1">
        <v>44671</v>
      </c>
      <c r="B334" t="s">
        <v>41</v>
      </c>
      <c r="C334">
        <v>2</v>
      </c>
      <c r="D334" t="s">
        <v>100</v>
      </c>
      <c r="E334" t="s">
        <v>101</v>
      </c>
      <c r="F334" s="5">
        <v>0</v>
      </c>
      <c r="G334" t="str">
        <f>VLOOKUP($B334,PRODUCT_MASTER!$A:$F,MATCH('FINAL DATA'!G$1,PRODUCT_MASTER!$A$1:$F$1,0),0)</f>
        <v>Product18</v>
      </c>
      <c r="H334" t="str">
        <f>VLOOKUP($B334,PRODUCT_MASTER!$A:$F,MATCH('FINAL DATA'!H$1,PRODUCT_MASTER!$A$1:$F$1,0),0)</f>
        <v>Poultry</v>
      </c>
      <c r="I334" t="str">
        <f>VLOOKUP($B334,PRODUCT_MASTER!$A:$F,MATCH('FINAL DATA'!I$1,PRODUCT_MASTER!$A$1:$F$1,0),0)</f>
        <v>No.</v>
      </c>
      <c r="J334" s="7">
        <f>VLOOKUP($B334,PRODUCT_MASTER!$A:$F,MATCH('FINAL DATA'!J$1,PRODUCT_MASTER!$A$1:$F$1,0),0)</f>
        <v>37</v>
      </c>
      <c r="K334" s="7">
        <f>VLOOKUP($B334,PRODUCT_MASTER!$A:$F,MATCH('FINAL DATA'!K$1,PRODUCT_MASTER!$A$1:$F$1,0),0)</f>
        <v>49.21</v>
      </c>
      <c r="L334" s="7">
        <f t="shared" si="25"/>
        <v>74</v>
      </c>
      <c r="M334" s="7">
        <f t="shared" si="26"/>
        <v>98.42</v>
      </c>
      <c r="N334">
        <f t="shared" si="27"/>
        <v>20</v>
      </c>
      <c r="O334" t="str">
        <f t="shared" si="28"/>
        <v>Apr</v>
      </c>
      <c r="P334">
        <f t="shared" si="29"/>
        <v>2022</v>
      </c>
    </row>
    <row r="335" spans="1:16" x14ac:dyDescent="0.2">
      <c r="A335" s="1">
        <v>44671</v>
      </c>
      <c r="B335" t="s">
        <v>29</v>
      </c>
      <c r="C335">
        <v>4</v>
      </c>
      <c r="D335" t="s">
        <v>103</v>
      </c>
      <c r="E335" t="s">
        <v>101</v>
      </c>
      <c r="F335" s="5">
        <v>0</v>
      </c>
      <c r="G335" t="str">
        <f>VLOOKUP($B335,PRODUCT_MASTER!$A:$F,MATCH('FINAL DATA'!G$1,PRODUCT_MASTER!$A$1:$F$1,0),0)</f>
        <v>Product12</v>
      </c>
      <c r="H335" t="str">
        <f>VLOOKUP($B335,PRODUCT_MASTER!$A:$F,MATCH('FINAL DATA'!H$1,PRODUCT_MASTER!$A$1:$F$1,0),0)</f>
        <v>Meat</v>
      </c>
      <c r="I335" t="str">
        <f>VLOOKUP($B335,PRODUCT_MASTER!$A:$F,MATCH('FINAL DATA'!I$1,PRODUCT_MASTER!$A$1:$F$1,0),0)</f>
        <v>Kg</v>
      </c>
      <c r="J335" s="7">
        <f>VLOOKUP($B335,PRODUCT_MASTER!$A:$F,MATCH('FINAL DATA'!J$1,PRODUCT_MASTER!$A$1:$F$1,0),0)</f>
        <v>73</v>
      </c>
      <c r="K335" s="7">
        <f>VLOOKUP($B335,PRODUCT_MASTER!$A:$F,MATCH('FINAL DATA'!K$1,PRODUCT_MASTER!$A$1:$F$1,0),0)</f>
        <v>94.17</v>
      </c>
      <c r="L335" s="7">
        <f t="shared" si="25"/>
        <v>292</v>
      </c>
      <c r="M335" s="7">
        <f t="shared" si="26"/>
        <v>376.68</v>
      </c>
      <c r="N335">
        <f t="shared" si="27"/>
        <v>20</v>
      </c>
      <c r="O335" t="str">
        <f t="shared" si="28"/>
        <v>Apr</v>
      </c>
      <c r="P335">
        <f t="shared" si="29"/>
        <v>2022</v>
      </c>
    </row>
    <row r="336" spans="1:16" x14ac:dyDescent="0.2">
      <c r="A336" s="1">
        <v>44672</v>
      </c>
      <c r="B336" t="s">
        <v>65</v>
      </c>
      <c r="C336">
        <v>2</v>
      </c>
      <c r="D336" t="s">
        <v>103</v>
      </c>
      <c r="E336" t="s">
        <v>102</v>
      </c>
      <c r="F336" s="5">
        <v>0</v>
      </c>
      <c r="G336" t="str">
        <f>VLOOKUP($B336,PRODUCT_MASTER!$A:$F,MATCH('FINAL DATA'!G$1,PRODUCT_MASTER!$A$1:$F$1,0),0)</f>
        <v>Product30</v>
      </c>
      <c r="H336" t="str">
        <f>VLOOKUP($B336,PRODUCT_MASTER!$A:$F,MATCH('FINAL DATA'!H$1,PRODUCT_MASTER!$A$1:$F$1,0),0)</f>
        <v>Cheese And Dairy</v>
      </c>
      <c r="I336" t="str">
        <f>VLOOKUP($B336,PRODUCT_MASTER!$A:$F,MATCH('FINAL DATA'!I$1,PRODUCT_MASTER!$A$1:$F$1,0),0)</f>
        <v>Ft</v>
      </c>
      <c r="J336" s="7">
        <f>VLOOKUP($B336,PRODUCT_MASTER!$A:$F,MATCH('FINAL DATA'!J$1,PRODUCT_MASTER!$A$1:$F$1,0),0)</f>
        <v>148</v>
      </c>
      <c r="K336" s="7">
        <f>VLOOKUP($B336,PRODUCT_MASTER!$A:$F,MATCH('FINAL DATA'!K$1,PRODUCT_MASTER!$A$1:$F$1,0),0)</f>
        <v>201.28</v>
      </c>
      <c r="L336" s="7">
        <f t="shared" si="25"/>
        <v>296</v>
      </c>
      <c r="M336" s="7">
        <f t="shared" si="26"/>
        <v>402.56</v>
      </c>
      <c r="N336">
        <f t="shared" si="27"/>
        <v>21</v>
      </c>
      <c r="O336" t="str">
        <f t="shared" si="28"/>
        <v>Apr</v>
      </c>
      <c r="P336">
        <f t="shared" si="29"/>
        <v>2022</v>
      </c>
    </row>
    <row r="337" spans="1:16" x14ac:dyDescent="0.2">
      <c r="A337" s="1">
        <v>44672</v>
      </c>
      <c r="B337" t="s">
        <v>57</v>
      </c>
      <c r="C337">
        <v>14</v>
      </c>
      <c r="D337" t="s">
        <v>101</v>
      </c>
      <c r="E337" t="s">
        <v>101</v>
      </c>
      <c r="F337" s="5">
        <v>0</v>
      </c>
      <c r="G337" t="str">
        <f>VLOOKUP($B337,PRODUCT_MASTER!$A:$F,MATCH('FINAL DATA'!G$1,PRODUCT_MASTER!$A$1:$F$1,0),0)</f>
        <v>Product26</v>
      </c>
      <c r="H337" t="str">
        <f>VLOOKUP($B337,PRODUCT_MASTER!$A:$F,MATCH('FINAL DATA'!H$1,PRODUCT_MASTER!$A$1:$F$1,0),0)</f>
        <v>Seafood</v>
      </c>
      <c r="I337" t="str">
        <f>VLOOKUP($B337,PRODUCT_MASTER!$A:$F,MATCH('FINAL DATA'!I$1,PRODUCT_MASTER!$A$1:$F$1,0),0)</f>
        <v>No.</v>
      </c>
      <c r="J337" s="7">
        <f>VLOOKUP($B337,PRODUCT_MASTER!$A:$F,MATCH('FINAL DATA'!J$1,PRODUCT_MASTER!$A$1:$F$1,0),0)</f>
        <v>18</v>
      </c>
      <c r="K337" s="7">
        <f>VLOOKUP($B337,PRODUCT_MASTER!$A:$F,MATCH('FINAL DATA'!K$1,PRODUCT_MASTER!$A$1:$F$1,0),0)</f>
        <v>24.66</v>
      </c>
      <c r="L337" s="7">
        <f t="shared" si="25"/>
        <v>252</v>
      </c>
      <c r="M337" s="7">
        <f t="shared" si="26"/>
        <v>345.24</v>
      </c>
      <c r="N337">
        <f t="shared" si="27"/>
        <v>21</v>
      </c>
      <c r="O337" t="str">
        <f t="shared" si="28"/>
        <v>Apr</v>
      </c>
      <c r="P337">
        <f t="shared" si="29"/>
        <v>2022</v>
      </c>
    </row>
    <row r="338" spans="1:16" x14ac:dyDescent="0.2">
      <c r="A338" s="1">
        <v>44674</v>
      </c>
      <c r="B338" t="s">
        <v>93</v>
      </c>
      <c r="C338">
        <v>15</v>
      </c>
      <c r="D338" t="s">
        <v>101</v>
      </c>
      <c r="E338" t="s">
        <v>101</v>
      </c>
      <c r="F338" s="5">
        <v>0</v>
      </c>
      <c r="G338" t="str">
        <f>VLOOKUP($B338,PRODUCT_MASTER!$A:$F,MATCH('FINAL DATA'!G$1,PRODUCT_MASTER!$A$1:$F$1,0),0)</f>
        <v>Product44</v>
      </c>
      <c r="H338" t="str">
        <f>VLOOKUP($B338,PRODUCT_MASTER!$A:$F,MATCH('FINAL DATA'!H$1,PRODUCT_MASTER!$A$1:$F$1,0),0)</f>
        <v>Candy</v>
      </c>
      <c r="I338" t="str">
        <f>VLOOKUP($B338,PRODUCT_MASTER!$A:$F,MATCH('FINAL DATA'!I$1,PRODUCT_MASTER!$A$1:$F$1,0),0)</f>
        <v>Kg</v>
      </c>
      <c r="J338" s="7">
        <f>VLOOKUP($B338,PRODUCT_MASTER!$A:$F,MATCH('FINAL DATA'!J$1,PRODUCT_MASTER!$A$1:$F$1,0),0)</f>
        <v>76</v>
      </c>
      <c r="K338" s="7">
        <f>VLOOKUP($B338,PRODUCT_MASTER!$A:$F,MATCH('FINAL DATA'!K$1,PRODUCT_MASTER!$A$1:$F$1,0),0)</f>
        <v>82.08</v>
      </c>
      <c r="L338" s="7">
        <f t="shared" si="25"/>
        <v>1140</v>
      </c>
      <c r="M338" s="7">
        <f t="shared" si="26"/>
        <v>1231.2</v>
      </c>
      <c r="N338">
        <f t="shared" si="27"/>
        <v>23</v>
      </c>
      <c r="O338" t="str">
        <f t="shared" si="28"/>
        <v>Apr</v>
      </c>
      <c r="P338">
        <f t="shared" si="29"/>
        <v>2022</v>
      </c>
    </row>
    <row r="339" spans="1:16" x14ac:dyDescent="0.2">
      <c r="A339" s="1">
        <v>44675</v>
      </c>
      <c r="B339" t="s">
        <v>73</v>
      </c>
      <c r="C339">
        <v>4</v>
      </c>
      <c r="D339" t="s">
        <v>103</v>
      </c>
      <c r="E339" t="s">
        <v>101</v>
      </c>
      <c r="F339" s="5">
        <v>0</v>
      </c>
      <c r="G339" t="str">
        <f>VLOOKUP($B339,PRODUCT_MASTER!$A:$F,MATCH('FINAL DATA'!G$1,PRODUCT_MASTER!$A$1:$F$1,0),0)</f>
        <v>Product34</v>
      </c>
      <c r="H339" t="str">
        <f>VLOOKUP($B339,PRODUCT_MASTER!$A:$F,MATCH('FINAL DATA'!H$1,PRODUCT_MASTER!$A$1:$F$1,0),0)</f>
        <v>Bakery And Desserts</v>
      </c>
      <c r="I339" t="str">
        <f>VLOOKUP($B339,PRODUCT_MASTER!$A:$F,MATCH('FINAL DATA'!I$1,PRODUCT_MASTER!$A$1:$F$1,0),0)</f>
        <v>Lt</v>
      </c>
      <c r="J339" s="7">
        <f>VLOOKUP($B339,PRODUCT_MASTER!$A:$F,MATCH('FINAL DATA'!J$1,PRODUCT_MASTER!$A$1:$F$1,0),0)</f>
        <v>55</v>
      </c>
      <c r="K339" s="7">
        <f>VLOOKUP($B339,PRODUCT_MASTER!$A:$F,MATCH('FINAL DATA'!K$1,PRODUCT_MASTER!$A$1:$F$1,0),0)</f>
        <v>58.3</v>
      </c>
      <c r="L339" s="7">
        <f t="shared" si="25"/>
        <v>220</v>
      </c>
      <c r="M339" s="7">
        <f t="shared" si="26"/>
        <v>233.2</v>
      </c>
      <c r="N339">
        <f t="shared" si="27"/>
        <v>24</v>
      </c>
      <c r="O339" t="str">
        <f t="shared" si="28"/>
        <v>Apr</v>
      </c>
      <c r="P339">
        <f t="shared" si="29"/>
        <v>2022</v>
      </c>
    </row>
    <row r="340" spans="1:16" x14ac:dyDescent="0.2">
      <c r="A340" s="1">
        <v>44676</v>
      </c>
      <c r="B340" t="s">
        <v>13</v>
      </c>
      <c r="C340">
        <v>9</v>
      </c>
      <c r="D340" t="s">
        <v>103</v>
      </c>
      <c r="E340" t="s">
        <v>102</v>
      </c>
      <c r="F340" s="5">
        <v>0</v>
      </c>
      <c r="G340" t="str">
        <f>VLOOKUP($B340,PRODUCT_MASTER!$A:$F,MATCH('FINAL DATA'!G$1,PRODUCT_MASTER!$A$1:$F$1,0),0)</f>
        <v>Product04</v>
      </c>
      <c r="H340" t="str">
        <f>VLOOKUP($B340,PRODUCT_MASTER!$A:$F,MATCH('FINAL DATA'!H$1,PRODUCT_MASTER!$A$1:$F$1,0),0)</f>
        <v>Organic</v>
      </c>
      <c r="I340" t="str">
        <f>VLOOKUP($B340,PRODUCT_MASTER!$A:$F,MATCH('FINAL DATA'!I$1,PRODUCT_MASTER!$A$1:$F$1,0),0)</f>
        <v>Lt</v>
      </c>
      <c r="J340" s="7">
        <f>VLOOKUP($B340,PRODUCT_MASTER!$A:$F,MATCH('FINAL DATA'!J$1,PRODUCT_MASTER!$A$1:$F$1,0),0)</f>
        <v>44</v>
      </c>
      <c r="K340" s="7">
        <f>VLOOKUP($B340,PRODUCT_MASTER!$A:$F,MATCH('FINAL DATA'!K$1,PRODUCT_MASTER!$A$1:$F$1,0),0)</f>
        <v>48.84</v>
      </c>
      <c r="L340" s="7">
        <f t="shared" si="25"/>
        <v>396</v>
      </c>
      <c r="M340" s="7">
        <f t="shared" si="26"/>
        <v>439.56000000000006</v>
      </c>
      <c r="N340">
        <f t="shared" si="27"/>
        <v>25</v>
      </c>
      <c r="O340" t="str">
        <f t="shared" si="28"/>
        <v>Apr</v>
      </c>
      <c r="P340">
        <f t="shared" si="29"/>
        <v>2022</v>
      </c>
    </row>
    <row r="341" spans="1:16" x14ac:dyDescent="0.2">
      <c r="A341" s="1">
        <v>44676</v>
      </c>
      <c r="B341" t="s">
        <v>11</v>
      </c>
      <c r="C341">
        <v>8</v>
      </c>
      <c r="D341" t="s">
        <v>101</v>
      </c>
      <c r="E341" t="s">
        <v>101</v>
      </c>
      <c r="F341" s="5">
        <v>0</v>
      </c>
      <c r="G341" t="str">
        <f>VLOOKUP($B341,PRODUCT_MASTER!$A:$F,MATCH('FINAL DATA'!G$1,PRODUCT_MASTER!$A$1:$F$1,0),0)</f>
        <v>Product03</v>
      </c>
      <c r="H341" t="str">
        <f>VLOOKUP($B341,PRODUCT_MASTER!$A:$F,MATCH('FINAL DATA'!H$1,PRODUCT_MASTER!$A$1:$F$1,0),0)</f>
        <v>Organic</v>
      </c>
      <c r="I341" t="str">
        <f>VLOOKUP($B341,PRODUCT_MASTER!$A:$F,MATCH('FINAL DATA'!I$1,PRODUCT_MASTER!$A$1:$F$1,0),0)</f>
        <v>Kg</v>
      </c>
      <c r="J341" s="7">
        <f>VLOOKUP($B341,PRODUCT_MASTER!$A:$F,MATCH('FINAL DATA'!J$1,PRODUCT_MASTER!$A$1:$F$1,0),0)</f>
        <v>71</v>
      </c>
      <c r="K341" s="7">
        <f>VLOOKUP($B341,PRODUCT_MASTER!$A:$F,MATCH('FINAL DATA'!K$1,PRODUCT_MASTER!$A$1:$F$1,0),0)</f>
        <v>80.94</v>
      </c>
      <c r="L341" s="7">
        <f t="shared" si="25"/>
        <v>568</v>
      </c>
      <c r="M341" s="7">
        <f t="shared" si="26"/>
        <v>647.52</v>
      </c>
      <c r="N341">
        <f t="shared" si="27"/>
        <v>25</v>
      </c>
      <c r="O341" t="str">
        <f t="shared" si="28"/>
        <v>Apr</v>
      </c>
      <c r="P341">
        <f t="shared" si="29"/>
        <v>2022</v>
      </c>
    </row>
    <row r="342" spans="1:16" x14ac:dyDescent="0.2">
      <c r="A342" s="1">
        <v>44677</v>
      </c>
      <c r="B342" t="s">
        <v>59</v>
      </c>
      <c r="C342">
        <v>2</v>
      </c>
      <c r="D342" t="s">
        <v>103</v>
      </c>
      <c r="E342" t="s">
        <v>102</v>
      </c>
      <c r="F342" s="5">
        <v>0</v>
      </c>
      <c r="G342" t="str">
        <f>VLOOKUP($B342,PRODUCT_MASTER!$A:$F,MATCH('FINAL DATA'!G$1,PRODUCT_MASTER!$A$1:$F$1,0),0)</f>
        <v>Product27</v>
      </c>
      <c r="H342" t="str">
        <f>VLOOKUP($B342,PRODUCT_MASTER!$A:$F,MATCH('FINAL DATA'!H$1,PRODUCT_MASTER!$A$1:$F$1,0),0)</f>
        <v>Cheese And Dairy</v>
      </c>
      <c r="I342" t="str">
        <f>VLOOKUP($B342,PRODUCT_MASTER!$A:$F,MATCH('FINAL DATA'!I$1,PRODUCT_MASTER!$A$1:$F$1,0),0)</f>
        <v>Lt</v>
      </c>
      <c r="J342" s="7">
        <f>VLOOKUP($B342,PRODUCT_MASTER!$A:$F,MATCH('FINAL DATA'!J$1,PRODUCT_MASTER!$A$1:$F$1,0),0)</f>
        <v>48</v>
      </c>
      <c r="K342" s="7">
        <f>VLOOKUP($B342,PRODUCT_MASTER!$A:$F,MATCH('FINAL DATA'!K$1,PRODUCT_MASTER!$A$1:$F$1,0),0)</f>
        <v>57.120000000000005</v>
      </c>
      <c r="L342" s="7">
        <f t="shared" si="25"/>
        <v>96</v>
      </c>
      <c r="M342" s="7">
        <f t="shared" si="26"/>
        <v>114.24000000000001</v>
      </c>
      <c r="N342">
        <f t="shared" si="27"/>
        <v>26</v>
      </c>
      <c r="O342" t="str">
        <f t="shared" si="28"/>
        <v>Apr</v>
      </c>
      <c r="P342">
        <f t="shared" si="29"/>
        <v>2022</v>
      </c>
    </row>
    <row r="343" spans="1:16" x14ac:dyDescent="0.2">
      <c r="A343" s="1">
        <v>44679</v>
      </c>
      <c r="B343" t="s">
        <v>33</v>
      </c>
      <c r="C343">
        <v>14</v>
      </c>
      <c r="D343" t="s">
        <v>103</v>
      </c>
      <c r="E343" t="s">
        <v>102</v>
      </c>
      <c r="F343" s="5">
        <v>0</v>
      </c>
      <c r="G343" t="str">
        <f>VLOOKUP($B343,PRODUCT_MASTER!$A:$F,MATCH('FINAL DATA'!G$1,PRODUCT_MASTER!$A$1:$F$1,0),0)</f>
        <v>Product14</v>
      </c>
      <c r="H343" t="str">
        <f>VLOOKUP($B343,PRODUCT_MASTER!$A:$F,MATCH('FINAL DATA'!H$1,PRODUCT_MASTER!$A$1:$F$1,0),0)</f>
        <v>Meat</v>
      </c>
      <c r="I343" t="str">
        <f>VLOOKUP($B343,PRODUCT_MASTER!$A:$F,MATCH('FINAL DATA'!I$1,PRODUCT_MASTER!$A$1:$F$1,0),0)</f>
        <v>Kg</v>
      </c>
      <c r="J343" s="7">
        <f>VLOOKUP($B343,PRODUCT_MASTER!$A:$F,MATCH('FINAL DATA'!J$1,PRODUCT_MASTER!$A$1:$F$1,0),0)</f>
        <v>112</v>
      </c>
      <c r="K343" s="7">
        <f>VLOOKUP($B343,PRODUCT_MASTER!$A:$F,MATCH('FINAL DATA'!K$1,PRODUCT_MASTER!$A$1:$F$1,0),0)</f>
        <v>146.72</v>
      </c>
      <c r="L343" s="7">
        <f t="shared" si="25"/>
        <v>1568</v>
      </c>
      <c r="M343" s="7">
        <f t="shared" si="26"/>
        <v>2054.08</v>
      </c>
      <c r="N343">
        <f t="shared" si="27"/>
        <v>28</v>
      </c>
      <c r="O343" t="str">
        <f t="shared" si="28"/>
        <v>Apr</v>
      </c>
      <c r="P343">
        <f t="shared" si="29"/>
        <v>2022</v>
      </c>
    </row>
    <row r="344" spans="1:16" x14ac:dyDescent="0.2">
      <c r="A344" s="1">
        <v>44681</v>
      </c>
      <c r="B344" t="s">
        <v>37</v>
      </c>
      <c r="C344">
        <v>13</v>
      </c>
      <c r="D344" t="s">
        <v>101</v>
      </c>
      <c r="E344" t="s">
        <v>101</v>
      </c>
      <c r="F344" s="5">
        <v>0</v>
      </c>
      <c r="G344" t="str">
        <f>VLOOKUP($B344,PRODUCT_MASTER!$A:$F,MATCH('FINAL DATA'!G$1,PRODUCT_MASTER!$A$1:$F$1,0),0)</f>
        <v>Product16</v>
      </c>
      <c r="H344" t="str">
        <f>VLOOKUP($B344,PRODUCT_MASTER!$A:$F,MATCH('FINAL DATA'!H$1,PRODUCT_MASTER!$A$1:$F$1,0),0)</f>
        <v>Meat</v>
      </c>
      <c r="I344" t="str">
        <f>VLOOKUP($B344,PRODUCT_MASTER!$A:$F,MATCH('FINAL DATA'!I$1,PRODUCT_MASTER!$A$1:$F$1,0),0)</f>
        <v>No.</v>
      </c>
      <c r="J344" s="7">
        <f>VLOOKUP($B344,PRODUCT_MASTER!$A:$F,MATCH('FINAL DATA'!J$1,PRODUCT_MASTER!$A$1:$F$1,0),0)</f>
        <v>13</v>
      </c>
      <c r="K344" s="7">
        <f>VLOOKUP($B344,PRODUCT_MASTER!$A:$F,MATCH('FINAL DATA'!K$1,PRODUCT_MASTER!$A$1:$F$1,0),0)</f>
        <v>16.64</v>
      </c>
      <c r="L344" s="7">
        <f t="shared" si="25"/>
        <v>169</v>
      </c>
      <c r="M344" s="7">
        <f t="shared" si="26"/>
        <v>216.32</v>
      </c>
      <c r="N344">
        <f t="shared" si="27"/>
        <v>30</v>
      </c>
      <c r="O344" t="str">
        <f t="shared" si="28"/>
        <v>Apr</v>
      </c>
      <c r="P344">
        <f t="shared" si="29"/>
        <v>2022</v>
      </c>
    </row>
    <row r="345" spans="1:16" x14ac:dyDescent="0.2">
      <c r="A345" s="1">
        <v>44681</v>
      </c>
      <c r="B345" t="s">
        <v>59</v>
      </c>
      <c r="C345">
        <v>8</v>
      </c>
      <c r="D345" t="s">
        <v>103</v>
      </c>
      <c r="E345" t="s">
        <v>101</v>
      </c>
      <c r="F345" s="5">
        <v>0</v>
      </c>
      <c r="G345" t="str">
        <f>VLOOKUP($B345,PRODUCT_MASTER!$A:$F,MATCH('FINAL DATA'!G$1,PRODUCT_MASTER!$A$1:$F$1,0),0)</f>
        <v>Product27</v>
      </c>
      <c r="H345" t="str">
        <f>VLOOKUP($B345,PRODUCT_MASTER!$A:$F,MATCH('FINAL DATA'!H$1,PRODUCT_MASTER!$A$1:$F$1,0),0)</f>
        <v>Cheese And Dairy</v>
      </c>
      <c r="I345" t="str">
        <f>VLOOKUP($B345,PRODUCT_MASTER!$A:$F,MATCH('FINAL DATA'!I$1,PRODUCT_MASTER!$A$1:$F$1,0),0)</f>
        <v>Lt</v>
      </c>
      <c r="J345" s="7">
        <f>VLOOKUP($B345,PRODUCT_MASTER!$A:$F,MATCH('FINAL DATA'!J$1,PRODUCT_MASTER!$A$1:$F$1,0),0)</f>
        <v>48</v>
      </c>
      <c r="K345" s="7">
        <f>VLOOKUP($B345,PRODUCT_MASTER!$A:$F,MATCH('FINAL DATA'!K$1,PRODUCT_MASTER!$A$1:$F$1,0),0)</f>
        <v>57.120000000000005</v>
      </c>
      <c r="L345" s="7">
        <f t="shared" si="25"/>
        <v>384</v>
      </c>
      <c r="M345" s="7">
        <f t="shared" si="26"/>
        <v>456.96000000000004</v>
      </c>
      <c r="N345">
        <f t="shared" si="27"/>
        <v>30</v>
      </c>
      <c r="O345" t="str">
        <f t="shared" si="28"/>
        <v>Apr</v>
      </c>
      <c r="P345">
        <f t="shared" si="29"/>
        <v>2022</v>
      </c>
    </row>
    <row r="346" spans="1:16" x14ac:dyDescent="0.2">
      <c r="A346" s="1">
        <v>44682</v>
      </c>
      <c r="B346" t="s">
        <v>73</v>
      </c>
      <c r="C346">
        <v>9</v>
      </c>
      <c r="D346" t="s">
        <v>100</v>
      </c>
      <c r="E346" t="s">
        <v>101</v>
      </c>
      <c r="F346" s="5">
        <v>0</v>
      </c>
      <c r="G346" t="str">
        <f>VLOOKUP($B346,PRODUCT_MASTER!$A:$F,MATCH('FINAL DATA'!G$1,PRODUCT_MASTER!$A$1:$F$1,0),0)</f>
        <v>Product34</v>
      </c>
      <c r="H346" t="str">
        <f>VLOOKUP($B346,PRODUCT_MASTER!$A:$F,MATCH('FINAL DATA'!H$1,PRODUCT_MASTER!$A$1:$F$1,0),0)</f>
        <v>Bakery And Desserts</v>
      </c>
      <c r="I346" t="str">
        <f>VLOOKUP($B346,PRODUCT_MASTER!$A:$F,MATCH('FINAL DATA'!I$1,PRODUCT_MASTER!$A$1:$F$1,0),0)</f>
        <v>Lt</v>
      </c>
      <c r="J346" s="7">
        <f>VLOOKUP($B346,PRODUCT_MASTER!$A:$F,MATCH('FINAL DATA'!J$1,PRODUCT_MASTER!$A$1:$F$1,0),0)</f>
        <v>55</v>
      </c>
      <c r="K346" s="7">
        <f>VLOOKUP($B346,PRODUCT_MASTER!$A:$F,MATCH('FINAL DATA'!K$1,PRODUCT_MASTER!$A$1:$F$1,0),0)</f>
        <v>58.3</v>
      </c>
      <c r="L346" s="7">
        <f t="shared" si="25"/>
        <v>495</v>
      </c>
      <c r="M346" s="7">
        <f t="shared" si="26"/>
        <v>524.69999999999993</v>
      </c>
      <c r="N346">
        <f t="shared" si="27"/>
        <v>1</v>
      </c>
      <c r="O346" t="str">
        <f t="shared" si="28"/>
        <v>May</v>
      </c>
      <c r="P346">
        <f t="shared" si="29"/>
        <v>2022</v>
      </c>
    </row>
    <row r="347" spans="1:16" x14ac:dyDescent="0.2">
      <c r="A347" s="1">
        <v>44682</v>
      </c>
      <c r="B347" t="s">
        <v>71</v>
      </c>
      <c r="C347">
        <v>6</v>
      </c>
      <c r="D347" t="s">
        <v>101</v>
      </c>
      <c r="E347" t="s">
        <v>101</v>
      </c>
      <c r="F347" s="5">
        <v>0</v>
      </c>
      <c r="G347" t="str">
        <f>VLOOKUP($B347,PRODUCT_MASTER!$A:$F,MATCH('FINAL DATA'!G$1,PRODUCT_MASTER!$A$1:$F$1,0),0)</f>
        <v>Product33</v>
      </c>
      <c r="H347" t="str">
        <f>VLOOKUP($B347,PRODUCT_MASTER!$A:$F,MATCH('FINAL DATA'!H$1,PRODUCT_MASTER!$A$1:$F$1,0),0)</f>
        <v>Bakery And Desserts</v>
      </c>
      <c r="I347" t="str">
        <f>VLOOKUP($B347,PRODUCT_MASTER!$A:$F,MATCH('FINAL DATA'!I$1,PRODUCT_MASTER!$A$1:$F$1,0),0)</f>
        <v>Kg</v>
      </c>
      <c r="J347" s="7">
        <f>VLOOKUP($B347,PRODUCT_MASTER!$A:$F,MATCH('FINAL DATA'!J$1,PRODUCT_MASTER!$A$1:$F$1,0),0)</f>
        <v>95</v>
      </c>
      <c r="K347" s="7">
        <f>VLOOKUP($B347,PRODUCT_MASTER!$A:$F,MATCH('FINAL DATA'!K$1,PRODUCT_MASTER!$A$1:$F$1,0),0)</f>
        <v>119.7</v>
      </c>
      <c r="L347" s="7">
        <f t="shared" si="25"/>
        <v>570</v>
      </c>
      <c r="M347" s="7">
        <f t="shared" si="26"/>
        <v>718.2</v>
      </c>
      <c r="N347">
        <f t="shared" si="27"/>
        <v>1</v>
      </c>
      <c r="O347" t="str">
        <f t="shared" si="28"/>
        <v>May</v>
      </c>
      <c r="P347">
        <f t="shared" si="29"/>
        <v>2022</v>
      </c>
    </row>
    <row r="348" spans="1:16" x14ac:dyDescent="0.2">
      <c r="A348" s="1">
        <v>44683</v>
      </c>
      <c r="B348" t="s">
        <v>31</v>
      </c>
      <c r="C348">
        <v>4</v>
      </c>
      <c r="D348" t="s">
        <v>101</v>
      </c>
      <c r="E348" t="s">
        <v>102</v>
      </c>
      <c r="F348" s="5">
        <v>0</v>
      </c>
      <c r="G348" t="str">
        <f>VLOOKUP($B348,PRODUCT_MASTER!$A:$F,MATCH('FINAL DATA'!G$1,PRODUCT_MASTER!$A$1:$F$1,0),0)</f>
        <v>Product13</v>
      </c>
      <c r="H348" t="str">
        <f>VLOOKUP($B348,PRODUCT_MASTER!$A:$F,MATCH('FINAL DATA'!H$1,PRODUCT_MASTER!$A$1:$F$1,0),0)</f>
        <v>Meat</v>
      </c>
      <c r="I348" t="str">
        <f>VLOOKUP($B348,PRODUCT_MASTER!$A:$F,MATCH('FINAL DATA'!I$1,PRODUCT_MASTER!$A$1:$F$1,0),0)</f>
        <v>Kg</v>
      </c>
      <c r="J348" s="7">
        <f>VLOOKUP($B348,PRODUCT_MASTER!$A:$F,MATCH('FINAL DATA'!J$1,PRODUCT_MASTER!$A$1:$F$1,0),0)</f>
        <v>112</v>
      </c>
      <c r="K348" s="7">
        <f>VLOOKUP($B348,PRODUCT_MASTER!$A:$F,MATCH('FINAL DATA'!K$1,PRODUCT_MASTER!$A$1:$F$1,0),0)</f>
        <v>122.08</v>
      </c>
      <c r="L348" s="7">
        <f t="shared" si="25"/>
        <v>448</v>
      </c>
      <c r="M348" s="7">
        <f t="shared" si="26"/>
        <v>488.32</v>
      </c>
      <c r="N348">
        <f t="shared" si="27"/>
        <v>2</v>
      </c>
      <c r="O348" t="str">
        <f t="shared" si="28"/>
        <v>May</v>
      </c>
      <c r="P348">
        <f t="shared" si="29"/>
        <v>2022</v>
      </c>
    </row>
    <row r="349" spans="1:16" x14ac:dyDescent="0.2">
      <c r="A349" s="1">
        <v>44685</v>
      </c>
      <c r="B349" t="s">
        <v>45</v>
      </c>
      <c r="C349">
        <v>10</v>
      </c>
      <c r="D349" t="s">
        <v>103</v>
      </c>
      <c r="E349" t="s">
        <v>101</v>
      </c>
      <c r="F349" s="5">
        <v>0</v>
      </c>
      <c r="G349" t="str">
        <f>VLOOKUP($B349,PRODUCT_MASTER!$A:$F,MATCH('FINAL DATA'!G$1,PRODUCT_MASTER!$A$1:$F$1,0),0)</f>
        <v>Product20</v>
      </c>
      <c r="H349" t="str">
        <f>VLOOKUP($B349,PRODUCT_MASTER!$A:$F,MATCH('FINAL DATA'!H$1,PRODUCT_MASTER!$A$1:$F$1,0),0)</f>
        <v>Poultry</v>
      </c>
      <c r="I349" t="str">
        <f>VLOOKUP($B349,PRODUCT_MASTER!$A:$F,MATCH('FINAL DATA'!I$1,PRODUCT_MASTER!$A$1:$F$1,0),0)</f>
        <v>Lt</v>
      </c>
      <c r="J349" s="7">
        <f>VLOOKUP($B349,PRODUCT_MASTER!$A:$F,MATCH('FINAL DATA'!J$1,PRODUCT_MASTER!$A$1:$F$1,0),0)</f>
        <v>61</v>
      </c>
      <c r="K349" s="7">
        <f>VLOOKUP($B349,PRODUCT_MASTER!$A:$F,MATCH('FINAL DATA'!K$1,PRODUCT_MASTER!$A$1:$F$1,0),0)</f>
        <v>76.25</v>
      </c>
      <c r="L349" s="7">
        <f t="shared" si="25"/>
        <v>610</v>
      </c>
      <c r="M349" s="7">
        <f t="shared" si="26"/>
        <v>762.5</v>
      </c>
      <c r="N349">
        <f t="shared" si="27"/>
        <v>4</v>
      </c>
      <c r="O349" t="str">
        <f t="shared" si="28"/>
        <v>May</v>
      </c>
      <c r="P349">
        <f t="shared" si="29"/>
        <v>2022</v>
      </c>
    </row>
    <row r="350" spans="1:16" x14ac:dyDescent="0.2">
      <c r="A350" s="1">
        <v>44687</v>
      </c>
      <c r="B350" t="s">
        <v>73</v>
      </c>
      <c r="C350">
        <v>7</v>
      </c>
      <c r="D350" t="s">
        <v>103</v>
      </c>
      <c r="E350" t="s">
        <v>101</v>
      </c>
      <c r="F350" s="5">
        <v>0</v>
      </c>
      <c r="G350" t="str">
        <f>VLOOKUP($B350,PRODUCT_MASTER!$A:$F,MATCH('FINAL DATA'!G$1,PRODUCT_MASTER!$A$1:$F$1,0),0)</f>
        <v>Product34</v>
      </c>
      <c r="H350" t="str">
        <f>VLOOKUP($B350,PRODUCT_MASTER!$A:$F,MATCH('FINAL DATA'!H$1,PRODUCT_MASTER!$A$1:$F$1,0),0)</f>
        <v>Bakery And Desserts</v>
      </c>
      <c r="I350" t="str">
        <f>VLOOKUP($B350,PRODUCT_MASTER!$A:$F,MATCH('FINAL DATA'!I$1,PRODUCT_MASTER!$A$1:$F$1,0),0)</f>
        <v>Lt</v>
      </c>
      <c r="J350" s="7">
        <f>VLOOKUP($B350,PRODUCT_MASTER!$A:$F,MATCH('FINAL DATA'!J$1,PRODUCT_MASTER!$A$1:$F$1,0),0)</f>
        <v>55</v>
      </c>
      <c r="K350" s="7">
        <f>VLOOKUP($B350,PRODUCT_MASTER!$A:$F,MATCH('FINAL DATA'!K$1,PRODUCT_MASTER!$A$1:$F$1,0),0)</f>
        <v>58.3</v>
      </c>
      <c r="L350" s="7">
        <f t="shared" si="25"/>
        <v>385</v>
      </c>
      <c r="M350" s="7">
        <f t="shared" si="26"/>
        <v>408.09999999999997</v>
      </c>
      <c r="N350">
        <f t="shared" si="27"/>
        <v>6</v>
      </c>
      <c r="O350" t="str">
        <f t="shared" si="28"/>
        <v>May</v>
      </c>
      <c r="P350">
        <f t="shared" si="29"/>
        <v>2022</v>
      </c>
    </row>
    <row r="351" spans="1:16" x14ac:dyDescent="0.2">
      <c r="A351" s="1">
        <v>44688</v>
      </c>
      <c r="B351" t="s">
        <v>35</v>
      </c>
      <c r="C351">
        <v>4</v>
      </c>
      <c r="D351" t="s">
        <v>101</v>
      </c>
      <c r="E351" t="s">
        <v>102</v>
      </c>
      <c r="F351" s="5">
        <v>0</v>
      </c>
      <c r="G351" t="str">
        <f>VLOOKUP($B351,PRODUCT_MASTER!$A:$F,MATCH('FINAL DATA'!G$1,PRODUCT_MASTER!$A$1:$F$1,0),0)</f>
        <v>Product15</v>
      </c>
      <c r="H351" t="str">
        <f>VLOOKUP($B351,PRODUCT_MASTER!$A:$F,MATCH('FINAL DATA'!H$1,PRODUCT_MASTER!$A$1:$F$1,0),0)</f>
        <v>Meat</v>
      </c>
      <c r="I351" t="str">
        <f>VLOOKUP($B351,PRODUCT_MASTER!$A:$F,MATCH('FINAL DATA'!I$1,PRODUCT_MASTER!$A$1:$F$1,0),0)</f>
        <v>No.</v>
      </c>
      <c r="J351" s="7">
        <f>VLOOKUP($B351,PRODUCT_MASTER!$A:$F,MATCH('FINAL DATA'!J$1,PRODUCT_MASTER!$A$1:$F$1,0),0)</f>
        <v>12</v>
      </c>
      <c r="K351" s="7">
        <f>VLOOKUP($B351,PRODUCT_MASTER!$A:$F,MATCH('FINAL DATA'!K$1,PRODUCT_MASTER!$A$1:$F$1,0),0)</f>
        <v>15.719999999999999</v>
      </c>
      <c r="L351" s="7">
        <f t="shared" si="25"/>
        <v>48</v>
      </c>
      <c r="M351" s="7">
        <f t="shared" si="26"/>
        <v>62.879999999999995</v>
      </c>
      <c r="N351">
        <f t="shared" si="27"/>
        <v>7</v>
      </c>
      <c r="O351" t="str">
        <f t="shared" si="28"/>
        <v>May</v>
      </c>
      <c r="P351">
        <f t="shared" si="29"/>
        <v>2022</v>
      </c>
    </row>
    <row r="352" spans="1:16" x14ac:dyDescent="0.2">
      <c r="A352" s="1">
        <v>44688</v>
      </c>
      <c r="B352" t="s">
        <v>59</v>
      </c>
      <c r="C352">
        <v>1</v>
      </c>
      <c r="D352" t="s">
        <v>101</v>
      </c>
      <c r="E352" t="s">
        <v>101</v>
      </c>
      <c r="F352" s="5">
        <v>0</v>
      </c>
      <c r="G352" t="str">
        <f>VLOOKUP($B352,PRODUCT_MASTER!$A:$F,MATCH('FINAL DATA'!G$1,PRODUCT_MASTER!$A$1:$F$1,0),0)</f>
        <v>Product27</v>
      </c>
      <c r="H352" t="str">
        <f>VLOOKUP($B352,PRODUCT_MASTER!$A:$F,MATCH('FINAL DATA'!H$1,PRODUCT_MASTER!$A$1:$F$1,0),0)</f>
        <v>Cheese And Dairy</v>
      </c>
      <c r="I352" t="str">
        <f>VLOOKUP($B352,PRODUCT_MASTER!$A:$F,MATCH('FINAL DATA'!I$1,PRODUCT_MASTER!$A$1:$F$1,0),0)</f>
        <v>Lt</v>
      </c>
      <c r="J352" s="7">
        <f>VLOOKUP($B352,PRODUCT_MASTER!$A:$F,MATCH('FINAL DATA'!J$1,PRODUCT_MASTER!$A$1:$F$1,0),0)</f>
        <v>48</v>
      </c>
      <c r="K352" s="7">
        <f>VLOOKUP($B352,PRODUCT_MASTER!$A:$F,MATCH('FINAL DATA'!K$1,PRODUCT_MASTER!$A$1:$F$1,0),0)</f>
        <v>57.120000000000005</v>
      </c>
      <c r="L352" s="7">
        <f t="shared" si="25"/>
        <v>48</v>
      </c>
      <c r="M352" s="7">
        <f t="shared" si="26"/>
        <v>57.120000000000005</v>
      </c>
      <c r="N352">
        <f t="shared" si="27"/>
        <v>7</v>
      </c>
      <c r="O352" t="str">
        <f t="shared" si="28"/>
        <v>May</v>
      </c>
      <c r="P352">
        <f t="shared" si="29"/>
        <v>2022</v>
      </c>
    </row>
    <row r="353" spans="1:16" x14ac:dyDescent="0.2">
      <c r="A353" s="1">
        <v>44689</v>
      </c>
      <c r="B353" t="s">
        <v>49</v>
      </c>
      <c r="C353">
        <v>7</v>
      </c>
      <c r="D353" t="s">
        <v>101</v>
      </c>
      <c r="E353" t="s">
        <v>101</v>
      </c>
      <c r="F353" s="5">
        <v>0</v>
      </c>
      <c r="G353" t="str">
        <f>VLOOKUP($B353,PRODUCT_MASTER!$A:$F,MATCH('FINAL DATA'!G$1,PRODUCT_MASTER!$A$1:$F$1,0),0)</f>
        <v>Product22</v>
      </c>
      <c r="H353" t="str">
        <f>VLOOKUP($B353,PRODUCT_MASTER!$A:$F,MATCH('FINAL DATA'!H$1,PRODUCT_MASTER!$A$1:$F$1,0),0)</f>
        <v>Seafood</v>
      </c>
      <c r="I353" t="str">
        <f>VLOOKUP($B353,PRODUCT_MASTER!$A:$F,MATCH('FINAL DATA'!I$1,PRODUCT_MASTER!$A$1:$F$1,0),0)</f>
        <v>Ft</v>
      </c>
      <c r="J353" s="7">
        <f>VLOOKUP($B353,PRODUCT_MASTER!$A:$F,MATCH('FINAL DATA'!J$1,PRODUCT_MASTER!$A$1:$F$1,0),0)</f>
        <v>121</v>
      </c>
      <c r="K353" s="7">
        <f>VLOOKUP($B353,PRODUCT_MASTER!$A:$F,MATCH('FINAL DATA'!K$1,PRODUCT_MASTER!$A$1:$F$1,0),0)</f>
        <v>141.57</v>
      </c>
      <c r="L353" s="7">
        <f t="shared" si="25"/>
        <v>847</v>
      </c>
      <c r="M353" s="7">
        <f t="shared" si="26"/>
        <v>990.99</v>
      </c>
      <c r="N353">
        <f t="shared" si="27"/>
        <v>8</v>
      </c>
      <c r="O353" t="str">
        <f t="shared" si="28"/>
        <v>May</v>
      </c>
      <c r="P353">
        <f t="shared" si="29"/>
        <v>2022</v>
      </c>
    </row>
    <row r="354" spans="1:16" x14ac:dyDescent="0.2">
      <c r="A354" s="1">
        <v>44690</v>
      </c>
      <c r="B354" t="s">
        <v>39</v>
      </c>
      <c r="C354">
        <v>12</v>
      </c>
      <c r="D354" t="s">
        <v>100</v>
      </c>
      <c r="E354" t="s">
        <v>102</v>
      </c>
      <c r="F354" s="5">
        <v>0</v>
      </c>
      <c r="G354" t="str">
        <f>VLOOKUP($B354,PRODUCT_MASTER!$A:$F,MATCH('FINAL DATA'!G$1,PRODUCT_MASTER!$A$1:$F$1,0),0)</f>
        <v>Product17</v>
      </c>
      <c r="H354" t="str">
        <f>VLOOKUP($B354,PRODUCT_MASTER!$A:$F,MATCH('FINAL DATA'!H$1,PRODUCT_MASTER!$A$1:$F$1,0),0)</f>
        <v>Poultry</v>
      </c>
      <c r="I354" t="str">
        <f>VLOOKUP($B354,PRODUCT_MASTER!$A:$F,MATCH('FINAL DATA'!I$1,PRODUCT_MASTER!$A$1:$F$1,0),0)</f>
        <v>Ft</v>
      </c>
      <c r="J354" s="7">
        <f>VLOOKUP($B354,PRODUCT_MASTER!$A:$F,MATCH('FINAL DATA'!J$1,PRODUCT_MASTER!$A$1:$F$1,0),0)</f>
        <v>134</v>
      </c>
      <c r="K354" s="7">
        <f>VLOOKUP($B354,PRODUCT_MASTER!$A:$F,MATCH('FINAL DATA'!K$1,PRODUCT_MASTER!$A$1:$F$1,0),0)</f>
        <v>156.78</v>
      </c>
      <c r="L354" s="7">
        <f t="shared" si="25"/>
        <v>1608</v>
      </c>
      <c r="M354" s="7">
        <f t="shared" si="26"/>
        <v>1881.3600000000001</v>
      </c>
      <c r="N354">
        <f t="shared" si="27"/>
        <v>9</v>
      </c>
      <c r="O354" t="str">
        <f t="shared" si="28"/>
        <v>May</v>
      </c>
      <c r="P354">
        <f t="shared" si="29"/>
        <v>2022</v>
      </c>
    </row>
    <row r="355" spans="1:16" x14ac:dyDescent="0.2">
      <c r="A355" s="1">
        <v>44691</v>
      </c>
      <c r="B355" t="s">
        <v>23</v>
      </c>
      <c r="C355">
        <v>6</v>
      </c>
      <c r="D355" t="s">
        <v>103</v>
      </c>
      <c r="E355" t="s">
        <v>101</v>
      </c>
      <c r="F355" s="5">
        <v>0</v>
      </c>
      <c r="G355" t="str">
        <f>VLOOKUP($B355,PRODUCT_MASTER!$A:$F,MATCH('FINAL DATA'!G$1,PRODUCT_MASTER!$A$1:$F$1,0),0)</f>
        <v>Product09</v>
      </c>
      <c r="H355" t="str">
        <f>VLOOKUP($B355,PRODUCT_MASTER!$A:$F,MATCH('FINAL DATA'!H$1,PRODUCT_MASTER!$A$1:$F$1,0),0)</f>
        <v>Gourmet Foods</v>
      </c>
      <c r="I355" t="str">
        <f>VLOOKUP($B355,PRODUCT_MASTER!$A:$F,MATCH('FINAL DATA'!I$1,PRODUCT_MASTER!$A$1:$F$1,0),0)</f>
        <v>No.</v>
      </c>
      <c r="J355" s="7">
        <f>VLOOKUP($B355,PRODUCT_MASTER!$A:$F,MATCH('FINAL DATA'!J$1,PRODUCT_MASTER!$A$1:$F$1,0),0)</f>
        <v>6</v>
      </c>
      <c r="K355" s="7">
        <f>VLOOKUP($B355,PRODUCT_MASTER!$A:$F,MATCH('FINAL DATA'!K$1,PRODUCT_MASTER!$A$1:$F$1,0),0)</f>
        <v>7.8599999999999994</v>
      </c>
      <c r="L355" s="7">
        <f t="shared" si="25"/>
        <v>36</v>
      </c>
      <c r="M355" s="7">
        <f t="shared" si="26"/>
        <v>47.16</v>
      </c>
      <c r="N355">
        <f t="shared" si="27"/>
        <v>10</v>
      </c>
      <c r="O355" t="str">
        <f t="shared" si="28"/>
        <v>May</v>
      </c>
      <c r="P355">
        <f t="shared" si="29"/>
        <v>2022</v>
      </c>
    </row>
    <row r="356" spans="1:16" x14ac:dyDescent="0.2">
      <c r="A356" s="1">
        <v>44693</v>
      </c>
      <c r="B356" t="s">
        <v>27</v>
      </c>
      <c r="C356">
        <v>7</v>
      </c>
      <c r="D356" t="s">
        <v>101</v>
      </c>
      <c r="E356" t="s">
        <v>102</v>
      </c>
      <c r="F356" s="5">
        <v>0</v>
      </c>
      <c r="G356" t="str">
        <f>VLOOKUP($B356,PRODUCT_MASTER!$A:$F,MATCH('FINAL DATA'!G$1,PRODUCT_MASTER!$A$1:$F$1,0),0)</f>
        <v>Product11</v>
      </c>
      <c r="H356" t="str">
        <f>VLOOKUP($B356,PRODUCT_MASTER!$A:$F,MATCH('FINAL DATA'!H$1,PRODUCT_MASTER!$A$1:$F$1,0),0)</f>
        <v>Gourmet Foods</v>
      </c>
      <c r="I356" t="str">
        <f>VLOOKUP($B356,PRODUCT_MASTER!$A:$F,MATCH('FINAL DATA'!I$1,PRODUCT_MASTER!$A$1:$F$1,0),0)</f>
        <v>Lt</v>
      </c>
      <c r="J356" s="7">
        <f>VLOOKUP($B356,PRODUCT_MASTER!$A:$F,MATCH('FINAL DATA'!J$1,PRODUCT_MASTER!$A$1:$F$1,0),0)</f>
        <v>44</v>
      </c>
      <c r="K356" s="7">
        <f>VLOOKUP($B356,PRODUCT_MASTER!$A:$F,MATCH('FINAL DATA'!K$1,PRODUCT_MASTER!$A$1:$F$1,0),0)</f>
        <v>48.4</v>
      </c>
      <c r="L356" s="7">
        <f t="shared" si="25"/>
        <v>308</v>
      </c>
      <c r="M356" s="7">
        <f t="shared" si="26"/>
        <v>338.8</v>
      </c>
      <c r="N356">
        <f t="shared" si="27"/>
        <v>12</v>
      </c>
      <c r="O356" t="str">
        <f t="shared" si="28"/>
        <v>May</v>
      </c>
      <c r="P356">
        <f t="shared" si="29"/>
        <v>2022</v>
      </c>
    </row>
    <row r="357" spans="1:16" x14ac:dyDescent="0.2">
      <c r="A357" s="1">
        <v>44694</v>
      </c>
      <c r="B357" t="s">
        <v>29</v>
      </c>
      <c r="C357">
        <v>5</v>
      </c>
      <c r="D357" t="s">
        <v>103</v>
      </c>
      <c r="E357" t="s">
        <v>101</v>
      </c>
      <c r="F357" s="5">
        <v>0</v>
      </c>
      <c r="G357" t="str">
        <f>VLOOKUP($B357,PRODUCT_MASTER!$A:$F,MATCH('FINAL DATA'!G$1,PRODUCT_MASTER!$A$1:$F$1,0),0)</f>
        <v>Product12</v>
      </c>
      <c r="H357" t="str">
        <f>VLOOKUP($B357,PRODUCT_MASTER!$A:$F,MATCH('FINAL DATA'!H$1,PRODUCT_MASTER!$A$1:$F$1,0),0)</f>
        <v>Meat</v>
      </c>
      <c r="I357" t="str">
        <f>VLOOKUP($B357,PRODUCT_MASTER!$A:$F,MATCH('FINAL DATA'!I$1,PRODUCT_MASTER!$A$1:$F$1,0),0)</f>
        <v>Kg</v>
      </c>
      <c r="J357" s="7">
        <f>VLOOKUP($B357,PRODUCT_MASTER!$A:$F,MATCH('FINAL DATA'!J$1,PRODUCT_MASTER!$A$1:$F$1,0),0)</f>
        <v>73</v>
      </c>
      <c r="K357" s="7">
        <f>VLOOKUP($B357,PRODUCT_MASTER!$A:$F,MATCH('FINAL DATA'!K$1,PRODUCT_MASTER!$A$1:$F$1,0),0)</f>
        <v>94.17</v>
      </c>
      <c r="L357" s="7">
        <f t="shared" si="25"/>
        <v>365</v>
      </c>
      <c r="M357" s="7">
        <f t="shared" si="26"/>
        <v>470.85</v>
      </c>
      <c r="N357">
        <f t="shared" si="27"/>
        <v>13</v>
      </c>
      <c r="O357" t="str">
        <f t="shared" si="28"/>
        <v>May</v>
      </c>
      <c r="P357">
        <f t="shared" si="29"/>
        <v>2022</v>
      </c>
    </row>
    <row r="358" spans="1:16" x14ac:dyDescent="0.2">
      <c r="A358" s="1">
        <v>44695</v>
      </c>
      <c r="B358" t="s">
        <v>21</v>
      </c>
      <c r="C358">
        <v>14</v>
      </c>
      <c r="D358" t="s">
        <v>103</v>
      </c>
      <c r="E358" t="s">
        <v>102</v>
      </c>
      <c r="F358" s="5">
        <v>0</v>
      </c>
      <c r="G358" t="str">
        <f>VLOOKUP($B358,PRODUCT_MASTER!$A:$F,MATCH('FINAL DATA'!G$1,PRODUCT_MASTER!$A$1:$F$1,0),0)</f>
        <v>Product08</v>
      </c>
      <c r="H358" t="str">
        <f>VLOOKUP($B358,PRODUCT_MASTER!$A:$F,MATCH('FINAL DATA'!H$1,PRODUCT_MASTER!$A$1:$F$1,0),0)</f>
        <v>Gourmet Foods</v>
      </c>
      <c r="I358" t="str">
        <f>VLOOKUP($B358,PRODUCT_MASTER!$A:$F,MATCH('FINAL DATA'!I$1,PRODUCT_MASTER!$A$1:$F$1,0),0)</f>
        <v>Kg</v>
      </c>
      <c r="J358" s="7">
        <f>VLOOKUP($B358,PRODUCT_MASTER!$A:$F,MATCH('FINAL DATA'!J$1,PRODUCT_MASTER!$A$1:$F$1,0),0)</f>
        <v>83</v>
      </c>
      <c r="K358" s="7">
        <f>VLOOKUP($B358,PRODUCT_MASTER!$A:$F,MATCH('FINAL DATA'!K$1,PRODUCT_MASTER!$A$1:$F$1,0),0)</f>
        <v>94.62</v>
      </c>
      <c r="L358" s="7">
        <f t="shared" si="25"/>
        <v>1162</v>
      </c>
      <c r="M358" s="7">
        <f t="shared" si="26"/>
        <v>1324.68</v>
      </c>
      <c r="N358">
        <f t="shared" si="27"/>
        <v>14</v>
      </c>
      <c r="O358" t="str">
        <f t="shared" si="28"/>
        <v>May</v>
      </c>
      <c r="P358">
        <f t="shared" si="29"/>
        <v>2022</v>
      </c>
    </row>
    <row r="359" spans="1:16" x14ac:dyDescent="0.2">
      <c r="A359" s="1">
        <v>44696</v>
      </c>
      <c r="B359" t="s">
        <v>45</v>
      </c>
      <c r="C359">
        <v>5</v>
      </c>
      <c r="D359" t="s">
        <v>101</v>
      </c>
      <c r="E359" t="s">
        <v>101</v>
      </c>
      <c r="F359" s="5">
        <v>0</v>
      </c>
      <c r="G359" t="str">
        <f>VLOOKUP($B359,PRODUCT_MASTER!$A:$F,MATCH('FINAL DATA'!G$1,PRODUCT_MASTER!$A$1:$F$1,0),0)</f>
        <v>Product20</v>
      </c>
      <c r="H359" t="str">
        <f>VLOOKUP($B359,PRODUCT_MASTER!$A:$F,MATCH('FINAL DATA'!H$1,PRODUCT_MASTER!$A$1:$F$1,0),0)</f>
        <v>Poultry</v>
      </c>
      <c r="I359" t="str">
        <f>VLOOKUP($B359,PRODUCT_MASTER!$A:$F,MATCH('FINAL DATA'!I$1,PRODUCT_MASTER!$A$1:$F$1,0),0)</f>
        <v>Lt</v>
      </c>
      <c r="J359" s="7">
        <f>VLOOKUP($B359,PRODUCT_MASTER!$A:$F,MATCH('FINAL DATA'!J$1,PRODUCT_MASTER!$A$1:$F$1,0),0)</f>
        <v>61</v>
      </c>
      <c r="K359" s="7">
        <f>VLOOKUP($B359,PRODUCT_MASTER!$A:$F,MATCH('FINAL DATA'!K$1,PRODUCT_MASTER!$A$1:$F$1,0),0)</f>
        <v>76.25</v>
      </c>
      <c r="L359" s="7">
        <f t="shared" si="25"/>
        <v>305</v>
      </c>
      <c r="M359" s="7">
        <f t="shared" si="26"/>
        <v>381.25</v>
      </c>
      <c r="N359">
        <f t="shared" si="27"/>
        <v>15</v>
      </c>
      <c r="O359" t="str">
        <f t="shared" si="28"/>
        <v>May</v>
      </c>
      <c r="P359">
        <f t="shared" si="29"/>
        <v>2022</v>
      </c>
    </row>
    <row r="360" spans="1:16" x14ac:dyDescent="0.2">
      <c r="A360" s="1">
        <v>44697</v>
      </c>
      <c r="B360" t="s">
        <v>25</v>
      </c>
      <c r="C360">
        <v>13</v>
      </c>
      <c r="D360" t="s">
        <v>103</v>
      </c>
      <c r="E360" t="s">
        <v>102</v>
      </c>
      <c r="F360" s="5">
        <v>0</v>
      </c>
      <c r="G360" t="str">
        <f>VLOOKUP($B360,PRODUCT_MASTER!$A:$F,MATCH('FINAL DATA'!G$1,PRODUCT_MASTER!$A$1:$F$1,0),0)</f>
        <v>Product10</v>
      </c>
      <c r="H360" t="str">
        <f>VLOOKUP($B360,PRODUCT_MASTER!$A:$F,MATCH('FINAL DATA'!H$1,PRODUCT_MASTER!$A$1:$F$1,0),0)</f>
        <v>Gourmet Foods</v>
      </c>
      <c r="I360" t="str">
        <f>VLOOKUP($B360,PRODUCT_MASTER!$A:$F,MATCH('FINAL DATA'!I$1,PRODUCT_MASTER!$A$1:$F$1,0),0)</f>
        <v>Ft</v>
      </c>
      <c r="J360" s="7">
        <f>VLOOKUP($B360,PRODUCT_MASTER!$A:$F,MATCH('FINAL DATA'!J$1,PRODUCT_MASTER!$A$1:$F$1,0),0)</f>
        <v>148</v>
      </c>
      <c r="K360" s="7">
        <f>VLOOKUP($B360,PRODUCT_MASTER!$A:$F,MATCH('FINAL DATA'!K$1,PRODUCT_MASTER!$A$1:$F$1,0),0)</f>
        <v>164.28</v>
      </c>
      <c r="L360" s="7">
        <f t="shared" si="25"/>
        <v>1924</v>
      </c>
      <c r="M360" s="7">
        <f t="shared" si="26"/>
        <v>2135.64</v>
      </c>
      <c r="N360">
        <f t="shared" si="27"/>
        <v>16</v>
      </c>
      <c r="O360" t="str">
        <f t="shared" si="28"/>
        <v>May</v>
      </c>
      <c r="P360">
        <f t="shared" si="29"/>
        <v>2022</v>
      </c>
    </row>
    <row r="361" spans="1:16" x14ac:dyDescent="0.2">
      <c r="A361" s="1">
        <v>44697</v>
      </c>
      <c r="B361" t="s">
        <v>67</v>
      </c>
      <c r="C361">
        <v>13</v>
      </c>
      <c r="D361" t="s">
        <v>101</v>
      </c>
      <c r="E361" t="s">
        <v>101</v>
      </c>
      <c r="F361" s="5">
        <v>0</v>
      </c>
      <c r="G361" t="str">
        <f>VLOOKUP($B361,PRODUCT_MASTER!$A:$F,MATCH('FINAL DATA'!G$1,PRODUCT_MASTER!$A$1:$F$1,0),0)</f>
        <v>Product31</v>
      </c>
      <c r="H361" t="str">
        <f>VLOOKUP($B361,PRODUCT_MASTER!$A:$F,MATCH('FINAL DATA'!H$1,PRODUCT_MASTER!$A$1:$F$1,0),0)</f>
        <v>Cheese And Dairy</v>
      </c>
      <c r="I361" t="str">
        <f>VLOOKUP($B361,PRODUCT_MASTER!$A:$F,MATCH('FINAL DATA'!I$1,PRODUCT_MASTER!$A$1:$F$1,0),0)</f>
        <v>Kg</v>
      </c>
      <c r="J361" s="7">
        <f>VLOOKUP($B361,PRODUCT_MASTER!$A:$F,MATCH('FINAL DATA'!J$1,PRODUCT_MASTER!$A$1:$F$1,0),0)</f>
        <v>93</v>
      </c>
      <c r="K361" s="7">
        <f>VLOOKUP($B361,PRODUCT_MASTER!$A:$F,MATCH('FINAL DATA'!K$1,PRODUCT_MASTER!$A$1:$F$1,0),0)</f>
        <v>104.16</v>
      </c>
      <c r="L361" s="7">
        <f t="shared" si="25"/>
        <v>1209</v>
      </c>
      <c r="M361" s="7">
        <f t="shared" si="26"/>
        <v>1354.08</v>
      </c>
      <c r="N361">
        <f t="shared" si="27"/>
        <v>16</v>
      </c>
      <c r="O361" t="str">
        <f t="shared" si="28"/>
        <v>May</v>
      </c>
      <c r="P361">
        <f t="shared" si="29"/>
        <v>2022</v>
      </c>
    </row>
    <row r="362" spans="1:16" x14ac:dyDescent="0.2">
      <c r="A362" s="1">
        <v>44698</v>
      </c>
      <c r="B362" t="s">
        <v>59</v>
      </c>
      <c r="C362">
        <v>8</v>
      </c>
      <c r="D362" t="s">
        <v>103</v>
      </c>
      <c r="E362" t="s">
        <v>102</v>
      </c>
      <c r="F362" s="5">
        <v>0</v>
      </c>
      <c r="G362" t="str">
        <f>VLOOKUP($B362,PRODUCT_MASTER!$A:$F,MATCH('FINAL DATA'!G$1,PRODUCT_MASTER!$A$1:$F$1,0),0)</f>
        <v>Product27</v>
      </c>
      <c r="H362" t="str">
        <f>VLOOKUP($B362,PRODUCT_MASTER!$A:$F,MATCH('FINAL DATA'!H$1,PRODUCT_MASTER!$A$1:$F$1,0),0)</f>
        <v>Cheese And Dairy</v>
      </c>
      <c r="I362" t="str">
        <f>VLOOKUP($B362,PRODUCT_MASTER!$A:$F,MATCH('FINAL DATA'!I$1,PRODUCT_MASTER!$A$1:$F$1,0),0)</f>
        <v>Lt</v>
      </c>
      <c r="J362" s="7">
        <f>VLOOKUP($B362,PRODUCT_MASTER!$A:$F,MATCH('FINAL DATA'!J$1,PRODUCT_MASTER!$A$1:$F$1,0),0)</f>
        <v>48</v>
      </c>
      <c r="K362" s="7">
        <f>VLOOKUP($B362,PRODUCT_MASTER!$A:$F,MATCH('FINAL DATA'!K$1,PRODUCT_MASTER!$A$1:$F$1,0),0)</f>
        <v>57.120000000000005</v>
      </c>
      <c r="L362" s="7">
        <f t="shared" si="25"/>
        <v>384</v>
      </c>
      <c r="M362" s="7">
        <f t="shared" si="26"/>
        <v>456.96000000000004</v>
      </c>
      <c r="N362">
        <f t="shared" si="27"/>
        <v>17</v>
      </c>
      <c r="O362" t="str">
        <f t="shared" si="28"/>
        <v>May</v>
      </c>
      <c r="P362">
        <f t="shared" si="29"/>
        <v>2022</v>
      </c>
    </row>
    <row r="363" spans="1:16" x14ac:dyDescent="0.2">
      <c r="A363" s="1">
        <v>44699</v>
      </c>
      <c r="B363" t="s">
        <v>59</v>
      </c>
      <c r="C363">
        <v>4</v>
      </c>
      <c r="D363" t="s">
        <v>100</v>
      </c>
      <c r="E363" t="s">
        <v>101</v>
      </c>
      <c r="F363" s="5">
        <v>0</v>
      </c>
      <c r="G363" t="str">
        <f>VLOOKUP($B363,PRODUCT_MASTER!$A:$F,MATCH('FINAL DATA'!G$1,PRODUCT_MASTER!$A$1:$F$1,0),0)</f>
        <v>Product27</v>
      </c>
      <c r="H363" t="str">
        <f>VLOOKUP($B363,PRODUCT_MASTER!$A:$F,MATCH('FINAL DATA'!H$1,PRODUCT_MASTER!$A$1:$F$1,0),0)</f>
        <v>Cheese And Dairy</v>
      </c>
      <c r="I363" t="str">
        <f>VLOOKUP($B363,PRODUCT_MASTER!$A:$F,MATCH('FINAL DATA'!I$1,PRODUCT_MASTER!$A$1:$F$1,0),0)</f>
        <v>Lt</v>
      </c>
      <c r="J363" s="7">
        <f>VLOOKUP($B363,PRODUCT_MASTER!$A:$F,MATCH('FINAL DATA'!J$1,PRODUCT_MASTER!$A$1:$F$1,0),0)</f>
        <v>48</v>
      </c>
      <c r="K363" s="7">
        <f>VLOOKUP($B363,PRODUCT_MASTER!$A:$F,MATCH('FINAL DATA'!K$1,PRODUCT_MASTER!$A$1:$F$1,0),0)</f>
        <v>57.120000000000005</v>
      </c>
      <c r="L363" s="7">
        <f t="shared" si="25"/>
        <v>192</v>
      </c>
      <c r="M363" s="7">
        <f t="shared" si="26"/>
        <v>228.48000000000002</v>
      </c>
      <c r="N363">
        <f t="shared" si="27"/>
        <v>18</v>
      </c>
      <c r="O363" t="str">
        <f t="shared" si="28"/>
        <v>May</v>
      </c>
      <c r="P363">
        <f t="shared" si="29"/>
        <v>2022</v>
      </c>
    </row>
    <row r="364" spans="1:16" x14ac:dyDescent="0.2">
      <c r="A364" s="1">
        <v>44699</v>
      </c>
      <c r="B364" t="s">
        <v>81</v>
      </c>
      <c r="C364">
        <v>8</v>
      </c>
      <c r="D364" t="s">
        <v>100</v>
      </c>
      <c r="E364" t="s">
        <v>101</v>
      </c>
      <c r="F364" s="5">
        <v>0</v>
      </c>
      <c r="G364" t="str">
        <f>VLOOKUP($B364,PRODUCT_MASTER!$A:$F,MATCH('FINAL DATA'!G$1,PRODUCT_MASTER!$A$1:$F$1,0),0)</f>
        <v>Product38</v>
      </c>
      <c r="H364" t="str">
        <f>VLOOKUP($B364,PRODUCT_MASTER!$A:$F,MATCH('FINAL DATA'!H$1,PRODUCT_MASTER!$A$1:$F$1,0),0)</f>
        <v>Snacks</v>
      </c>
      <c r="I364" t="str">
        <f>VLOOKUP($B364,PRODUCT_MASTER!$A:$F,MATCH('FINAL DATA'!I$1,PRODUCT_MASTER!$A$1:$F$1,0),0)</f>
        <v>Kg</v>
      </c>
      <c r="J364" s="7">
        <f>VLOOKUP($B364,PRODUCT_MASTER!$A:$F,MATCH('FINAL DATA'!J$1,PRODUCT_MASTER!$A$1:$F$1,0),0)</f>
        <v>72</v>
      </c>
      <c r="K364" s="7">
        <f>VLOOKUP($B364,PRODUCT_MASTER!$A:$F,MATCH('FINAL DATA'!K$1,PRODUCT_MASTER!$A$1:$F$1,0),0)</f>
        <v>79.92</v>
      </c>
      <c r="L364" s="7">
        <f t="shared" si="25"/>
        <v>576</v>
      </c>
      <c r="M364" s="7">
        <f t="shared" si="26"/>
        <v>639.36</v>
      </c>
      <c r="N364">
        <f t="shared" si="27"/>
        <v>18</v>
      </c>
      <c r="O364" t="str">
        <f t="shared" si="28"/>
        <v>May</v>
      </c>
      <c r="P364">
        <f t="shared" si="29"/>
        <v>2022</v>
      </c>
    </row>
    <row r="365" spans="1:16" x14ac:dyDescent="0.2">
      <c r="A365" s="1">
        <v>44701</v>
      </c>
      <c r="B365" t="s">
        <v>93</v>
      </c>
      <c r="C365">
        <v>15</v>
      </c>
      <c r="D365" t="s">
        <v>101</v>
      </c>
      <c r="E365" t="s">
        <v>102</v>
      </c>
      <c r="F365" s="5">
        <v>0</v>
      </c>
      <c r="G365" t="str">
        <f>VLOOKUP($B365,PRODUCT_MASTER!$A:$F,MATCH('FINAL DATA'!G$1,PRODUCT_MASTER!$A$1:$F$1,0),0)</f>
        <v>Product44</v>
      </c>
      <c r="H365" t="str">
        <f>VLOOKUP($B365,PRODUCT_MASTER!$A:$F,MATCH('FINAL DATA'!H$1,PRODUCT_MASTER!$A$1:$F$1,0),0)</f>
        <v>Candy</v>
      </c>
      <c r="I365" t="str">
        <f>VLOOKUP($B365,PRODUCT_MASTER!$A:$F,MATCH('FINAL DATA'!I$1,PRODUCT_MASTER!$A$1:$F$1,0),0)</f>
        <v>Kg</v>
      </c>
      <c r="J365" s="7">
        <f>VLOOKUP($B365,PRODUCT_MASTER!$A:$F,MATCH('FINAL DATA'!J$1,PRODUCT_MASTER!$A$1:$F$1,0),0)</f>
        <v>76</v>
      </c>
      <c r="K365" s="7">
        <f>VLOOKUP($B365,PRODUCT_MASTER!$A:$F,MATCH('FINAL DATA'!K$1,PRODUCT_MASTER!$A$1:$F$1,0),0)</f>
        <v>82.08</v>
      </c>
      <c r="L365" s="7">
        <f t="shared" si="25"/>
        <v>1140</v>
      </c>
      <c r="M365" s="7">
        <f t="shared" si="26"/>
        <v>1231.2</v>
      </c>
      <c r="N365">
        <f t="shared" si="27"/>
        <v>20</v>
      </c>
      <c r="O365" t="str">
        <f t="shared" si="28"/>
        <v>May</v>
      </c>
      <c r="P365">
        <f t="shared" si="29"/>
        <v>2022</v>
      </c>
    </row>
    <row r="366" spans="1:16" x14ac:dyDescent="0.2">
      <c r="A366" s="1">
        <v>44703</v>
      </c>
      <c r="B366" t="s">
        <v>35</v>
      </c>
      <c r="C366">
        <v>12</v>
      </c>
      <c r="D366" t="s">
        <v>103</v>
      </c>
      <c r="E366" t="s">
        <v>101</v>
      </c>
      <c r="F366" s="5">
        <v>0</v>
      </c>
      <c r="G366" t="str">
        <f>VLOOKUP($B366,PRODUCT_MASTER!$A:$F,MATCH('FINAL DATA'!G$1,PRODUCT_MASTER!$A$1:$F$1,0),0)</f>
        <v>Product15</v>
      </c>
      <c r="H366" t="str">
        <f>VLOOKUP($B366,PRODUCT_MASTER!$A:$F,MATCH('FINAL DATA'!H$1,PRODUCT_MASTER!$A$1:$F$1,0),0)</f>
        <v>Meat</v>
      </c>
      <c r="I366" t="str">
        <f>VLOOKUP($B366,PRODUCT_MASTER!$A:$F,MATCH('FINAL DATA'!I$1,PRODUCT_MASTER!$A$1:$F$1,0),0)</f>
        <v>No.</v>
      </c>
      <c r="J366" s="7">
        <f>VLOOKUP($B366,PRODUCT_MASTER!$A:$F,MATCH('FINAL DATA'!J$1,PRODUCT_MASTER!$A$1:$F$1,0),0)</f>
        <v>12</v>
      </c>
      <c r="K366" s="7">
        <f>VLOOKUP($B366,PRODUCT_MASTER!$A:$F,MATCH('FINAL DATA'!K$1,PRODUCT_MASTER!$A$1:$F$1,0),0)</f>
        <v>15.719999999999999</v>
      </c>
      <c r="L366" s="7">
        <f t="shared" si="25"/>
        <v>144</v>
      </c>
      <c r="M366" s="7">
        <f t="shared" si="26"/>
        <v>188.64</v>
      </c>
      <c r="N366">
        <f t="shared" si="27"/>
        <v>22</v>
      </c>
      <c r="O366" t="str">
        <f t="shared" si="28"/>
        <v>May</v>
      </c>
      <c r="P366">
        <f t="shared" si="29"/>
        <v>2022</v>
      </c>
    </row>
    <row r="367" spans="1:16" x14ac:dyDescent="0.2">
      <c r="A367" s="1">
        <v>44706</v>
      </c>
      <c r="B367" t="s">
        <v>9</v>
      </c>
      <c r="C367">
        <v>7</v>
      </c>
      <c r="D367" t="s">
        <v>101</v>
      </c>
      <c r="E367" t="s">
        <v>101</v>
      </c>
      <c r="F367" s="5">
        <v>0</v>
      </c>
      <c r="G367" t="str">
        <f>VLOOKUP($B367,PRODUCT_MASTER!$A:$F,MATCH('FINAL DATA'!G$1,PRODUCT_MASTER!$A$1:$F$1,0),0)</f>
        <v>Product02</v>
      </c>
      <c r="H367" t="str">
        <f>VLOOKUP($B367,PRODUCT_MASTER!$A:$F,MATCH('FINAL DATA'!H$1,PRODUCT_MASTER!$A$1:$F$1,0),0)</f>
        <v>Organic</v>
      </c>
      <c r="I367" t="str">
        <f>VLOOKUP($B367,PRODUCT_MASTER!$A:$F,MATCH('FINAL DATA'!I$1,PRODUCT_MASTER!$A$1:$F$1,0),0)</f>
        <v>Kg</v>
      </c>
      <c r="J367" s="7">
        <f>VLOOKUP($B367,PRODUCT_MASTER!$A:$F,MATCH('FINAL DATA'!J$1,PRODUCT_MASTER!$A$1:$F$1,0),0)</f>
        <v>105</v>
      </c>
      <c r="K367" s="7">
        <f>VLOOKUP($B367,PRODUCT_MASTER!$A:$F,MATCH('FINAL DATA'!K$1,PRODUCT_MASTER!$A$1:$F$1,0),0)</f>
        <v>142.80000000000001</v>
      </c>
      <c r="L367" s="7">
        <f t="shared" si="25"/>
        <v>735</v>
      </c>
      <c r="M367" s="7">
        <f t="shared" si="26"/>
        <v>999.60000000000014</v>
      </c>
      <c r="N367">
        <f t="shared" si="27"/>
        <v>25</v>
      </c>
      <c r="O367" t="str">
        <f t="shared" si="28"/>
        <v>May</v>
      </c>
      <c r="P367">
        <f t="shared" si="29"/>
        <v>2022</v>
      </c>
    </row>
    <row r="368" spans="1:16" x14ac:dyDescent="0.2">
      <c r="A368" s="1">
        <v>44707</v>
      </c>
      <c r="B368" t="s">
        <v>61</v>
      </c>
      <c r="C368">
        <v>2</v>
      </c>
      <c r="D368" t="s">
        <v>103</v>
      </c>
      <c r="E368" t="s">
        <v>101</v>
      </c>
      <c r="F368" s="5">
        <v>0</v>
      </c>
      <c r="G368" t="str">
        <f>VLOOKUP($B368,PRODUCT_MASTER!$A:$F,MATCH('FINAL DATA'!G$1,PRODUCT_MASTER!$A$1:$F$1,0),0)</f>
        <v>Product28</v>
      </c>
      <c r="H368" t="str">
        <f>VLOOKUP($B368,PRODUCT_MASTER!$A:$F,MATCH('FINAL DATA'!H$1,PRODUCT_MASTER!$A$1:$F$1,0),0)</f>
        <v>Cheese And Dairy</v>
      </c>
      <c r="I368" t="str">
        <f>VLOOKUP($B368,PRODUCT_MASTER!$A:$F,MATCH('FINAL DATA'!I$1,PRODUCT_MASTER!$A$1:$F$1,0),0)</f>
        <v>No.</v>
      </c>
      <c r="J368" s="7">
        <f>VLOOKUP($B368,PRODUCT_MASTER!$A:$F,MATCH('FINAL DATA'!J$1,PRODUCT_MASTER!$A$1:$F$1,0),0)</f>
        <v>37</v>
      </c>
      <c r="K368" s="7">
        <f>VLOOKUP($B368,PRODUCT_MASTER!$A:$F,MATCH('FINAL DATA'!K$1,PRODUCT_MASTER!$A$1:$F$1,0),0)</f>
        <v>41.81</v>
      </c>
      <c r="L368" s="7">
        <f t="shared" si="25"/>
        <v>74</v>
      </c>
      <c r="M368" s="7">
        <f t="shared" si="26"/>
        <v>83.62</v>
      </c>
      <c r="N368">
        <f t="shared" si="27"/>
        <v>26</v>
      </c>
      <c r="O368" t="str">
        <f t="shared" si="28"/>
        <v>May</v>
      </c>
      <c r="P368">
        <f t="shared" si="29"/>
        <v>2022</v>
      </c>
    </row>
    <row r="369" spans="1:16" x14ac:dyDescent="0.2">
      <c r="A369" s="1">
        <v>44707</v>
      </c>
      <c r="B369" t="s">
        <v>59</v>
      </c>
      <c r="C369">
        <v>2</v>
      </c>
      <c r="D369" t="s">
        <v>101</v>
      </c>
      <c r="E369" t="s">
        <v>101</v>
      </c>
      <c r="F369" s="5">
        <v>0</v>
      </c>
      <c r="G369" t="str">
        <f>VLOOKUP($B369,PRODUCT_MASTER!$A:$F,MATCH('FINAL DATA'!G$1,PRODUCT_MASTER!$A$1:$F$1,0),0)</f>
        <v>Product27</v>
      </c>
      <c r="H369" t="str">
        <f>VLOOKUP($B369,PRODUCT_MASTER!$A:$F,MATCH('FINAL DATA'!H$1,PRODUCT_MASTER!$A$1:$F$1,0),0)</f>
        <v>Cheese And Dairy</v>
      </c>
      <c r="I369" t="str">
        <f>VLOOKUP($B369,PRODUCT_MASTER!$A:$F,MATCH('FINAL DATA'!I$1,PRODUCT_MASTER!$A$1:$F$1,0),0)</f>
        <v>Lt</v>
      </c>
      <c r="J369" s="7">
        <f>VLOOKUP($B369,PRODUCT_MASTER!$A:$F,MATCH('FINAL DATA'!J$1,PRODUCT_MASTER!$A$1:$F$1,0),0)</f>
        <v>48</v>
      </c>
      <c r="K369" s="7">
        <f>VLOOKUP($B369,PRODUCT_MASTER!$A:$F,MATCH('FINAL DATA'!K$1,PRODUCT_MASTER!$A$1:$F$1,0),0)</f>
        <v>57.120000000000005</v>
      </c>
      <c r="L369" s="7">
        <f t="shared" si="25"/>
        <v>96</v>
      </c>
      <c r="M369" s="7">
        <f t="shared" si="26"/>
        <v>114.24000000000001</v>
      </c>
      <c r="N369">
        <f t="shared" si="27"/>
        <v>26</v>
      </c>
      <c r="O369" t="str">
        <f t="shared" si="28"/>
        <v>May</v>
      </c>
      <c r="P369">
        <f t="shared" si="29"/>
        <v>2022</v>
      </c>
    </row>
    <row r="370" spans="1:16" x14ac:dyDescent="0.2">
      <c r="A370" s="1">
        <v>44709</v>
      </c>
      <c r="B370" t="s">
        <v>87</v>
      </c>
      <c r="C370">
        <v>10</v>
      </c>
      <c r="D370" t="s">
        <v>100</v>
      </c>
      <c r="E370" t="s">
        <v>102</v>
      </c>
      <c r="F370" s="5">
        <v>0</v>
      </c>
      <c r="G370" t="str">
        <f>VLOOKUP($B370,PRODUCT_MASTER!$A:$F,MATCH('FINAL DATA'!G$1,PRODUCT_MASTER!$A$1:$F$1,0),0)</f>
        <v>Product41</v>
      </c>
      <c r="H370" t="str">
        <f>VLOOKUP($B370,PRODUCT_MASTER!$A:$F,MATCH('FINAL DATA'!H$1,PRODUCT_MASTER!$A$1:$F$1,0),0)</f>
        <v>Snacks</v>
      </c>
      <c r="I370" t="str">
        <f>VLOOKUP($B370,PRODUCT_MASTER!$A:$F,MATCH('FINAL DATA'!I$1,PRODUCT_MASTER!$A$1:$F$1,0),0)</f>
        <v>Ft</v>
      </c>
      <c r="J370" s="7">
        <f>VLOOKUP($B370,PRODUCT_MASTER!$A:$F,MATCH('FINAL DATA'!J$1,PRODUCT_MASTER!$A$1:$F$1,0),0)</f>
        <v>138</v>
      </c>
      <c r="K370" s="7">
        <f>VLOOKUP($B370,PRODUCT_MASTER!$A:$F,MATCH('FINAL DATA'!K$1,PRODUCT_MASTER!$A$1:$F$1,0),0)</f>
        <v>173.88</v>
      </c>
      <c r="L370" s="7">
        <f t="shared" si="25"/>
        <v>1380</v>
      </c>
      <c r="M370" s="7">
        <f t="shared" si="26"/>
        <v>1738.8</v>
      </c>
      <c r="N370">
        <f t="shared" si="27"/>
        <v>28</v>
      </c>
      <c r="O370" t="str">
        <f t="shared" si="28"/>
        <v>May</v>
      </c>
      <c r="P370">
        <f t="shared" si="29"/>
        <v>2022</v>
      </c>
    </row>
    <row r="371" spans="1:16" x14ac:dyDescent="0.2">
      <c r="A371" s="1">
        <v>44709</v>
      </c>
      <c r="B371" t="s">
        <v>21</v>
      </c>
      <c r="C371">
        <v>5</v>
      </c>
      <c r="D371" t="s">
        <v>100</v>
      </c>
      <c r="E371" t="s">
        <v>101</v>
      </c>
      <c r="F371" s="5">
        <v>0</v>
      </c>
      <c r="G371" t="str">
        <f>VLOOKUP($B371,PRODUCT_MASTER!$A:$F,MATCH('FINAL DATA'!G$1,PRODUCT_MASTER!$A$1:$F$1,0),0)</f>
        <v>Product08</v>
      </c>
      <c r="H371" t="str">
        <f>VLOOKUP($B371,PRODUCT_MASTER!$A:$F,MATCH('FINAL DATA'!H$1,PRODUCT_MASTER!$A$1:$F$1,0),0)</f>
        <v>Gourmet Foods</v>
      </c>
      <c r="I371" t="str">
        <f>VLOOKUP($B371,PRODUCT_MASTER!$A:$F,MATCH('FINAL DATA'!I$1,PRODUCT_MASTER!$A$1:$F$1,0),0)</f>
        <v>Kg</v>
      </c>
      <c r="J371" s="7">
        <f>VLOOKUP($B371,PRODUCT_MASTER!$A:$F,MATCH('FINAL DATA'!J$1,PRODUCT_MASTER!$A$1:$F$1,0),0)</f>
        <v>83</v>
      </c>
      <c r="K371" s="7">
        <f>VLOOKUP($B371,PRODUCT_MASTER!$A:$F,MATCH('FINAL DATA'!K$1,PRODUCT_MASTER!$A$1:$F$1,0),0)</f>
        <v>94.62</v>
      </c>
      <c r="L371" s="7">
        <f t="shared" si="25"/>
        <v>415</v>
      </c>
      <c r="M371" s="7">
        <f t="shared" si="26"/>
        <v>473.1</v>
      </c>
      <c r="N371">
        <f t="shared" si="27"/>
        <v>28</v>
      </c>
      <c r="O371" t="str">
        <f t="shared" si="28"/>
        <v>May</v>
      </c>
      <c r="P371">
        <f t="shared" si="29"/>
        <v>2022</v>
      </c>
    </row>
    <row r="372" spans="1:16" x14ac:dyDescent="0.2">
      <c r="A372" s="1">
        <v>44709</v>
      </c>
      <c r="B372" t="s">
        <v>25</v>
      </c>
      <c r="C372">
        <v>9</v>
      </c>
      <c r="D372" t="s">
        <v>101</v>
      </c>
      <c r="E372" t="s">
        <v>102</v>
      </c>
      <c r="F372" s="5">
        <v>0</v>
      </c>
      <c r="G372" t="str">
        <f>VLOOKUP($B372,PRODUCT_MASTER!$A:$F,MATCH('FINAL DATA'!G$1,PRODUCT_MASTER!$A$1:$F$1,0),0)</f>
        <v>Product10</v>
      </c>
      <c r="H372" t="str">
        <f>VLOOKUP($B372,PRODUCT_MASTER!$A:$F,MATCH('FINAL DATA'!H$1,PRODUCT_MASTER!$A$1:$F$1,0),0)</f>
        <v>Gourmet Foods</v>
      </c>
      <c r="I372" t="str">
        <f>VLOOKUP($B372,PRODUCT_MASTER!$A:$F,MATCH('FINAL DATA'!I$1,PRODUCT_MASTER!$A$1:$F$1,0),0)</f>
        <v>Ft</v>
      </c>
      <c r="J372" s="7">
        <f>VLOOKUP($B372,PRODUCT_MASTER!$A:$F,MATCH('FINAL DATA'!J$1,PRODUCT_MASTER!$A$1:$F$1,0),0)</f>
        <v>148</v>
      </c>
      <c r="K372" s="7">
        <f>VLOOKUP($B372,PRODUCT_MASTER!$A:$F,MATCH('FINAL DATA'!K$1,PRODUCT_MASTER!$A$1:$F$1,0),0)</f>
        <v>164.28</v>
      </c>
      <c r="L372" s="7">
        <f t="shared" si="25"/>
        <v>1332</v>
      </c>
      <c r="M372" s="7">
        <f t="shared" si="26"/>
        <v>1478.52</v>
      </c>
      <c r="N372">
        <f t="shared" si="27"/>
        <v>28</v>
      </c>
      <c r="O372" t="str">
        <f t="shared" si="28"/>
        <v>May</v>
      </c>
      <c r="P372">
        <f t="shared" si="29"/>
        <v>2022</v>
      </c>
    </row>
    <row r="373" spans="1:16" x14ac:dyDescent="0.2">
      <c r="A373" s="1">
        <v>44709</v>
      </c>
      <c r="B373" t="s">
        <v>13</v>
      </c>
      <c r="C373">
        <v>12</v>
      </c>
      <c r="D373" t="s">
        <v>101</v>
      </c>
      <c r="E373" t="s">
        <v>101</v>
      </c>
      <c r="F373" s="5">
        <v>0</v>
      </c>
      <c r="G373" t="str">
        <f>VLOOKUP($B373,PRODUCT_MASTER!$A:$F,MATCH('FINAL DATA'!G$1,PRODUCT_MASTER!$A$1:$F$1,0),0)</f>
        <v>Product04</v>
      </c>
      <c r="H373" t="str">
        <f>VLOOKUP($B373,PRODUCT_MASTER!$A:$F,MATCH('FINAL DATA'!H$1,PRODUCT_MASTER!$A$1:$F$1,0),0)</f>
        <v>Organic</v>
      </c>
      <c r="I373" t="str">
        <f>VLOOKUP($B373,PRODUCT_MASTER!$A:$F,MATCH('FINAL DATA'!I$1,PRODUCT_MASTER!$A$1:$F$1,0),0)</f>
        <v>Lt</v>
      </c>
      <c r="J373" s="7">
        <f>VLOOKUP($B373,PRODUCT_MASTER!$A:$F,MATCH('FINAL DATA'!J$1,PRODUCT_MASTER!$A$1:$F$1,0),0)</f>
        <v>44</v>
      </c>
      <c r="K373" s="7">
        <f>VLOOKUP($B373,PRODUCT_MASTER!$A:$F,MATCH('FINAL DATA'!K$1,PRODUCT_MASTER!$A$1:$F$1,0),0)</f>
        <v>48.84</v>
      </c>
      <c r="L373" s="7">
        <f t="shared" si="25"/>
        <v>528</v>
      </c>
      <c r="M373" s="7">
        <f t="shared" si="26"/>
        <v>586.08000000000004</v>
      </c>
      <c r="N373">
        <f t="shared" si="27"/>
        <v>28</v>
      </c>
      <c r="O373" t="str">
        <f t="shared" si="28"/>
        <v>May</v>
      </c>
      <c r="P373">
        <f t="shared" si="29"/>
        <v>2022</v>
      </c>
    </row>
    <row r="374" spans="1:16" x14ac:dyDescent="0.2">
      <c r="A374" s="1">
        <v>44709</v>
      </c>
      <c r="B374" t="s">
        <v>45</v>
      </c>
      <c r="C374">
        <v>14</v>
      </c>
      <c r="D374" t="s">
        <v>103</v>
      </c>
      <c r="E374" t="s">
        <v>102</v>
      </c>
      <c r="F374" s="5">
        <v>0</v>
      </c>
      <c r="G374" t="str">
        <f>VLOOKUP($B374,PRODUCT_MASTER!$A:$F,MATCH('FINAL DATA'!G$1,PRODUCT_MASTER!$A$1:$F$1,0),0)</f>
        <v>Product20</v>
      </c>
      <c r="H374" t="str">
        <f>VLOOKUP($B374,PRODUCT_MASTER!$A:$F,MATCH('FINAL DATA'!H$1,PRODUCT_MASTER!$A$1:$F$1,0),0)</f>
        <v>Poultry</v>
      </c>
      <c r="I374" t="str">
        <f>VLOOKUP($B374,PRODUCT_MASTER!$A:$F,MATCH('FINAL DATA'!I$1,PRODUCT_MASTER!$A$1:$F$1,0),0)</f>
        <v>Lt</v>
      </c>
      <c r="J374" s="7">
        <f>VLOOKUP($B374,PRODUCT_MASTER!$A:$F,MATCH('FINAL DATA'!J$1,PRODUCT_MASTER!$A$1:$F$1,0),0)</f>
        <v>61</v>
      </c>
      <c r="K374" s="7">
        <f>VLOOKUP($B374,PRODUCT_MASTER!$A:$F,MATCH('FINAL DATA'!K$1,PRODUCT_MASTER!$A$1:$F$1,0),0)</f>
        <v>76.25</v>
      </c>
      <c r="L374" s="7">
        <f t="shared" si="25"/>
        <v>854</v>
      </c>
      <c r="M374" s="7">
        <f t="shared" si="26"/>
        <v>1067.5</v>
      </c>
      <c r="N374">
        <f t="shared" si="27"/>
        <v>28</v>
      </c>
      <c r="O374" t="str">
        <f t="shared" si="28"/>
        <v>May</v>
      </c>
      <c r="P374">
        <f t="shared" si="29"/>
        <v>2022</v>
      </c>
    </row>
    <row r="375" spans="1:16" x14ac:dyDescent="0.2">
      <c r="A375" s="1">
        <v>44711</v>
      </c>
      <c r="B375" t="s">
        <v>93</v>
      </c>
      <c r="C375">
        <v>9</v>
      </c>
      <c r="D375" t="s">
        <v>103</v>
      </c>
      <c r="E375" t="s">
        <v>101</v>
      </c>
      <c r="F375" s="5">
        <v>0</v>
      </c>
      <c r="G375" t="str">
        <f>VLOOKUP($B375,PRODUCT_MASTER!$A:$F,MATCH('FINAL DATA'!G$1,PRODUCT_MASTER!$A$1:$F$1,0),0)</f>
        <v>Product44</v>
      </c>
      <c r="H375" t="str">
        <f>VLOOKUP($B375,PRODUCT_MASTER!$A:$F,MATCH('FINAL DATA'!H$1,PRODUCT_MASTER!$A$1:$F$1,0),0)</f>
        <v>Candy</v>
      </c>
      <c r="I375" t="str">
        <f>VLOOKUP($B375,PRODUCT_MASTER!$A:$F,MATCH('FINAL DATA'!I$1,PRODUCT_MASTER!$A$1:$F$1,0),0)</f>
        <v>Kg</v>
      </c>
      <c r="J375" s="7">
        <f>VLOOKUP($B375,PRODUCT_MASTER!$A:$F,MATCH('FINAL DATA'!J$1,PRODUCT_MASTER!$A$1:$F$1,0),0)</f>
        <v>76</v>
      </c>
      <c r="K375" s="7">
        <f>VLOOKUP($B375,PRODUCT_MASTER!$A:$F,MATCH('FINAL DATA'!K$1,PRODUCT_MASTER!$A$1:$F$1,0),0)</f>
        <v>82.08</v>
      </c>
      <c r="L375" s="7">
        <f t="shared" si="25"/>
        <v>684</v>
      </c>
      <c r="M375" s="7">
        <f t="shared" si="26"/>
        <v>738.72</v>
      </c>
      <c r="N375">
        <f t="shared" si="27"/>
        <v>30</v>
      </c>
      <c r="O375" t="str">
        <f t="shared" si="28"/>
        <v>May</v>
      </c>
      <c r="P375">
        <f t="shared" si="29"/>
        <v>2022</v>
      </c>
    </row>
    <row r="376" spans="1:16" x14ac:dyDescent="0.2">
      <c r="A376" s="1">
        <v>44711</v>
      </c>
      <c r="B376" t="s">
        <v>15</v>
      </c>
      <c r="C376">
        <v>4</v>
      </c>
      <c r="D376" t="s">
        <v>100</v>
      </c>
      <c r="E376" t="s">
        <v>102</v>
      </c>
      <c r="F376" s="5">
        <v>0</v>
      </c>
      <c r="G376" t="str">
        <f>VLOOKUP($B376,PRODUCT_MASTER!$A:$F,MATCH('FINAL DATA'!G$1,PRODUCT_MASTER!$A$1:$F$1,0),0)</f>
        <v>Product05</v>
      </c>
      <c r="H376" t="str">
        <f>VLOOKUP($B376,PRODUCT_MASTER!$A:$F,MATCH('FINAL DATA'!H$1,PRODUCT_MASTER!$A$1:$F$1,0),0)</f>
        <v>Organic</v>
      </c>
      <c r="I376" t="str">
        <f>VLOOKUP($B376,PRODUCT_MASTER!$A:$F,MATCH('FINAL DATA'!I$1,PRODUCT_MASTER!$A$1:$F$1,0),0)</f>
        <v>Ft</v>
      </c>
      <c r="J376" s="7">
        <f>VLOOKUP($B376,PRODUCT_MASTER!$A:$F,MATCH('FINAL DATA'!J$1,PRODUCT_MASTER!$A$1:$F$1,0),0)</f>
        <v>133</v>
      </c>
      <c r="K376" s="7">
        <f>VLOOKUP($B376,PRODUCT_MASTER!$A:$F,MATCH('FINAL DATA'!K$1,PRODUCT_MASTER!$A$1:$F$1,0),0)</f>
        <v>155.61000000000001</v>
      </c>
      <c r="L376" s="7">
        <f t="shared" si="25"/>
        <v>532</v>
      </c>
      <c r="M376" s="7">
        <f t="shared" si="26"/>
        <v>622.44000000000005</v>
      </c>
      <c r="N376">
        <f t="shared" si="27"/>
        <v>30</v>
      </c>
      <c r="O376" t="str">
        <f t="shared" si="28"/>
        <v>May</v>
      </c>
      <c r="P376">
        <f t="shared" si="29"/>
        <v>2022</v>
      </c>
    </row>
    <row r="377" spans="1:16" x14ac:dyDescent="0.2">
      <c r="A377" s="1">
        <v>44711</v>
      </c>
      <c r="B377" t="s">
        <v>71</v>
      </c>
      <c r="C377">
        <v>3</v>
      </c>
      <c r="D377" t="s">
        <v>101</v>
      </c>
      <c r="E377" t="s">
        <v>102</v>
      </c>
      <c r="F377" s="5">
        <v>0</v>
      </c>
      <c r="G377" t="str">
        <f>VLOOKUP($B377,PRODUCT_MASTER!$A:$F,MATCH('FINAL DATA'!G$1,PRODUCT_MASTER!$A$1:$F$1,0),0)</f>
        <v>Product33</v>
      </c>
      <c r="H377" t="str">
        <f>VLOOKUP($B377,PRODUCT_MASTER!$A:$F,MATCH('FINAL DATA'!H$1,PRODUCT_MASTER!$A$1:$F$1,0),0)</f>
        <v>Bakery And Desserts</v>
      </c>
      <c r="I377" t="str">
        <f>VLOOKUP($B377,PRODUCT_MASTER!$A:$F,MATCH('FINAL DATA'!I$1,PRODUCT_MASTER!$A$1:$F$1,0),0)</f>
        <v>Kg</v>
      </c>
      <c r="J377" s="7">
        <f>VLOOKUP($B377,PRODUCT_MASTER!$A:$F,MATCH('FINAL DATA'!J$1,PRODUCT_MASTER!$A$1:$F$1,0),0)</f>
        <v>95</v>
      </c>
      <c r="K377" s="7">
        <f>VLOOKUP($B377,PRODUCT_MASTER!$A:$F,MATCH('FINAL DATA'!K$1,PRODUCT_MASTER!$A$1:$F$1,0),0)</f>
        <v>119.7</v>
      </c>
      <c r="L377" s="7">
        <f t="shared" si="25"/>
        <v>285</v>
      </c>
      <c r="M377" s="7">
        <f t="shared" si="26"/>
        <v>359.1</v>
      </c>
      <c r="N377">
        <f t="shared" si="27"/>
        <v>30</v>
      </c>
      <c r="O377" t="str">
        <f t="shared" si="28"/>
        <v>May</v>
      </c>
      <c r="P377">
        <f t="shared" si="29"/>
        <v>2022</v>
      </c>
    </row>
    <row r="378" spans="1:16" x14ac:dyDescent="0.2">
      <c r="A378" s="1">
        <v>44715</v>
      </c>
      <c r="B378" t="s">
        <v>21</v>
      </c>
      <c r="C378">
        <v>14</v>
      </c>
      <c r="D378" t="s">
        <v>101</v>
      </c>
      <c r="E378" t="s">
        <v>101</v>
      </c>
      <c r="F378" s="5">
        <v>0</v>
      </c>
      <c r="G378" t="str">
        <f>VLOOKUP($B378,PRODUCT_MASTER!$A:$F,MATCH('FINAL DATA'!G$1,PRODUCT_MASTER!$A$1:$F$1,0),0)</f>
        <v>Product08</v>
      </c>
      <c r="H378" t="str">
        <f>VLOOKUP($B378,PRODUCT_MASTER!$A:$F,MATCH('FINAL DATA'!H$1,PRODUCT_MASTER!$A$1:$F$1,0),0)</f>
        <v>Gourmet Foods</v>
      </c>
      <c r="I378" t="str">
        <f>VLOOKUP($B378,PRODUCT_MASTER!$A:$F,MATCH('FINAL DATA'!I$1,PRODUCT_MASTER!$A$1:$F$1,0),0)</f>
        <v>Kg</v>
      </c>
      <c r="J378" s="7">
        <f>VLOOKUP($B378,PRODUCT_MASTER!$A:$F,MATCH('FINAL DATA'!J$1,PRODUCT_MASTER!$A$1:$F$1,0),0)</f>
        <v>83</v>
      </c>
      <c r="K378" s="7">
        <f>VLOOKUP($B378,PRODUCT_MASTER!$A:$F,MATCH('FINAL DATA'!K$1,PRODUCT_MASTER!$A$1:$F$1,0),0)</f>
        <v>94.62</v>
      </c>
      <c r="L378" s="7">
        <f t="shared" si="25"/>
        <v>1162</v>
      </c>
      <c r="M378" s="7">
        <f t="shared" si="26"/>
        <v>1324.68</v>
      </c>
      <c r="N378">
        <f t="shared" si="27"/>
        <v>3</v>
      </c>
      <c r="O378" t="str">
        <f t="shared" si="28"/>
        <v>Jun</v>
      </c>
      <c r="P378">
        <f t="shared" si="29"/>
        <v>2022</v>
      </c>
    </row>
    <row r="379" spans="1:16" x14ac:dyDescent="0.2">
      <c r="A379" s="1">
        <v>44722</v>
      </c>
      <c r="B379" t="s">
        <v>61</v>
      </c>
      <c r="C379">
        <v>8</v>
      </c>
      <c r="D379" t="s">
        <v>100</v>
      </c>
      <c r="E379" t="s">
        <v>101</v>
      </c>
      <c r="F379" s="5">
        <v>0</v>
      </c>
      <c r="G379" t="str">
        <f>VLOOKUP($B379,PRODUCT_MASTER!$A:$F,MATCH('FINAL DATA'!G$1,PRODUCT_MASTER!$A$1:$F$1,0),0)</f>
        <v>Product28</v>
      </c>
      <c r="H379" t="str">
        <f>VLOOKUP($B379,PRODUCT_MASTER!$A:$F,MATCH('FINAL DATA'!H$1,PRODUCT_MASTER!$A$1:$F$1,0),0)</f>
        <v>Cheese And Dairy</v>
      </c>
      <c r="I379" t="str">
        <f>VLOOKUP($B379,PRODUCT_MASTER!$A:$F,MATCH('FINAL DATA'!I$1,PRODUCT_MASTER!$A$1:$F$1,0),0)</f>
        <v>No.</v>
      </c>
      <c r="J379" s="7">
        <f>VLOOKUP($B379,PRODUCT_MASTER!$A:$F,MATCH('FINAL DATA'!J$1,PRODUCT_MASTER!$A$1:$F$1,0),0)</f>
        <v>37</v>
      </c>
      <c r="K379" s="7">
        <f>VLOOKUP($B379,PRODUCT_MASTER!$A:$F,MATCH('FINAL DATA'!K$1,PRODUCT_MASTER!$A$1:$F$1,0),0)</f>
        <v>41.81</v>
      </c>
      <c r="L379" s="7">
        <f t="shared" si="25"/>
        <v>296</v>
      </c>
      <c r="M379" s="7">
        <f t="shared" si="26"/>
        <v>334.48</v>
      </c>
      <c r="N379">
        <f t="shared" si="27"/>
        <v>10</v>
      </c>
      <c r="O379" t="str">
        <f t="shared" si="28"/>
        <v>Jun</v>
      </c>
      <c r="P379">
        <f t="shared" si="29"/>
        <v>2022</v>
      </c>
    </row>
    <row r="380" spans="1:16" x14ac:dyDescent="0.2">
      <c r="A380" s="1">
        <v>44723</v>
      </c>
      <c r="B380" t="s">
        <v>83</v>
      </c>
      <c r="C380">
        <v>13</v>
      </c>
      <c r="D380" t="s">
        <v>101</v>
      </c>
      <c r="E380" t="s">
        <v>102</v>
      </c>
      <c r="F380" s="5">
        <v>0</v>
      </c>
      <c r="G380" t="str">
        <f>VLOOKUP($B380,PRODUCT_MASTER!$A:$F,MATCH('FINAL DATA'!G$1,PRODUCT_MASTER!$A$1:$F$1,0),0)</f>
        <v>Product39</v>
      </c>
      <c r="H380" t="str">
        <f>VLOOKUP($B380,PRODUCT_MASTER!$A:$F,MATCH('FINAL DATA'!H$1,PRODUCT_MASTER!$A$1:$F$1,0),0)</f>
        <v>Snacks</v>
      </c>
      <c r="I380" t="str">
        <f>VLOOKUP($B380,PRODUCT_MASTER!$A:$F,MATCH('FINAL DATA'!I$1,PRODUCT_MASTER!$A$1:$F$1,0),0)</f>
        <v>No.</v>
      </c>
      <c r="J380" s="7">
        <f>VLOOKUP($B380,PRODUCT_MASTER!$A:$F,MATCH('FINAL DATA'!J$1,PRODUCT_MASTER!$A$1:$F$1,0),0)</f>
        <v>37</v>
      </c>
      <c r="K380" s="7">
        <f>VLOOKUP($B380,PRODUCT_MASTER!$A:$F,MATCH('FINAL DATA'!K$1,PRODUCT_MASTER!$A$1:$F$1,0),0)</f>
        <v>42.55</v>
      </c>
      <c r="L380" s="7">
        <f t="shared" si="25"/>
        <v>481</v>
      </c>
      <c r="M380" s="7">
        <f t="shared" si="26"/>
        <v>553.15</v>
      </c>
      <c r="N380">
        <f t="shared" si="27"/>
        <v>11</v>
      </c>
      <c r="O380" t="str">
        <f t="shared" si="28"/>
        <v>Jun</v>
      </c>
      <c r="P380">
        <f t="shared" si="29"/>
        <v>2022</v>
      </c>
    </row>
    <row r="381" spans="1:16" x14ac:dyDescent="0.2">
      <c r="A381" s="1">
        <v>44723</v>
      </c>
      <c r="B381" t="s">
        <v>47</v>
      </c>
      <c r="C381">
        <v>6</v>
      </c>
      <c r="D381" t="s">
        <v>103</v>
      </c>
      <c r="E381" t="s">
        <v>101</v>
      </c>
      <c r="F381" s="5">
        <v>0</v>
      </c>
      <c r="G381" t="str">
        <f>VLOOKUP($B381,PRODUCT_MASTER!$A:$F,MATCH('FINAL DATA'!G$1,PRODUCT_MASTER!$A$1:$F$1,0),0)</f>
        <v>Product21</v>
      </c>
      <c r="H381" t="str">
        <f>VLOOKUP($B381,PRODUCT_MASTER!$A:$F,MATCH('FINAL DATA'!H$1,PRODUCT_MASTER!$A$1:$F$1,0),0)</f>
        <v>Poultry</v>
      </c>
      <c r="I381" t="str">
        <f>VLOOKUP($B381,PRODUCT_MASTER!$A:$F,MATCH('FINAL DATA'!I$1,PRODUCT_MASTER!$A$1:$F$1,0),0)</f>
        <v>Ft</v>
      </c>
      <c r="J381" s="7">
        <f>VLOOKUP($B381,PRODUCT_MASTER!$A:$F,MATCH('FINAL DATA'!J$1,PRODUCT_MASTER!$A$1:$F$1,0),0)</f>
        <v>126</v>
      </c>
      <c r="K381" s="7">
        <f>VLOOKUP($B381,PRODUCT_MASTER!$A:$F,MATCH('FINAL DATA'!K$1,PRODUCT_MASTER!$A$1:$F$1,0),0)</f>
        <v>162.54</v>
      </c>
      <c r="L381" s="7">
        <f t="shared" si="25"/>
        <v>756</v>
      </c>
      <c r="M381" s="7">
        <f t="shared" si="26"/>
        <v>975.24</v>
      </c>
      <c r="N381">
        <f t="shared" si="27"/>
        <v>11</v>
      </c>
      <c r="O381" t="str">
        <f t="shared" si="28"/>
        <v>Jun</v>
      </c>
      <c r="P381">
        <f t="shared" si="29"/>
        <v>2022</v>
      </c>
    </row>
    <row r="382" spans="1:16" x14ac:dyDescent="0.2">
      <c r="A382" s="1">
        <v>44725</v>
      </c>
      <c r="B382" t="s">
        <v>57</v>
      </c>
      <c r="C382">
        <v>6</v>
      </c>
      <c r="D382" t="s">
        <v>103</v>
      </c>
      <c r="E382" t="s">
        <v>102</v>
      </c>
      <c r="F382" s="5">
        <v>0</v>
      </c>
      <c r="G382" t="str">
        <f>VLOOKUP($B382,PRODUCT_MASTER!$A:$F,MATCH('FINAL DATA'!G$1,PRODUCT_MASTER!$A$1:$F$1,0),0)</f>
        <v>Product26</v>
      </c>
      <c r="H382" t="str">
        <f>VLOOKUP($B382,PRODUCT_MASTER!$A:$F,MATCH('FINAL DATA'!H$1,PRODUCT_MASTER!$A$1:$F$1,0),0)</f>
        <v>Seafood</v>
      </c>
      <c r="I382" t="str">
        <f>VLOOKUP($B382,PRODUCT_MASTER!$A:$F,MATCH('FINAL DATA'!I$1,PRODUCT_MASTER!$A$1:$F$1,0),0)</f>
        <v>No.</v>
      </c>
      <c r="J382" s="7">
        <f>VLOOKUP($B382,PRODUCT_MASTER!$A:$F,MATCH('FINAL DATA'!J$1,PRODUCT_MASTER!$A$1:$F$1,0),0)</f>
        <v>18</v>
      </c>
      <c r="K382" s="7">
        <f>VLOOKUP($B382,PRODUCT_MASTER!$A:$F,MATCH('FINAL DATA'!K$1,PRODUCT_MASTER!$A$1:$F$1,0),0)</f>
        <v>24.66</v>
      </c>
      <c r="L382" s="7">
        <f t="shared" si="25"/>
        <v>108</v>
      </c>
      <c r="M382" s="7">
        <f t="shared" si="26"/>
        <v>147.96</v>
      </c>
      <c r="N382">
        <f t="shared" si="27"/>
        <v>13</v>
      </c>
      <c r="O382" t="str">
        <f t="shared" si="28"/>
        <v>Jun</v>
      </c>
      <c r="P382">
        <f t="shared" si="29"/>
        <v>2022</v>
      </c>
    </row>
    <row r="383" spans="1:16" x14ac:dyDescent="0.2">
      <c r="A383" s="1">
        <v>44727</v>
      </c>
      <c r="B383" t="s">
        <v>89</v>
      </c>
      <c r="C383">
        <v>15</v>
      </c>
      <c r="D383" t="s">
        <v>100</v>
      </c>
      <c r="E383" t="s">
        <v>101</v>
      </c>
      <c r="F383" s="5">
        <v>0</v>
      </c>
      <c r="G383" t="str">
        <f>VLOOKUP($B383,PRODUCT_MASTER!$A:$F,MATCH('FINAL DATA'!G$1,PRODUCT_MASTER!$A$1:$F$1,0),0)</f>
        <v>Product42</v>
      </c>
      <c r="H383" t="str">
        <f>VLOOKUP($B383,PRODUCT_MASTER!$A:$F,MATCH('FINAL DATA'!H$1,PRODUCT_MASTER!$A$1:$F$1,0),0)</f>
        <v>Candy</v>
      </c>
      <c r="I383" t="str">
        <f>VLOOKUP($B383,PRODUCT_MASTER!$A:$F,MATCH('FINAL DATA'!I$1,PRODUCT_MASTER!$A$1:$F$1,0),0)</f>
        <v>Ft</v>
      </c>
      <c r="J383" s="7">
        <f>VLOOKUP($B383,PRODUCT_MASTER!$A:$F,MATCH('FINAL DATA'!J$1,PRODUCT_MASTER!$A$1:$F$1,0),0)</f>
        <v>120</v>
      </c>
      <c r="K383" s="7">
        <f>VLOOKUP($B383,PRODUCT_MASTER!$A:$F,MATCH('FINAL DATA'!K$1,PRODUCT_MASTER!$A$1:$F$1,0),0)</f>
        <v>162</v>
      </c>
      <c r="L383" s="7">
        <f t="shared" si="25"/>
        <v>1800</v>
      </c>
      <c r="M383" s="7">
        <f t="shared" si="26"/>
        <v>2430</v>
      </c>
      <c r="N383">
        <f t="shared" si="27"/>
        <v>15</v>
      </c>
      <c r="O383" t="str">
        <f t="shared" si="28"/>
        <v>Jun</v>
      </c>
      <c r="P383">
        <f t="shared" si="29"/>
        <v>2022</v>
      </c>
    </row>
    <row r="384" spans="1:16" x14ac:dyDescent="0.2">
      <c r="A384" s="1">
        <v>44728</v>
      </c>
      <c r="B384" t="s">
        <v>63</v>
      </c>
      <c r="C384">
        <v>15</v>
      </c>
      <c r="D384" t="s">
        <v>101</v>
      </c>
      <c r="E384" t="s">
        <v>102</v>
      </c>
      <c r="F384" s="5">
        <v>0</v>
      </c>
      <c r="G384" t="str">
        <f>VLOOKUP($B384,PRODUCT_MASTER!$A:$F,MATCH('FINAL DATA'!G$1,PRODUCT_MASTER!$A$1:$F$1,0),0)</f>
        <v>Product29</v>
      </c>
      <c r="H384" t="str">
        <f>VLOOKUP($B384,PRODUCT_MASTER!$A:$F,MATCH('FINAL DATA'!H$1,PRODUCT_MASTER!$A$1:$F$1,0),0)</f>
        <v>Cheese And Dairy</v>
      </c>
      <c r="I384" t="str">
        <f>VLOOKUP($B384,PRODUCT_MASTER!$A:$F,MATCH('FINAL DATA'!I$1,PRODUCT_MASTER!$A$1:$F$1,0),0)</f>
        <v>Lt</v>
      </c>
      <c r="J384" s="7">
        <f>VLOOKUP($B384,PRODUCT_MASTER!$A:$F,MATCH('FINAL DATA'!J$1,PRODUCT_MASTER!$A$1:$F$1,0),0)</f>
        <v>47</v>
      </c>
      <c r="K384" s="7">
        <f>VLOOKUP($B384,PRODUCT_MASTER!$A:$F,MATCH('FINAL DATA'!K$1,PRODUCT_MASTER!$A$1:$F$1,0),0)</f>
        <v>53.11</v>
      </c>
      <c r="L384" s="7">
        <f t="shared" si="25"/>
        <v>705</v>
      </c>
      <c r="M384" s="7">
        <f t="shared" si="26"/>
        <v>796.65</v>
      </c>
      <c r="N384">
        <f t="shared" si="27"/>
        <v>16</v>
      </c>
      <c r="O384" t="str">
        <f t="shared" si="28"/>
        <v>Jun</v>
      </c>
      <c r="P384">
        <f t="shared" si="29"/>
        <v>2022</v>
      </c>
    </row>
    <row r="385" spans="1:16" x14ac:dyDescent="0.2">
      <c r="A385" s="1">
        <v>44731</v>
      </c>
      <c r="B385" t="s">
        <v>9</v>
      </c>
      <c r="C385">
        <v>8</v>
      </c>
      <c r="D385" t="s">
        <v>103</v>
      </c>
      <c r="E385" t="s">
        <v>102</v>
      </c>
      <c r="F385" s="5">
        <v>0</v>
      </c>
      <c r="G385" t="str">
        <f>VLOOKUP($B385,PRODUCT_MASTER!$A:$F,MATCH('FINAL DATA'!G$1,PRODUCT_MASTER!$A$1:$F$1,0),0)</f>
        <v>Product02</v>
      </c>
      <c r="H385" t="str">
        <f>VLOOKUP($B385,PRODUCT_MASTER!$A:$F,MATCH('FINAL DATA'!H$1,PRODUCT_MASTER!$A$1:$F$1,0),0)</f>
        <v>Organic</v>
      </c>
      <c r="I385" t="str">
        <f>VLOOKUP($B385,PRODUCT_MASTER!$A:$F,MATCH('FINAL DATA'!I$1,PRODUCT_MASTER!$A$1:$F$1,0),0)</f>
        <v>Kg</v>
      </c>
      <c r="J385" s="7">
        <f>VLOOKUP($B385,PRODUCT_MASTER!$A:$F,MATCH('FINAL DATA'!J$1,PRODUCT_MASTER!$A$1:$F$1,0),0)</f>
        <v>105</v>
      </c>
      <c r="K385" s="7">
        <f>VLOOKUP($B385,PRODUCT_MASTER!$A:$F,MATCH('FINAL DATA'!K$1,PRODUCT_MASTER!$A$1:$F$1,0),0)</f>
        <v>142.80000000000001</v>
      </c>
      <c r="L385" s="7">
        <f t="shared" si="25"/>
        <v>840</v>
      </c>
      <c r="M385" s="7">
        <f t="shared" si="26"/>
        <v>1142.4000000000001</v>
      </c>
      <c r="N385">
        <f t="shared" si="27"/>
        <v>19</v>
      </c>
      <c r="O385" t="str">
        <f t="shared" si="28"/>
        <v>Jun</v>
      </c>
      <c r="P385">
        <f t="shared" si="29"/>
        <v>2022</v>
      </c>
    </row>
    <row r="386" spans="1:16" x14ac:dyDescent="0.2">
      <c r="A386" s="1">
        <v>44733</v>
      </c>
      <c r="B386" t="s">
        <v>39</v>
      </c>
      <c r="C386">
        <v>14</v>
      </c>
      <c r="D386" t="s">
        <v>103</v>
      </c>
      <c r="E386" t="s">
        <v>102</v>
      </c>
      <c r="F386" s="5">
        <v>0</v>
      </c>
      <c r="G386" t="str">
        <f>VLOOKUP($B386,PRODUCT_MASTER!$A:$F,MATCH('FINAL DATA'!G$1,PRODUCT_MASTER!$A$1:$F$1,0),0)</f>
        <v>Product17</v>
      </c>
      <c r="H386" t="str">
        <f>VLOOKUP($B386,PRODUCT_MASTER!$A:$F,MATCH('FINAL DATA'!H$1,PRODUCT_MASTER!$A$1:$F$1,0),0)</f>
        <v>Poultry</v>
      </c>
      <c r="I386" t="str">
        <f>VLOOKUP($B386,PRODUCT_MASTER!$A:$F,MATCH('FINAL DATA'!I$1,PRODUCT_MASTER!$A$1:$F$1,0),0)</f>
        <v>Ft</v>
      </c>
      <c r="J386" s="7">
        <f>VLOOKUP($B386,PRODUCT_MASTER!$A:$F,MATCH('FINAL DATA'!J$1,PRODUCT_MASTER!$A$1:$F$1,0),0)</f>
        <v>134</v>
      </c>
      <c r="K386" s="7">
        <f>VLOOKUP($B386,PRODUCT_MASTER!$A:$F,MATCH('FINAL DATA'!K$1,PRODUCT_MASTER!$A$1:$F$1,0),0)</f>
        <v>156.78</v>
      </c>
      <c r="L386" s="7">
        <f t="shared" si="25"/>
        <v>1876</v>
      </c>
      <c r="M386" s="7">
        <f t="shared" si="26"/>
        <v>2194.92</v>
      </c>
      <c r="N386">
        <f t="shared" si="27"/>
        <v>21</v>
      </c>
      <c r="O386" t="str">
        <f t="shared" si="28"/>
        <v>Jun</v>
      </c>
      <c r="P386">
        <f t="shared" si="29"/>
        <v>2022</v>
      </c>
    </row>
    <row r="387" spans="1:16" x14ac:dyDescent="0.2">
      <c r="A387" s="1">
        <v>44734</v>
      </c>
      <c r="B387" t="s">
        <v>85</v>
      </c>
      <c r="C387">
        <v>10</v>
      </c>
      <c r="D387" t="s">
        <v>101</v>
      </c>
      <c r="E387" t="s">
        <v>102</v>
      </c>
      <c r="F387" s="5">
        <v>0</v>
      </c>
      <c r="G387" t="str">
        <f>VLOOKUP($B387,PRODUCT_MASTER!$A:$F,MATCH('FINAL DATA'!G$1,PRODUCT_MASTER!$A$1:$F$1,0),0)</f>
        <v>Product40</v>
      </c>
      <c r="H387" t="str">
        <f>VLOOKUP($B387,PRODUCT_MASTER!$A:$F,MATCH('FINAL DATA'!H$1,PRODUCT_MASTER!$A$1:$F$1,0),0)</f>
        <v>Snacks</v>
      </c>
      <c r="I387" t="str">
        <f>VLOOKUP($B387,PRODUCT_MASTER!$A:$F,MATCH('FINAL DATA'!I$1,PRODUCT_MASTER!$A$1:$F$1,0),0)</f>
        <v>Kg</v>
      </c>
      <c r="J387" s="7">
        <f>VLOOKUP($B387,PRODUCT_MASTER!$A:$F,MATCH('FINAL DATA'!J$1,PRODUCT_MASTER!$A$1:$F$1,0),0)</f>
        <v>90</v>
      </c>
      <c r="K387" s="7">
        <f>VLOOKUP($B387,PRODUCT_MASTER!$A:$F,MATCH('FINAL DATA'!K$1,PRODUCT_MASTER!$A$1:$F$1,0),0)</f>
        <v>115.2</v>
      </c>
      <c r="L387" s="7">
        <f t="shared" ref="L387:L450" si="30">C387*J387</f>
        <v>900</v>
      </c>
      <c r="M387" s="7">
        <f t="shared" ref="M387:M450" si="31">(K387-(K387*F387))*C387</f>
        <v>1152</v>
      </c>
      <c r="N387">
        <f t="shared" ref="N387:N450" si="32">DAY(A387)</f>
        <v>22</v>
      </c>
      <c r="O387" t="str">
        <f t="shared" ref="O387:O450" si="33">TEXT(A387,"MMM")</f>
        <v>Jun</v>
      </c>
      <c r="P387">
        <f t="shared" ref="P387:P450" si="34">YEAR(A387)</f>
        <v>2022</v>
      </c>
    </row>
    <row r="388" spans="1:16" x14ac:dyDescent="0.2">
      <c r="A388" s="1">
        <v>44734</v>
      </c>
      <c r="B388" t="s">
        <v>6</v>
      </c>
      <c r="C388">
        <v>4</v>
      </c>
      <c r="D388" t="s">
        <v>103</v>
      </c>
      <c r="E388" t="s">
        <v>102</v>
      </c>
      <c r="F388" s="5">
        <v>0</v>
      </c>
      <c r="G388" t="str">
        <f>VLOOKUP($B388,PRODUCT_MASTER!$A:$F,MATCH('FINAL DATA'!G$1,PRODUCT_MASTER!$A$1:$F$1,0),0)</f>
        <v>Product01</v>
      </c>
      <c r="H388" t="str">
        <f>VLOOKUP($B388,PRODUCT_MASTER!$A:$F,MATCH('FINAL DATA'!H$1,PRODUCT_MASTER!$A$1:$F$1,0),0)</f>
        <v>Organic</v>
      </c>
      <c r="I388" t="str">
        <f>VLOOKUP($B388,PRODUCT_MASTER!$A:$F,MATCH('FINAL DATA'!I$1,PRODUCT_MASTER!$A$1:$F$1,0),0)</f>
        <v>Kg</v>
      </c>
      <c r="J388" s="7">
        <f>VLOOKUP($B388,PRODUCT_MASTER!$A:$F,MATCH('FINAL DATA'!J$1,PRODUCT_MASTER!$A$1:$F$1,0),0)</f>
        <v>98</v>
      </c>
      <c r="K388" s="7">
        <f>VLOOKUP($B388,PRODUCT_MASTER!$A:$F,MATCH('FINAL DATA'!K$1,PRODUCT_MASTER!$A$1:$F$1,0),0)</f>
        <v>103.88</v>
      </c>
      <c r="L388" s="7">
        <f t="shared" si="30"/>
        <v>392</v>
      </c>
      <c r="M388" s="7">
        <f t="shared" si="31"/>
        <v>415.52</v>
      </c>
      <c r="N388">
        <f t="shared" si="32"/>
        <v>22</v>
      </c>
      <c r="O388" t="str">
        <f t="shared" si="33"/>
        <v>Jun</v>
      </c>
      <c r="P388">
        <f t="shared" si="34"/>
        <v>2022</v>
      </c>
    </row>
    <row r="389" spans="1:16" x14ac:dyDescent="0.2">
      <c r="A389" s="1">
        <v>44735</v>
      </c>
      <c r="B389" t="s">
        <v>13</v>
      </c>
      <c r="C389">
        <v>8</v>
      </c>
      <c r="D389" t="s">
        <v>103</v>
      </c>
      <c r="E389" t="s">
        <v>101</v>
      </c>
      <c r="F389" s="5">
        <v>0</v>
      </c>
      <c r="G389" t="str">
        <f>VLOOKUP($B389,PRODUCT_MASTER!$A:$F,MATCH('FINAL DATA'!G$1,PRODUCT_MASTER!$A$1:$F$1,0),0)</f>
        <v>Product04</v>
      </c>
      <c r="H389" t="str">
        <f>VLOOKUP($B389,PRODUCT_MASTER!$A:$F,MATCH('FINAL DATA'!H$1,PRODUCT_MASTER!$A$1:$F$1,0),0)</f>
        <v>Organic</v>
      </c>
      <c r="I389" t="str">
        <f>VLOOKUP($B389,PRODUCT_MASTER!$A:$F,MATCH('FINAL DATA'!I$1,PRODUCT_MASTER!$A$1:$F$1,0),0)</f>
        <v>Lt</v>
      </c>
      <c r="J389" s="7">
        <f>VLOOKUP($B389,PRODUCT_MASTER!$A:$F,MATCH('FINAL DATA'!J$1,PRODUCT_MASTER!$A$1:$F$1,0),0)</f>
        <v>44</v>
      </c>
      <c r="K389" s="7">
        <f>VLOOKUP($B389,PRODUCT_MASTER!$A:$F,MATCH('FINAL DATA'!K$1,PRODUCT_MASTER!$A$1:$F$1,0),0)</f>
        <v>48.84</v>
      </c>
      <c r="L389" s="7">
        <f t="shared" si="30"/>
        <v>352</v>
      </c>
      <c r="M389" s="7">
        <f t="shared" si="31"/>
        <v>390.72</v>
      </c>
      <c r="N389">
        <f t="shared" si="32"/>
        <v>23</v>
      </c>
      <c r="O389" t="str">
        <f t="shared" si="33"/>
        <v>Jun</v>
      </c>
      <c r="P389">
        <f t="shared" si="34"/>
        <v>2022</v>
      </c>
    </row>
    <row r="390" spans="1:16" x14ac:dyDescent="0.2">
      <c r="A390" s="1">
        <v>44736</v>
      </c>
      <c r="B390" t="s">
        <v>41</v>
      </c>
      <c r="C390">
        <v>7</v>
      </c>
      <c r="D390" t="s">
        <v>103</v>
      </c>
      <c r="E390" t="s">
        <v>102</v>
      </c>
      <c r="F390" s="5">
        <v>0</v>
      </c>
      <c r="G390" t="str">
        <f>VLOOKUP($B390,PRODUCT_MASTER!$A:$F,MATCH('FINAL DATA'!G$1,PRODUCT_MASTER!$A$1:$F$1,0),0)</f>
        <v>Product18</v>
      </c>
      <c r="H390" t="str">
        <f>VLOOKUP($B390,PRODUCT_MASTER!$A:$F,MATCH('FINAL DATA'!H$1,PRODUCT_MASTER!$A$1:$F$1,0),0)</f>
        <v>Poultry</v>
      </c>
      <c r="I390" t="str">
        <f>VLOOKUP($B390,PRODUCT_MASTER!$A:$F,MATCH('FINAL DATA'!I$1,PRODUCT_MASTER!$A$1:$F$1,0),0)</f>
        <v>No.</v>
      </c>
      <c r="J390" s="7">
        <f>VLOOKUP($B390,PRODUCT_MASTER!$A:$F,MATCH('FINAL DATA'!J$1,PRODUCT_MASTER!$A$1:$F$1,0),0)</f>
        <v>37</v>
      </c>
      <c r="K390" s="7">
        <f>VLOOKUP($B390,PRODUCT_MASTER!$A:$F,MATCH('FINAL DATA'!K$1,PRODUCT_MASTER!$A$1:$F$1,0),0)</f>
        <v>49.21</v>
      </c>
      <c r="L390" s="7">
        <f t="shared" si="30"/>
        <v>259</v>
      </c>
      <c r="M390" s="7">
        <f t="shared" si="31"/>
        <v>344.47</v>
      </c>
      <c r="N390">
        <f t="shared" si="32"/>
        <v>24</v>
      </c>
      <c r="O390" t="str">
        <f t="shared" si="33"/>
        <v>Jun</v>
      </c>
      <c r="P390">
        <f t="shared" si="34"/>
        <v>2022</v>
      </c>
    </row>
    <row r="391" spans="1:16" x14ac:dyDescent="0.2">
      <c r="A391" s="1">
        <v>44737</v>
      </c>
      <c r="B391" t="s">
        <v>29</v>
      </c>
      <c r="C391">
        <v>7</v>
      </c>
      <c r="D391" t="s">
        <v>101</v>
      </c>
      <c r="E391" t="s">
        <v>101</v>
      </c>
      <c r="F391" s="5">
        <v>0</v>
      </c>
      <c r="G391" t="str">
        <f>VLOOKUP($B391,PRODUCT_MASTER!$A:$F,MATCH('FINAL DATA'!G$1,PRODUCT_MASTER!$A$1:$F$1,0),0)</f>
        <v>Product12</v>
      </c>
      <c r="H391" t="str">
        <f>VLOOKUP($B391,PRODUCT_MASTER!$A:$F,MATCH('FINAL DATA'!H$1,PRODUCT_MASTER!$A$1:$F$1,0),0)</f>
        <v>Meat</v>
      </c>
      <c r="I391" t="str">
        <f>VLOOKUP($B391,PRODUCT_MASTER!$A:$F,MATCH('FINAL DATA'!I$1,PRODUCT_MASTER!$A$1:$F$1,0),0)</f>
        <v>Kg</v>
      </c>
      <c r="J391" s="7">
        <f>VLOOKUP($B391,PRODUCT_MASTER!$A:$F,MATCH('FINAL DATA'!J$1,PRODUCT_MASTER!$A$1:$F$1,0),0)</f>
        <v>73</v>
      </c>
      <c r="K391" s="7">
        <f>VLOOKUP($B391,PRODUCT_MASTER!$A:$F,MATCH('FINAL DATA'!K$1,PRODUCT_MASTER!$A$1:$F$1,0),0)</f>
        <v>94.17</v>
      </c>
      <c r="L391" s="7">
        <f t="shared" si="30"/>
        <v>511</v>
      </c>
      <c r="M391" s="7">
        <f t="shared" si="31"/>
        <v>659.19</v>
      </c>
      <c r="N391">
        <f t="shared" si="32"/>
        <v>25</v>
      </c>
      <c r="O391" t="str">
        <f t="shared" si="33"/>
        <v>Jun</v>
      </c>
      <c r="P391">
        <f t="shared" si="34"/>
        <v>2022</v>
      </c>
    </row>
    <row r="392" spans="1:16" x14ac:dyDescent="0.2">
      <c r="A392" s="1">
        <v>44738</v>
      </c>
      <c r="B392" t="s">
        <v>73</v>
      </c>
      <c r="C392">
        <v>4</v>
      </c>
      <c r="D392" t="s">
        <v>103</v>
      </c>
      <c r="E392" t="s">
        <v>102</v>
      </c>
      <c r="F392" s="5">
        <v>0</v>
      </c>
      <c r="G392" t="str">
        <f>VLOOKUP($B392,PRODUCT_MASTER!$A:$F,MATCH('FINAL DATA'!G$1,PRODUCT_MASTER!$A$1:$F$1,0),0)</f>
        <v>Product34</v>
      </c>
      <c r="H392" t="str">
        <f>VLOOKUP($B392,PRODUCT_MASTER!$A:$F,MATCH('FINAL DATA'!H$1,PRODUCT_MASTER!$A$1:$F$1,0),0)</f>
        <v>Bakery And Desserts</v>
      </c>
      <c r="I392" t="str">
        <f>VLOOKUP($B392,PRODUCT_MASTER!$A:$F,MATCH('FINAL DATA'!I$1,PRODUCT_MASTER!$A$1:$F$1,0),0)</f>
        <v>Lt</v>
      </c>
      <c r="J392" s="7">
        <f>VLOOKUP($B392,PRODUCT_MASTER!$A:$F,MATCH('FINAL DATA'!J$1,PRODUCT_MASTER!$A$1:$F$1,0),0)</f>
        <v>55</v>
      </c>
      <c r="K392" s="7">
        <f>VLOOKUP($B392,PRODUCT_MASTER!$A:$F,MATCH('FINAL DATA'!K$1,PRODUCT_MASTER!$A$1:$F$1,0),0)</f>
        <v>58.3</v>
      </c>
      <c r="L392" s="7">
        <f t="shared" si="30"/>
        <v>220</v>
      </c>
      <c r="M392" s="7">
        <f t="shared" si="31"/>
        <v>233.2</v>
      </c>
      <c r="N392">
        <f t="shared" si="32"/>
        <v>26</v>
      </c>
      <c r="O392" t="str">
        <f t="shared" si="33"/>
        <v>Jun</v>
      </c>
      <c r="P392">
        <f t="shared" si="34"/>
        <v>2022</v>
      </c>
    </row>
    <row r="393" spans="1:16" x14ac:dyDescent="0.2">
      <c r="A393" s="1">
        <v>44738</v>
      </c>
      <c r="B393" t="s">
        <v>91</v>
      </c>
      <c r="C393">
        <v>12</v>
      </c>
      <c r="D393" t="s">
        <v>103</v>
      </c>
      <c r="E393" t="s">
        <v>101</v>
      </c>
      <c r="F393" s="5">
        <v>0</v>
      </c>
      <c r="G393" t="str">
        <f>VLOOKUP($B393,PRODUCT_MASTER!$A:$F,MATCH('FINAL DATA'!G$1,PRODUCT_MASTER!$A$1:$F$1,0),0)</f>
        <v>Product43</v>
      </c>
      <c r="H393" t="str">
        <f>VLOOKUP($B393,PRODUCT_MASTER!$A:$F,MATCH('FINAL DATA'!H$1,PRODUCT_MASTER!$A$1:$F$1,0),0)</f>
        <v>Candy</v>
      </c>
      <c r="I393" t="str">
        <f>VLOOKUP($B393,PRODUCT_MASTER!$A:$F,MATCH('FINAL DATA'!I$1,PRODUCT_MASTER!$A$1:$F$1,0),0)</f>
        <v>Kg</v>
      </c>
      <c r="J393" s="7">
        <f>VLOOKUP($B393,PRODUCT_MASTER!$A:$F,MATCH('FINAL DATA'!J$1,PRODUCT_MASTER!$A$1:$F$1,0),0)</f>
        <v>67</v>
      </c>
      <c r="K393" s="7">
        <f>VLOOKUP($B393,PRODUCT_MASTER!$A:$F,MATCH('FINAL DATA'!K$1,PRODUCT_MASTER!$A$1:$F$1,0),0)</f>
        <v>83.08</v>
      </c>
      <c r="L393" s="7">
        <f t="shared" si="30"/>
        <v>804</v>
      </c>
      <c r="M393" s="7">
        <f t="shared" si="31"/>
        <v>996.96</v>
      </c>
      <c r="N393">
        <f t="shared" si="32"/>
        <v>26</v>
      </c>
      <c r="O393" t="str">
        <f t="shared" si="33"/>
        <v>Jun</v>
      </c>
      <c r="P393">
        <f t="shared" si="34"/>
        <v>2022</v>
      </c>
    </row>
    <row r="394" spans="1:16" x14ac:dyDescent="0.2">
      <c r="A394" s="1">
        <v>44745</v>
      </c>
      <c r="B394" t="s">
        <v>71</v>
      </c>
      <c r="C394">
        <v>15</v>
      </c>
      <c r="D394" t="s">
        <v>103</v>
      </c>
      <c r="E394" t="s">
        <v>102</v>
      </c>
      <c r="F394" s="5">
        <v>0</v>
      </c>
      <c r="G394" t="str">
        <f>VLOOKUP($B394,PRODUCT_MASTER!$A:$F,MATCH('FINAL DATA'!G$1,PRODUCT_MASTER!$A$1:$F$1,0),0)</f>
        <v>Product33</v>
      </c>
      <c r="H394" t="str">
        <f>VLOOKUP($B394,PRODUCT_MASTER!$A:$F,MATCH('FINAL DATA'!H$1,PRODUCT_MASTER!$A$1:$F$1,0),0)</f>
        <v>Bakery And Desserts</v>
      </c>
      <c r="I394" t="str">
        <f>VLOOKUP($B394,PRODUCT_MASTER!$A:$F,MATCH('FINAL DATA'!I$1,PRODUCT_MASTER!$A$1:$F$1,0),0)</f>
        <v>Kg</v>
      </c>
      <c r="J394" s="7">
        <f>VLOOKUP($B394,PRODUCT_MASTER!$A:$F,MATCH('FINAL DATA'!J$1,PRODUCT_MASTER!$A$1:$F$1,0),0)</f>
        <v>95</v>
      </c>
      <c r="K394" s="7">
        <f>VLOOKUP($B394,PRODUCT_MASTER!$A:$F,MATCH('FINAL DATA'!K$1,PRODUCT_MASTER!$A$1:$F$1,0),0)</f>
        <v>119.7</v>
      </c>
      <c r="L394" s="7">
        <f t="shared" si="30"/>
        <v>1425</v>
      </c>
      <c r="M394" s="7">
        <f t="shared" si="31"/>
        <v>1795.5</v>
      </c>
      <c r="N394">
        <f t="shared" si="32"/>
        <v>3</v>
      </c>
      <c r="O394" t="str">
        <f t="shared" si="33"/>
        <v>Jul</v>
      </c>
      <c r="P394">
        <f t="shared" si="34"/>
        <v>2022</v>
      </c>
    </row>
    <row r="395" spans="1:16" x14ac:dyDescent="0.2">
      <c r="A395" s="1">
        <v>44746</v>
      </c>
      <c r="B395" t="s">
        <v>19</v>
      </c>
      <c r="C395">
        <v>7</v>
      </c>
      <c r="D395" t="s">
        <v>103</v>
      </c>
      <c r="E395" t="s">
        <v>101</v>
      </c>
      <c r="F395" s="5">
        <v>0</v>
      </c>
      <c r="G395" t="str">
        <f>VLOOKUP($B395,PRODUCT_MASTER!$A:$F,MATCH('FINAL DATA'!G$1,PRODUCT_MASTER!$A$1:$F$1,0),0)</f>
        <v>Product07</v>
      </c>
      <c r="H395" t="str">
        <f>VLOOKUP($B395,PRODUCT_MASTER!$A:$F,MATCH('FINAL DATA'!H$1,PRODUCT_MASTER!$A$1:$F$1,0),0)</f>
        <v>Gourmet Foods</v>
      </c>
      <c r="I395" t="str">
        <f>VLOOKUP($B395,PRODUCT_MASTER!$A:$F,MATCH('FINAL DATA'!I$1,PRODUCT_MASTER!$A$1:$F$1,0),0)</f>
        <v>Lt</v>
      </c>
      <c r="J395" s="7">
        <f>VLOOKUP($B395,PRODUCT_MASTER!$A:$F,MATCH('FINAL DATA'!J$1,PRODUCT_MASTER!$A$1:$F$1,0),0)</f>
        <v>43</v>
      </c>
      <c r="K395" s="7">
        <f>VLOOKUP($B395,PRODUCT_MASTER!$A:$F,MATCH('FINAL DATA'!K$1,PRODUCT_MASTER!$A$1:$F$1,0),0)</f>
        <v>47.730000000000004</v>
      </c>
      <c r="L395" s="7">
        <f t="shared" si="30"/>
        <v>301</v>
      </c>
      <c r="M395" s="7">
        <f t="shared" si="31"/>
        <v>334.11</v>
      </c>
      <c r="N395">
        <f t="shared" si="32"/>
        <v>4</v>
      </c>
      <c r="O395" t="str">
        <f t="shared" si="33"/>
        <v>Jul</v>
      </c>
      <c r="P395">
        <f t="shared" si="34"/>
        <v>2022</v>
      </c>
    </row>
    <row r="396" spans="1:16" x14ac:dyDescent="0.2">
      <c r="A396" s="1">
        <v>44747</v>
      </c>
      <c r="B396" t="s">
        <v>55</v>
      </c>
      <c r="C396">
        <v>7</v>
      </c>
      <c r="D396" t="s">
        <v>101</v>
      </c>
      <c r="E396" t="s">
        <v>102</v>
      </c>
      <c r="F396" s="5">
        <v>0</v>
      </c>
      <c r="G396" t="str">
        <f>VLOOKUP($B396,PRODUCT_MASTER!$A:$F,MATCH('FINAL DATA'!G$1,PRODUCT_MASTER!$A$1:$F$1,0),0)</f>
        <v>Product25</v>
      </c>
      <c r="H396" t="str">
        <f>VLOOKUP($B396,PRODUCT_MASTER!$A:$F,MATCH('FINAL DATA'!H$1,PRODUCT_MASTER!$A$1:$F$1,0),0)</f>
        <v>Seafood</v>
      </c>
      <c r="I396" t="str">
        <f>VLOOKUP($B396,PRODUCT_MASTER!$A:$F,MATCH('FINAL DATA'!I$1,PRODUCT_MASTER!$A$1:$F$1,0),0)</f>
        <v>No.</v>
      </c>
      <c r="J396" s="7">
        <f>VLOOKUP($B396,PRODUCT_MASTER!$A:$F,MATCH('FINAL DATA'!J$1,PRODUCT_MASTER!$A$1:$F$1,0),0)</f>
        <v>7</v>
      </c>
      <c r="K396" s="7">
        <f>VLOOKUP($B396,PRODUCT_MASTER!$A:$F,MATCH('FINAL DATA'!K$1,PRODUCT_MASTER!$A$1:$F$1,0),0)</f>
        <v>8.33</v>
      </c>
      <c r="L396" s="7">
        <f t="shared" si="30"/>
        <v>49</v>
      </c>
      <c r="M396" s="7">
        <f t="shared" si="31"/>
        <v>58.31</v>
      </c>
      <c r="N396">
        <f t="shared" si="32"/>
        <v>5</v>
      </c>
      <c r="O396" t="str">
        <f t="shared" si="33"/>
        <v>Jul</v>
      </c>
      <c r="P396">
        <f t="shared" si="34"/>
        <v>2022</v>
      </c>
    </row>
    <row r="397" spans="1:16" x14ac:dyDescent="0.2">
      <c r="A397" s="1">
        <v>44747</v>
      </c>
      <c r="B397" t="s">
        <v>35</v>
      </c>
      <c r="C397">
        <v>8</v>
      </c>
      <c r="D397" t="s">
        <v>103</v>
      </c>
      <c r="E397" t="s">
        <v>101</v>
      </c>
      <c r="F397" s="5">
        <v>0</v>
      </c>
      <c r="G397" t="str">
        <f>VLOOKUP($B397,PRODUCT_MASTER!$A:$F,MATCH('FINAL DATA'!G$1,PRODUCT_MASTER!$A$1:$F$1,0),0)</f>
        <v>Product15</v>
      </c>
      <c r="H397" t="str">
        <f>VLOOKUP($B397,PRODUCT_MASTER!$A:$F,MATCH('FINAL DATA'!H$1,PRODUCT_MASTER!$A$1:$F$1,0),0)</f>
        <v>Meat</v>
      </c>
      <c r="I397" t="str">
        <f>VLOOKUP($B397,PRODUCT_MASTER!$A:$F,MATCH('FINAL DATA'!I$1,PRODUCT_MASTER!$A$1:$F$1,0),0)</f>
        <v>No.</v>
      </c>
      <c r="J397" s="7">
        <f>VLOOKUP($B397,PRODUCT_MASTER!$A:$F,MATCH('FINAL DATA'!J$1,PRODUCT_MASTER!$A$1:$F$1,0),0)</f>
        <v>12</v>
      </c>
      <c r="K397" s="7">
        <f>VLOOKUP($B397,PRODUCT_MASTER!$A:$F,MATCH('FINAL DATA'!K$1,PRODUCT_MASTER!$A$1:$F$1,0),0)</f>
        <v>15.719999999999999</v>
      </c>
      <c r="L397" s="7">
        <f t="shared" si="30"/>
        <v>96</v>
      </c>
      <c r="M397" s="7">
        <f t="shared" si="31"/>
        <v>125.75999999999999</v>
      </c>
      <c r="N397">
        <f t="shared" si="32"/>
        <v>5</v>
      </c>
      <c r="O397" t="str">
        <f t="shared" si="33"/>
        <v>Jul</v>
      </c>
      <c r="P397">
        <f t="shared" si="34"/>
        <v>2022</v>
      </c>
    </row>
    <row r="398" spans="1:16" x14ac:dyDescent="0.2">
      <c r="A398" s="1">
        <v>44748</v>
      </c>
      <c r="B398" t="s">
        <v>87</v>
      </c>
      <c r="C398">
        <v>2</v>
      </c>
      <c r="D398" t="s">
        <v>103</v>
      </c>
      <c r="E398" t="s">
        <v>102</v>
      </c>
      <c r="F398" s="5">
        <v>0</v>
      </c>
      <c r="G398" t="str">
        <f>VLOOKUP($B398,PRODUCT_MASTER!$A:$F,MATCH('FINAL DATA'!G$1,PRODUCT_MASTER!$A$1:$F$1,0),0)</f>
        <v>Product41</v>
      </c>
      <c r="H398" t="str">
        <f>VLOOKUP($B398,PRODUCT_MASTER!$A:$F,MATCH('FINAL DATA'!H$1,PRODUCT_MASTER!$A$1:$F$1,0),0)</f>
        <v>Snacks</v>
      </c>
      <c r="I398" t="str">
        <f>VLOOKUP($B398,PRODUCT_MASTER!$A:$F,MATCH('FINAL DATA'!I$1,PRODUCT_MASTER!$A$1:$F$1,0),0)</f>
        <v>Ft</v>
      </c>
      <c r="J398" s="7">
        <f>VLOOKUP($B398,PRODUCT_MASTER!$A:$F,MATCH('FINAL DATA'!J$1,PRODUCT_MASTER!$A$1:$F$1,0),0)</f>
        <v>138</v>
      </c>
      <c r="K398" s="7">
        <f>VLOOKUP($B398,PRODUCT_MASTER!$A:$F,MATCH('FINAL DATA'!K$1,PRODUCT_MASTER!$A$1:$F$1,0),0)</f>
        <v>173.88</v>
      </c>
      <c r="L398" s="7">
        <f t="shared" si="30"/>
        <v>276</v>
      </c>
      <c r="M398" s="7">
        <f t="shared" si="31"/>
        <v>347.76</v>
      </c>
      <c r="N398">
        <f t="shared" si="32"/>
        <v>6</v>
      </c>
      <c r="O398" t="str">
        <f t="shared" si="33"/>
        <v>Jul</v>
      </c>
      <c r="P398">
        <f t="shared" si="34"/>
        <v>2022</v>
      </c>
    </row>
    <row r="399" spans="1:16" x14ac:dyDescent="0.2">
      <c r="A399" s="1">
        <v>44750</v>
      </c>
      <c r="B399" t="s">
        <v>41</v>
      </c>
      <c r="C399">
        <v>2</v>
      </c>
      <c r="D399" t="s">
        <v>103</v>
      </c>
      <c r="E399" t="s">
        <v>101</v>
      </c>
      <c r="F399" s="5">
        <v>0</v>
      </c>
      <c r="G399" t="str">
        <f>VLOOKUP($B399,PRODUCT_MASTER!$A:$F,MATCH('FINAL DATA'!G$1,PRODUCT_MASTER!$A$1:$F$1,0),0)</f>
        <v>Product18</v>
      </c>
      <c r="H399" t="str">
        <f>VLOOKUP($B399,PRODUCT_MASTER!$A:$F,MATCH('FINAL DATA'!H$1,PRODUCT_MASTER!$A$1:$F$1,0),0)</f>
        <v>Poultry</v>
      </c>
      <c r="I399" t="str">
        <f>VLOOKUP($B399,PRODUCT_MASTER!$A:$F,MATCH('FINAL DATA'!I$1,PRODUCT_MASTER!$A$1:$F$1,0),0)</f>
        <v>No.</v>
      </c>
      <c r="J399" s="7">
        <f>VLOOKUP($B399,PRODUCT_MASTER!$A:$F,MATCH('FINAL DATA'!J$1,PRODUCT_MASTER!$A$1:$F$1,0),0)</f>
        <v>37</v>
      </c>
      <c r="K399" s="7">
        <f>VLOOKUP($B399,PRODUCT_MASTER!$A:$F,MATCH('FINAL DATA'!K$1,PRODUCT_MASTER!$A$1:$F$1,0),0)</f>
        <v>49.21</v>
      </c>
      <c r="L399" s="7">
        <f t="shared" si="30"/>
        <v>74</v>
      </c>
      <c r="M399" s="7">
        <f t="shared" si="31"/>
        <v>98.42</v>
      </c>
      <c r="N399">
        <f t="shared" si="32"/>
        <v>8</v>
      </c>
      <c r="O399" t="str">
        <f t="shared" si="33"/>
        <v>Jul</v>
      </c>
      <c r="P399">
        <f t="shared" si="34"/>
        <v>2022</v>
      </c>
    </row>
    <row r="400" spans="1:16" x14ac:dyDescent="0.2">
      <c r="A400" s="1">
        <v>44752</v>
      </c>
      <c r="B400" t="s">
        <v>69</v>
      </c>
      <c r="C400">
        <v>12</v>
      </c>
      <c r="D400" t="s">
        <v>101</v>
      </c>
      <c r="E400" t="s">
        <v>102</v>
      </c>
      <c r="F400" s="5">
        <v>0</v>
      </c>
      <c r="G400" t="str">
        <f>VLOOKUP($B400,PRODUCT_MASTER!$A:$F,MATCH('FINAL DATA'!G$1,PRODUCT_MASTER!$A$1:$F$1,0),0)</f>
        <v>Product32</v>
      </c>
      <c r="H400" t="str">
        <f>VLOOKUP($B400,PRODUCT_MASTER!$A:$F,MATCH('FINAL DATA'!H$1,PRODUCT_MASTER!$A$1:$F$1,0),0)</f>
        <v>Bakery And Desserts</v>
      </c>
      <c r="I400" t="str">
        <f>VLOOKUP($B400,PRODUCT_MASTER!$A:$F,MATCH('FINAL DATA'!I$1,PRODUCT_MASTER!$A$1:$F$1,0),0)</f>
        <v>Kg</v>
      </c>
      <c r="J400" s="7">
        <f>VLOOKUP($B400,PRODUCT_MASTER!$A:$F,MATCH('FINAL DATA'!J$1,PRODUCT_MASTER!$A$1:$F$1,0),0)</f>
        <v>89</v>
      </c>
      <c r="K400" s="7">
        <f>VLOOKUP($B400,PRODUCT_MASTER!$A:$F,MATCH('FINAL DATA'!K$1,PRODUCT_MASTER!$A$1:$F$1,0),0)</f>
        <v>117.48</v>
      </c>
      <c r="L400" s="7">
        <f t="shared" si="30"/>
        <v>1068</v>
      </c>
      <c r="M400" s="7">
        <f t="shared" si="31"/>
        <v>1409.76</v>
      </c>
      <c r="N400">
        <f t="shared" si="32"/>
        <v>10</v>
      </c>
      <c r="O400" t="str">
        <f t="shared" si="33"/>
        <v>Jul</v>
      </c>
      <c r="P400">
        <f t="shared" si="34"/>
        <v>2022</v>
      </c>
    </row>
    <row r="401" spans="1:16" x14ac:dyDescent="0.2">
      <c r="A401" s="1">
        <v>44754</v>
      </c>
      <c r="B401" t="s">
        <v>61</v>
      </c>
      <c r="C401">
        <v>12</v>
      </c>
      <c r="D401" t="s">
        <v>103</v>
      </c>
      <c r="E401" t="s">
        <v>102</v>
      </c>
      <c r="F401" s="5">
        <v>0</v>
      </c>
      <c r="G401" t="str">
        <f>VLOOKUP($B401,PRODUCT_MASTER!$A:$F,MATCH('FINAL DATA'!G$1,PRODUCT_MASTER!$A$1:$F$1,0),0)</f>
        <v>Product28</v>
      </c>
      <c r="H401" t="str">
        <f>VLOOKUP($B401,PRODUCT_MASTER!$A:$F,MATCH('FINAL DATA'!H$1,PRODUCT_MASTER!$A$1:$F$1,0),0)</f>
        <v>Cheese And Dairy</v>
      </c>
      <c r="I401" t="str">
        <f>VLOOKUP($B401,PRODUCT_MASTER!$A:$F,MATCH('FINAL DATA'!I$1,PRODUCT_MASTER!$A$1:$F$1,0),0)</f>
        <v>No.</v>
      </c>
      <c r="J401" s="7">
        <f>VLOOKUP($B401,PRODUCT_MASTER!$A:$F,MATCH('FINAL DATA'!J$1,PRODUCT_MASTER!$A$1:$F$1,0),0)</f>
        <v>37</v>
      </c>
      <c r="K401" s="7">
        <f>VLOOKUP($B401,PRODUCT_MASTER!$A:$F,MATCH('FINAL DATA'!K$1,PRODUCT_MASTER!$A$1:$F$1,0),0)</f>
        <v>41.81</v>
      </c>
      <c r="L401" s="7">
        <f t="shared" si="30"/>
        <v>444</v>
      </c>
      <c r="M401" s="7">
        <f t="shared" si="31"/>
        <v>501.72</v>
      </c>
      <c r="N401">
        <f t="shared" si="32"/>
        <v>12</v>
      </c>
      <c r="O401" t="str">
        <f t="shared" si="33"/>
        <v>Jul</v>
      </c>
      <c r="P401">
        <f t="shared" si="34"/>
        <v>2022</v>
      </c>
    </row>
    <row r="402" spans="1:16" x14ac:dyDescent="0.2">
      <c r="A402" s="1">
        <v>44755</v>
      </c>
      <c r="B402" t="s">
        <v>55</v>
      </c>
      <c r="C402">
        <v>7</v>
      </c>
      <c r="D402" t="s">
        <v>103</v>
      </c>
      <c r="E402" t="s">
        <v>101</v>
      </c>
      <c r="F402" s="5">
        <v>0</v>
      </c>
      <c r="G402" t="str">
        <f>VLOOKUP($B402,PRODUCT_MASTER!$A:$F,MATCH('FINAL DATA'!G$1,PRODUCT_MASTER!$A$1:$F$1,0),0)</f>
        <v>Product25</v>
      </c>
      <c r="H402" t="str">
        <f>VLOOKUP($B402,PRODUCT_MASTER!$A:$F,MATCH('FINAL DATA'!H$1,PRODUCT_MASTER!$A$1:$F$1,0),0)</f>
        <v>Seafood</v>
      </c>
      <c r="I402" t="str">
        <f>VLOOKUP($B402,PRODUCT_MASTER!$A:$F,MATCH('FINAL DATA'!I$1,PRODUCT_MASTER!$A$1:$F$1,0),0)</f>
        <v>No.</v>
      </c>
      <c r="J402" s="7">
        <f>VLOOKUP($B402,PRODUCT_MASTER!$A:$F,MATCH('FINAL DATA'!J$1,PRODUCT_MASTER!$A$1:$F$1,0),0)</f>
        <v>7</v>
      </c>
      <c r="K402" s="7">
        <f>VLOOKUP($B402,PRODUCT_MASTER!$A:$F,MATCH('FINAL DATA'!K$1,PRODUCT_MASTER!$A$1:$F$1,0),0)</f>
        <v>8.33</v>
      </c>
      <c r="L402" s="7">
        <f t="shared" si="30"/>
        <v>49</v>
      </c>
      <c r="M402" s="7">
        <f t="shared" si="31"/>
        <v>58.31</v>
      </c>
      <c r="N402">
        <f t="shared" si="32"/>
        <v>13</v>
      </c>
      <c r="O402" t="str">
        <f t="shared" si="33"/>
        <v>Jul</v>
      </c>
      <c r="P402">
        <f t="shared" si="34"/>
        <v>2022</v>
      </c>
    </row>
    <row r="403" spans="1:16" x14ac:dyDescent="0.2">
      <c r="A403" s="1">
        <v>44756</v>
      </c>
      <c r="B403" t="s">
        <v>71</v>
      </c>
      <c r="C403">
        <v>9</v>
      </c>
      <c r="D403" t="s">
        <v>103</v>
      </c>
      <c r="E403" t="s">
        <v>101</v>
      </c>
      <c r="F403" s="5">
        <v>0</v>
      </c>
      <c r="G403" t="str">
        <f>VLOOKUP($B403,PRODUCT_MASTER!$A:$F,MATCH('FINAL DATA'!G$1,PRODUCT_MASTER!$A$1:$F$1,0),0)</f>
        <v>Product33</v>
      </c>
      <c r="H403" t="str">
        <f>VLOOKUP($B403,PRODUCT_MASTER!$A:$F,MATCH('FINAL DATA'!H$1,PRODUCT_MASTER!$A$1:$F$1,0),0)</f>
        <v>Bakery And Desserts</v>
      </c>
      <c r="I403" t="str">
        <f>VLOOKUP($B403,PRODUCT_MASTER!$A:$F,MATCH('FINAL DATA'!I$1,PRODUCT_MASTER!$A$1:$F$1,0),0)</f>
        <v>Kg</v>
      </c>
      <c r="J403" s="7">
        <f>VLOOKUP($B403,PRODUCT_MASTER!$A:$F,MATCH('FINAL DATA'!J$1,PRODUCT_MASTER!$A$1:$F$1,0),0)</f>
        <v>95</v>
      </c>
      <c r="K403" s="7">
        <f>VLOOKUP($B403,PRODUCT_MASTER!$A:$F,MATCH('FINAL DATA'!K$1,PRODUCT_MASTER!$A$1:$F$1,0),0)</f>
        <v>119.7</v>
      </c>
      <c r="L403" s="7">
        <f t="shared" si="30"/>
        <v>855</v>
      </c>
      <c r="M403" s="7">
        <f t="shared" si="31"/>
        <v>1077.3</v>
      </c>
      <c r="N403">
        <f t="shared" si="32"/>
        <v>14</v>
      </c>
      <c r="O403" t="str">
        <f t="shared" si="33"/>
        <v>Jul</v>
      </c>
      <c r="P403">
        <f t="shared" si="34"/>
        <v>2022</v>
      </c>
    </row>
    <row r="404" spans="1:16" x14ac:dyDescent="0.2">
      <c r="A404" s="1">
        <v>44757</v>
      </c>
      <c r="B404" t="s">
        <v>13</v>
      </c>
      <c r="C404">
        <v>2</v>
      </c>
      <c r="D404" t="s">
        <v>101</v>
      </c>
      <c r="E404" t="s">
        <v>101</v>
      </c>
      <c r="F404" s="5">
        <v>0</v>
      </c>
      <c r="G404" t="str">
        <f>VLOOKUP($B404,PRODUCT_MASTER!$A:$F,MATCH('FINAL DATA'!G$1,PRODUCT_MASTER!$A$1:$F$1,0),0)</f>
        <v>Product04</v>
      </c>
      <c r="H404" t="str">
        <f>VLOOKUP($B404,PRODUCT_MASTER!$A:$F,MATCH('FINAL DATA'!H$1,PRODUCT_MASTER!$A$1:$F$1,0),0)</f>
        <v>Organic</v>
      </c>
      <c r="I404" t="str">
        <f>VLOOKUP($B404,PRODUCT_MASTER!$A:$F,MATCH('FINAL DATA'!I$1,PRODUCT_MASTER!$A$1:$F$1,0),0)</f>
        <v>Lt</v>
      </c>
      <c r="J404" s="7">
        <f>VLOOKUP($B404,PRODUCT_MASTER!$A:$F,MATCH('FINAL DATA'!J$1,PRODUCT_MASTER!$A$1:$F$1,0),0)</f>
        <v>44</v>
      </c>
      <c r="K404" s="7">
        <f>VLOOKUP($B404,PRODUCT_MASTER!$A:$F,MATCH('FINAL DATA'!K$1,PRODUCT_MASTER!$A$1:$F$1,0),0)</f>
        <v>48.84</v>
      </c>
      <c r="L404" s="7">
        <f t="shared" si="30"/>
        <v>88</v>
      </c>
      <c r="M404" s="7">
        <f t="shared" si="31"/>
        <v>97.68</v>
      </c>
      <c r="N404">
        <f t="shared" si="32"/>
        <v>15</v>
      </c>
      <c r="O404" t="str">
        <f t="shared" si="33"/>
        <v>Jul</v>
      </c>
      <c r="P404">
        <f t="shared" si="34"/>
        <v>2022</v>
      </c>
    </row>
    <row r="405" spans="1:16" x14ac:dyDescent="0.2">
      <c r="A405" s="1">
        <v>44759</v>
      </c>
      <c r="B405" t="s">
        <v>87</v>
      </c>
      <c r="C405">
        <v>8</v>
      </c>
      <c r="D405" t="s">
        <v>101</v>
      </c>
      <c r="E405" t="s">
        <v>102</v>
      </c>
      <c r="F405" s="5">
        <v>0</v>
      </c>
      <c r="G405" t="str">
        <f>VLOOKUP($B405,PRODUCT_MASTER!$A:$F,MATCH('FINAL DATA'!G$1,PRODUCT_MASTER!$A$1:$F$1,0),0)</f>
        <v>Product41</v>
      </c>
      <c r="H405" t="str">
        <f>VLOOKUP($B405,PRODUCT_MASTER!$A:$F,MATCH('FINAL DATA'!H$1,PRODUCT_MASTER!$A$1:$F$1,0),0)</f>
        <v>Snacks</v>
      </c>
      <c r="I405" t="str">
        <f>VLOOKUP($B405,PRODUCT_MASTER!$A:$F,MATCH('FINAL DATA'!I$1,PRODUCT_MASTER!$A$1:$F$1,0),0)</f>
        <v>Ft</v>
      </c>
      <c r="J405" s="7">
        <f>VLOOKUP($B405,PRODUCT_MASTER!$A:$F,MATCH('FINAL DATA'!J$1,PRODUCT_MASTER!$A$1:$F$1,0),0)</f>
        <v>138</v>
      </c>
      <c r="K405" s="7">
        <f>VLOOKUP($B405,PRODUCT_MASTER!$A:$F,MATCH('FINAL DATA'!K$1,PRODUCT_MASTER!$A$1:$F$1,0),0)</f>
        <v>173.88</v>
      </c>
      <c r="L405" s="7">
        <f t="shared" si="30"/>
        <v>1104</v>
      </c>
      <c r="M405" s="7">
        <f t="shared" si="31"/>
        <v>1391.04</v>
      </c>
      <c r="N405">
        <f t="shared" si="32"/>
        <v>17</v>
      </c>
      <c r="O405" t="str">
        <f t="shared" si="33"/>
        <v>Jul</v>
      </c>
      <c r="P405">
        <f t="shared" si="34"/>
        <v>2022</v>
      </c>
    </row>
    <row r="406" spans="1:16" x14ac:dyDescent="0.2">
      <c r="A406" s="1">
        <v>44760</v>
      </c>
      <c r="B406" t="s">
        <v>25</v>
      </c>
      <c r="C406">
        <v>12</v>
      </c>
      <c r="D406" t="s">
        <v>103</v>
      </c>
      <c r="E406" t="s">
        <v>101</v>
      </c>
      <c r="F406" s="5">
        <v>0</v>
      </c>
      <c r="G406" t="str">
        <f>VLOOKUP($B406,PRODUCT_MASTER!$A:$F,MATCH('FINAL DATA'!G$1,PRODUCT_MASTER!$A$1:$F$1,0),0)</f>
        <v>Product10</v>
      </c>
      <c r="H406" t="str">
        <f>VLOOKUP($B406,PRODUCT_MASTER!$A:$F,MATCH('FINAL DATA'!H$1,PRODUCT_MASTER!$A$1:$F$1,0),0)</f>
        <v>Gourmet Foods</v>
      </c>
      <c r="I406" t="str">
        <f>VLOOKUP($B406,PRODUCT_MASTER!$A:$F,MATCH('FINAL DATA'!I$1,PRODUCT_MASTER!$A$1:$F$1,0),0)</f>
        <v>Ft</v>
      </c>
      <c r="J406" s="7">
        <f>VLOOKUP($B406,PRODUCT_MASTER!$A:$F,MATCH('FINAL DATA'!J$1,PRODUCT_MASTER!$A$1:$F$1,0),0)</f>
        <v>148</v>
      </c>
      <c r="K406" s="7">
        <f>VLOOKUP($B406,PRODUCT_MASTER!$A:$F,MATCH('FINAL DATA'!K$1,PRODUCT_MASTER!$A$1:$F$1,0),0)</f>
        <v>164.28</v>
      </c>
      <c r="L406" s="7">
        <f t="shared" si="30"/>
        <v>1776</v>
      </c>
      <c r="M406" s="7">
        <f t="shared" si="31"/>
        <v>1971.3600000000001</v>
      </c>
      <c r="N406">
        <f t="shared" si="32"/>
        <v>18</v>
      </c>
      <c r="O406" t="str">
        <f t="shared" si="33"/>
        <v>Jul</v>
      </c>
      <c r="P406">
        <f t="shared" si="34"/>
        <v>2022</v>
      </c>
    </row>
    <row r="407" spans="1:16" x14ac:dyDescent="0.2">
      <c r="A407" s="1">
        <v>44762</v>
      </c>
      <c r="B407" t="s">
        <v>89</v>
      </c>
      <c r="C407">
        <v>8</v>
      </c>
      <c r="D407" t="s">
        <v>100</v>
      </c>
      <c r="E407" t="s">
        <v>101</v>
      </c>
      <c r="F407" s="5">
        <v>0</v>
      </c>
      <c r="G407" t="str">
        <f>VLOOKUP($B407,PRODUCT_MASTER!$A:$F,MATCH('FINAL DATA'!G$1,PRODUCT_MASTER!$A$1:$F$1,0),0)</f>
        <v>Product42</v>
      </c>
      <c r="H407" t="str">
        <f>VLOOKUP($B407,PRODUCT_MASTER!$A:$F,MATCH('FINAL DATA'!H$1,PRODUCT_MASTER!$A$1:$F$1,0),0)</f>
        <v>Candy</v>
      </c>
      <c r="I407" t="str">
        <f>VLOOKUP($B407,PRODUCT_MASTER!$A:$F,MATCH('FINAL DATA'!I$1,PRODUCT_MASTER!$A$1:$F$1,0),0)</f>
        <v>Ft</v>
      </c>
      <c r="J407" s="7">
        <f>VLOOKUP($B407,PRODUCT_MASTER!$A:$F,MATCH('FINAL DATA'!J$1,PRODUCT_MASTER!$A$1:$F$1,0),0)</f>
        <v>120</v>
      </c>
      <c r="K407" s="7">
        <f>VLOOKUP($B407,PRODUCT_MASTER!$A:$F,MATCH('FINAL DATA'!K$1,PRODUCT_MASTER!$A$1:$F$1,0),0)</f>
        <v>162</v>
      </c>
      <c r="L407" s="7">
        <f t="shared" si="30"/>
        <v>960</v>
      </c>
      <c r="M407" s="7">
        <f t="shared" si="31"/>
        <v>1296</v>
      </c>
      <c r="N407">
        <f t="shared" si="32"/>
        <v>20</v>
      </c>
      <c r="O407" t="str">
        <f t="shared" si="33"/>
        <v>Jul</v>
      </c>
      <c r="P407">
        <f t="shared" si="34"/>
        <v>2022</v>
      </c>
    </row>
    <row r="408" spans="1:16" x14ac:dyDescent="0.2">
      <c r="A408" s="1">
        <v>44764</v>
      </c>
      <c r="B408" t="s">
        <v>73</v>
      </c>
      <c r="C408">
        <v>6</v>
      </c>
      <c r="D408" t="s">
        <v>103</v>
      </c>
      <c r="E408" t="s">
        <v>102</v>
      </c>
      <c r="F408" s="5">
        <v>0</v>
      </c>
      <c r="G408" t="str">
        <f>VLOOKUP($B408,PRODUCT_MASTER!$A:$F,MATCH('FINAL DATA'!G$1,PRODUCT_MASTER!$A$1:$F$1,0),0)</f>
        <v>Product34</v>
      </c>
      <c r="H408" t="str">
        <f>VLOOKUP($B408,PRODUCT_MASTER!$A:$F,MATCH('FINAL DATA'!H$1,PRODUCT_MASTER!$A$1:$F$1,0),0)</f>
        <v>Bakery And Desserts</v>
      </c>
      <c r="I408" t="str">
        <f>VLOOKUP($B408,PRODUCT_MASTER!$A:$F,MATCH('FINAL DATA'!I$1,PRODUCT_MASTER!$A$1:$F$1,0),0)</f>
        <v>Lt</v>
      </c>
      <c r="J408" s="7">
        <f>VLOOKUP($B408,PRODUCT_MASTER!$A:$F,MATCH('FINAL DATA'!J$1,PRODUCT_MASTER!$A$1:$F$1,0),0)</f>
        <v>55</v>
      </c>
      <c r="K408" s="7">
        <f>VLOOKUP($B408,PRODUCT_MASTER!$A:$F,MATCH('FINAL DATA'!K$1,PRODUCT_MASTER!$A$1:$F$1,0),0)</f>
        <v>58.3</v>
      </c>
      <c r="L408" s="7">
        <f t="shared" si="30"/>
        <v>330</v>
      </c>
      <c r="M408" s="7">
        <f t="shared" si="31"/>
        <v>349.79999999999995</v>
      </c>
      <c r="N408">
        <f t="shared" si="32"/>
        <v>22</v>
      </c>
      <c r="O408" t="str">
        <f t="shared" si="33"/>
        <v>Jul</v>
      </c>
      <c r="P408">
        <f t="shared" si="34"/>
        <v>2022</v>
      </c>
    </row>
    <row r="409" spans="1:16" x14ac:dyDescent="0.2">
      <c r="A409" s="1">
        <v>44765</v>
      </c>
      <c r="B409" t="s">
        <v>41</v>
      </c>
      <c r="C409">
        <v>2</v>
      </c>
      <c r="D409" t="s">
        <v>101</v>
      </c>
      <c r="E409" t="s">
        <v>101</v>
      </c>
      <c r="F409" s="5">
        <v>0</v>
      </c>
      <c r="G409" t="str">
        <f>VLOOKUP($B409,PRODUCT_MASTER!$A:$F,MATCH('FINAL DATA'!G$1,PRODUCT_MASTER!$A$1:$F$1,0),0)</f>
        <v>Product18</v>
      </c>
      <c r="H409" t="str">
        <f>VLOOKUP($B409,PRODUCT_MASTER!$A:$F,MATCH('FINAL DATA'!H$1,PRODUCT_MASTER!$A$1:$F$1,0),0)</f>
        <v>Poultry</v>
      </c>
      <c r="I409" t="str">
        <f>VLOOKUP($B409,PRODUCT_MASTER!$A:$F,MATCH('FINAL DATA'!I$1,PRODUCT_MASTER!$A$1:$F$1,0),0)</f>
        <v>No.</v>
      </c>
      <c r="J409" s="7">
        <f>VLOOKUP($B409,PRODUCT_MASTER!$A:$F,MATCH('FINAL DATA'!J$1,PRODUCT_MASTER!$A$1:$F$1,0),0)</f>
        <v>37</v>
      </c>
      <c r="K409" s="7">
        <f>VLOOKUP($B409,PRODUCT_MASTER!$A:$F,MATCH('FINAL DATA'!K$1,PRODUCT_MASTER!$A$1:$F$1,0),0)</f>
        <v>49.21</v>
      </c>
      <c r="L409" s="7">
        <f t="shared" si="30"/>
        <v>74</v>
      </c>
      <c r="M409" s="7">
        <f t="shared" si="31"/>
        <v>98.42</v>
      </c>
      <c r="N409">
        <f t="shared" si="32"/>
        <v>23</v>
      </c>
      <c r="O409" t="str">
        <f t="shared" si="33"/>
        <v>Jul</v>
      </c>
      <c r="P409">
        <f t="shared" si="34"/>
        <v>2022</v>
      </c>
    </row>
    <row r="410" spans="1:16" x14ac:dyDescent="0.2">
      <c r="A410" s="1">
        <v>44766</v>
      </c>
      <c r="B410" t="s">
        <v>17</v>
      </c>
      <c r="C410">
        <v>14</v>
      </c>
      <c r="D410" t="s">
        <v>103</v>
      </c>
      <c r="E410" t="s">
        <v>102</v>
      </c>
      <c r="F410" s="5">
        <v>0</v>
      </c>
      <c r="G410" t="str">
        <f>VLOOKUP($B410,PRODUCT_MASTER!$A:$F,MATCH('FINAL DATA'!G$1,PRODUCT_MASTER!$A$1:$F$1,0),0)</f>
        <v>Product06</v>
      </c>
      <c r="H410" t="str">
        <f>VLOOKUP($B410,PRODUCT_MASTER!$A:$F,MATCH('FINAL DATA'!H$1,PRODUCT_MASTER!$A$1:$F$1,0),0)</f>
        <v>Gourmet Foods</v>
      </c>
      <c r="I410" t="str">
        <f>VLOOKUP($B410,PRODUCT_MASTER!$A:$F,MATCH('FINAL DATA'!I$1,PRODUCT_MASTER!$A$1:$F$1,0),0)</f>
        <v>Kg</v>
      </c>
      <c r="J410" s="7">
        <f>VLOOKUP($B410,PRODUCT_MASTER!$A:$F,MATCH('FINAL DATA'!J$1,PRODUCT_MASTER!$A$1:$F$1,0),0)</f>
        <v>75</v>
      </c>
      <c r="K410" s="7">
        <f>VLOOKUP($B410,PRODUCT_MASTER!$A:$F,MATCH('FINAL DATA'!K$1,PRODUCT_MASTER!$A$1:$F$1,0),0)</f>
        <v>85.5</v>
      </c>
      <c r="L410" s="7">
        <f t="shared" si="30"/>
        <v>1050</v>
      </c>
      <c r="M410" s="7">
        <f t="shared" si="31"/>
        <v>1197</v>
      </c>
      <c r="N410">
        <f t="shared" si="32"/>
        <v>24</v>
      </c>
      <c r="O410" t="str">
        <f t="shared" si="33"/>
        <v>Jul</v>
      </c>
      <c r="P410">
        <f t="shared" si="34"/>
        <v>2022</v>
      </c>
    </row>
    <row r="411" spans="1:16" x14ac:dyDescent="0.2">
      <c r="A411" s="1">
        <v>44766</v>
      </c>
      <c r="B411" t="s">
        <v>59</v>
      </c>
      <c r="C411">
        <v>1</v>
      </c>
      <c r="D411" t="s">
        <v>101</v>
      </c>
      <c r="E411" t="s">
        <v>101</v>
      </c>
      <c r="F411" s="5">
        <v>0</v>
      </c>
      <c r="G411" t="str">
        <f>VLOOKUP($B411,PRODUCT_MASTER!$A:$F,MATCH('FINAL DATA'!G$1,PRODUCT_MASTER!$A$1:$F$1,0),0)</f>
        <v>Product27</v>
      </c>
      <c r="H411" t="str">
        <f>VLOOKUP($B411,PRODUCT_MASTER!$A:$F,MATCH('FINAL DATA'!H$1,PRODUCT_MASTER!$A$1:$F$1,0),0)</f>
        <v>Cheese And Dairy</v>
      </c>
      <c r="I411" t="str">
        <f>VLOOKUP($B411,PRODUCT_MASTER!$A:$F,MATCH('FINAL DATA'!I$1,PRODUCT_MASTER!$A$1:$F$1,0),0)</f>
        <v>Lt</v>
      </c>
      <c r="J411" s="7">
        <f>VLOOKUP($B411,PRODUCT_MASTER!$A:$F,MATCH('FINAL DATA'!J$1,PRODUCT_MASTER!$A$1:$F$1,0),0)</f>
        <v>48</v>
      </c>
      <c r="K411" s="7">
        <f>VLOOKUP($B411,PRODUCT_MASTER!$A:$F,MATCH('FINAL DATA'!K$1,PRODUCT_MASTER!$A$1:$F$1,0),0)</f>
        <v>57.120000000000005</v>
      </c>
      <c r="L411" s="7">
        <f t="shared" si="30"/>
        <v>48</v>
      </c>
      <c r="M411" s="7">
        <f t="shared" si="31"/>
        <v>57.120000000000005</v>
      </c>
      <c r="N411">
        <f t="shared" si="32"/>
        <v>24</v>
      </c>
      <c r="O411" t="str">
        <f t="shared" si="33"/>
        <v>Jul</v>
      </c>
      <c r="P411">
        <f t="shared" si="34"/>
        <v>2022</v>
      </c>
    </row>
    <row r="412" spans="1:16" x14ac:dyDescent="0.2">
      <c r="A412" s="1">
        <v>44767</v>
      </c>
      <c r="B412" t="s">
        <v>93</v>
      </c>
      <c r="C412">
        <v>2</v>
      </c>
      <c r="D412" t="s">
        <v>103</v>
      </c>
      <c r="E412" t="s">
        <v>102</v>
      </c>
      <c r="F412" s="5">
        <v>0</v>
      </c>
      <c r="G412" t="str">
        <f>VLOOKUP($B412,PRODUCT_MASTER!$A:$F,MATCH('FINAL DATA'!G$1,PRODUCT_MASTER!$A$1:$F$1,0),0)</f>
        <v>Product44</v>
      </c>
      <c r="H412" t="str">
        <f>VLOOKUP($B412,PRODUCT_MASTER!$A:$F,MATCH('FINAL DATA'!H$1,PRODUCT_MASTER!$A$1:$F$1,0),0)</f>
        <v>Candy</v>
      </c>
      <c r="I412" t="str">
        <f>VLOOKUP($B412,PRODUCT_MASTER!$A:$F,MATCH('FINAL DATA'!I$1,PRODUCT_MASTER!$A$1:$F$1,0),0)</f>
        <v>Kg</v>
      </c>
      <c r="J412" s="7">
        <f>VLOOKUP($B412,PRODUCT_MASTER!$A:$F,MATCH('FINAL DATA'!J$1,PRODUCT_MASTER!$A$1:$F$1,0),0)</f>
        <v>76</v>
      </c>
      <c r="K412" s="7">
        <f>VLOOKUP($B412,PRODUCT_MASTER!$A:$F,MATCH('FINAL DATA'!K$1,PRODUCT_MASTER!$A$1:$F$1,0),0)</f>
        <v>82.08</v>
      </c>
      <c r="L412" s="7">
        <f t="shared" si="30"/>
        <v>152</v>
      </c>
      <c r="M412" s="7">
        <f t="shared" si="31"/>
        <v>164.16</v>
      </c>
      <c r="N412">
        <f t="shared" si="32"/>
        <v>25</v>
      </c>
      <c r="O412" t="str">
        <f t="shared" si="33"/>
        <v>Jul</v>
      </c>
      <c r="P412">
        <f t="shared" si="34"/>
        <v>2022</v>
      </c>
    </row>
    <row r="413" spans="1:16" x14ac:dyDescent="0.2">
      <c r="A413" s="1">
        <v>44767</v>
      </c>
      <c r="B413" t="s">
        <v>39</v>
      </c>
      <c r="C413">
        <v>12</v>
      </c>
      <c r="D413" t="s">
        <v>103</v>
      </c>
      <c r="E413" t="s">
        <v>102</v>
      </c>
      <c r="F413" s="5">
        <v>0</v>
      </c>
      <c r="G413" t="str">
        <f>VLOOKUP($B413,PRODUCT_MASTER!$A:$F,MATCH('FINAL DATA'!G$1,PRODUCT_MASTER!$A$1:$F$1,0),0)</f>
        <v>Product17</v>
      </c>
      <c r="H413" t="str">
        <f>VLOOKUP($B413,PRODUCT_MASTER!$A:$F,MATCH('FINAL DATA'!H$1,PRODUCT_MASTER!$A$1:$F$1,0),0)</f>
        <v>Poultry</v>
      </c>
      <c r="I413" t="str">
        <f>VLOOKUP($B413,PRODUCT_MASTER!$A:$F,MATCH('FINAL DATA'!I$1,PRODUCT_MASTER!$A$1:$F$1,0),0)</f>
        <v>Ft</v>
      </c>
      <c r="J413" s="7">
        <f>VLOOKUP($B413,PRODUCT_MASTER!$A:$F,MATCH('FINAL DATA'!J$1,PRODUCT_MASTER!$A$1:$F$1,0),0)</f>
        <v>134</v>
      </c>
      <c r="K413" s="7">
        <f>VLOOKUP($B413,PRODUCT_MASTER!$A:$F,MATCH('FINAL DATA'!K$1,PRODUCT_MASTER!$A$1:$F$1,0),0)</f>
        <v>156.78</v>
      </c>
      <c r="L413" s="7">
        <f t="shared" si="30"/>
        <v>1608</v>
      </c>
      <c r="M413" s="7">
        <f t="shared" si="31"/>
        <v>1881.3600000000001</v>
      </c>
      <c r="N413">
        <f t="shared" si="32"/>
        <v>25</v>
      </c>
      <c r="O413" t="str">
        <f t="shared" si="33"/>
        <v>Jul</v>
      </c>
      <c r="P413">
        <f t="shared" si="34"/>
        <v>2022</v>
      </c>
    </row>
    <row r="414" spans="1:16" x14ac:dyDescent="0.2">
      <c r="A414" s="1">
        <v>44767</v>
      </c>
      <c r="B414" t="s">
        <v>11</v>
      </c>
      <c r="C414">
        <v>13</v>
      </c>
      <c r="D414" t="s">
        <v>101</v>
      </c>
      <c r="E414" t="s">
        <v>102</v>
      </c>
      <c r="F414" s="5">
        <v>0</v>
      </c>
      <c r="G414" t="str">
        <f>VLOOKUP($B414,PRODUCT_MASTER!$A:$F,MATCH('FINAL DATA'!G$1,PRODUCT_MASTER!$A$1:$F$1,0),0)</f>
        <v>Product03</v>
      </c>
      <c r="H414" t="str">
        <f>VLOOKUP($B414,PRODUCT_MASTER!$A:$F,MATCH('FINAL DATA'!H$1,PRODUCT_MASTER!$A$1:$F$1,0),0)</f>
        <v>Organic</v>
      </c>
      <c r="I414" t="str">
        <f>VLOOKUP($B414,PRODUCT_MASTER!$A:$F,MATCH('FINAL DATA'!I$1,PRODUCT_MASTER!$A$1:$F$1,0),0)</f>
        <v>Kg</v>
      </c>
      <c r="J414" s="7">
        <f>VLOOKUP($B414,PRODUCT_MASTER!$A:$F,MATCH('FINAL DATA'!J$1,PRODUCT_MASTER!$A$1:$F$1,0),0)</f>
        <v>71</v>
      </c>
      <c r="K414" s="7">
        <f>VLOOKUP($B414,PRODUCT_MASTER!$A:$F,MATCH('FINAL DATA'!K$1,PRODUCT_MASTER!$A$1:$F$1,0),0)</f>
        <v>80.94</v>
      </c>
      <c r="L414" s="7">
        <f t="shared" si="30"/>
        <v>923</v>
      </c>
      <c r="M414" s="7">
        <f t="shared" si="31"/>
        <v>1052.22</v>
      </c>
      <c r="N414">
        <f t="shared" si="32"/>
        <v>25</v>
      </c>
      <c r="O414" t="str">
        <f t="shared" si="33"/>
        <v>Jul</v>
      </c>
      <c r="P414">
        <f t="shared" si="34"/>
        <v>2022</v>
      </c>
    </row>
    <row r="415" spans="1:16" x14ac:dyDescent="0.2">
      <c r="A415" s="1">
        <v>44768</v>
      </c>
      <c r="B415" t="s">
        <v>11</v>
      </c>
      <c r="C415">
        <v>10</v>
      </c>
      <c r="D415" t="s">
        <v>101</v>
      </c>
      <c r="E415" t="s">
        <v>101</v>
      </c>
      <c r="F415" s="5">
        <v>0</v>
      </c>
      <c r="G415" t="str">
        <f>VLOOKUP($B415,PRODUCT_MASTER!$A:$F,MATCH('FINAL DATA'!G$1,PRODUCT_MASTER!$A$1:$F$1,0),0)</f>
        <v>Product03</v>
      </c>
      <c r="H415" t="str">
        <f>VLOOKUP($B415,PRODUCT_MASTER!$A:$F,MATCH('FINAL DATA'!H$1,PRODUCT_MASTER!$A$1:$F$1,0),0)</f>
        <v>Organic</v>
      </c>
      <c r="I415" t="str">
        <f>VLOOKUP($B415,PRODUCT_MASTER!$A:$F,MATCH('FINAL DATA'!I$1,PRODUCT_MASTER!$A$1:$F$1,0),0)</f>
        <v>Kg</v>
      </c>
      <c r="J415" s="7">
        <f>VLOOKUP($B415,PRODUCT_MASTER!$A:$F,MATCH('FINAL DATA'!J$1,PRODUCT_MASTER!$A$1:$F$1,0),0)</f>
        <v>71</v>
      </c>
      <c r="K415" s="7">
        <f>VLOOKUP($B415,PRODUCT_MASTER!$A:$F,MATCH('FINAL DATA'!K$1,PRODUCT_MASTER!$A$1:$F$1,0),0)</f>
        <v>80.94</v>
      </c>
      <c r="L415" s="7">
        <f t="shared" si="30"/>
        <v>710</v>
      </c>
      <c r="M415" s="7">
        <f t="shared" si="31"/>
        <v>809.4</v>
      </c>
      <c r="N415">
        <f t="shared" si="32"/>
        <v>26</v>
      </c>
      <c r="O415" t="str">
        <f t="shared" si="33"/>
        <v>Jul</v>
      </c>
      <c r="P415">
        <f t="shared" si="34"/>
        <v>2022</v>
      </c>
    </row>
    <row r="416" spans="1:16" x14ac:dyDescent="0.2">
      <c r="A416" s="1">
        <v>44768</v>
      </c>
      <c r="B416" t="s">
        <v>57</v>
      </c>
      <c r="C416">
        <v>1</v>
      </c>
      <c r="D416" t="s">
        <v>101</v>
      </c>
      <c r="E416" t="s">
        <v>102</v>
      </c>
      <c r="F416" s="5">
        <v>0</v>
      </c>
      <c r="G416" t="str">
        <f>VLOOKUP($B416,PRODUCT_MASTER!$A:$F,MATCH('FINAL DATA'!G$1,PRODUCT_MASTER!$A$1:$F$1,0),0)</f>
        <v>Product26</v>
      </c>
      <c r="H416" t="str">
        <f>VLOOKUP($B416,PRODUCT_MASTER!$A:$F,MATCH('FINAL DATA'!H$1,PRODUCT_MASTER!$A$1:$F$1,0),0)</f>
        <v>Seafood</v>
      </c>
      <c r="I416" t="str">
        <f>VLOOKUP($B416,PRODUCT_MASTER!$A:$F,MATCH('FINAL DATA'!I$1,PRODUCT_MASTER!$A$1:$F$1,0),0)</f>
        <v>No.</v>
      </c>
      <c r="J416" s="7">
        <f>VLOOKUP($B416,PRODUCT_MASTER!$A:$F,MATCH('FINAL DATA'!J$1,PRODUCT_MASTER!$A$1:$F$1,0),0)</f>
        <v>18</v>
      </c>
      <c r="K416" s="7">
        <f>VLOOKUP($B416,PRODUCT_MASTER!$A:$F,MATCH('FINAL DATA'!K$1,PRODUCT_MASTER!$A$1:$F$1,0),0)</f>
        <v>24.66</v>
      </c>
      <c r="L416" s="7">
        <f t="shared" si="30"/>
        <v>18</v>
      </c>
      <c r="M416" s="7">
        <f t="shared" si="31"/>
        <v>24.66</v>
      </c>
      <c r="N416">
        <f t="shared" si="32"/>
        <v>26</v>
      </c>
      <c r="O416" t="str">
        <f t="shared" si="33"/>
        <v>Jul</v>
      </c>
      <c r="P416">
        <f t="shared" si="34"/>
        <v>2022</v>
      </c>
    </row>
    <row r="417" spans="1:16" x14ac:dyDescent="0.2">
      <c r="A417" s="1">
        <v>44776</v>
      </c>
      <c r="B417" t="s">
        <v>29</v>
      </c>
      <c r="C417">
        <v>5</v>
      </c>
      <c r="D417" t="s">
        <v>103</v>
      </c>
      <c r="E417" t="s">
        <v>102</v>
      </c>
      <c r="F417" s="5">
        <v>0</v>
      </c>
      <c r="G417" t="str">
        <f>VLOOKUP($B417,PRODUCT_MASTER!$A:$F,MATCH('FINAL DATA'!G$1,PRODUCT_MASTER!$A$1:$F$1,0),0)</f>
        <v>Product12</v>
      </c>
      <c r="H417" t="str">
        <f>VLOOKUP($B417,PRODUCT_MASTER!$A:$F,MATCH('FINAL DATA'!H$1,PRODUCT_MASTER!$A$1:$F$1,0),0)</f>
        <v>Meat</v>
      </c>
      <c r="I417" t="str">
        <f>VLOOKUP($B417,PRODUCT_MASTER!$A:$F,MATCH('FINAL DATA'!I$1,PRODUCT_MASTER!$A$1:$F$1,0),0)</f>
        <v>Kg</v>
      </c>
      <c r="J417" s="7">
        <f>VLOOKUP($B417,PRODUCT_MASTER!$A:$F,MATCH('FINAL DATA'!J$1,PRODUCT_MASTER!$A$1:$F$1,0),0)</f>
        <v>73</v>
      </c>
      <c r="K417" s="7">
        <f>VLOOKUP($B417,PRODUCT_MASTER!$A:$F,MATCH('FINAL DATA'!K$1,PRODUCT_MASTER!$A$1:$F$1,0),0)</f>
        <v>94.17</v>
      </c>
      <c r="L417" s="7">
        <f t="shared" si="30"/>
        <v>365</v>
      </c>
      <c r="M417" s="7">
        <f t="shared" si="31"/>
        <v>470.85</v>
      </c>
      <c r="N417">
        <f t="shared" si="32"/>
        <v>3</v>
      </c>
      <c r="O417" t="str">
        <f t="shared" si="33"/>
        <v>Aug</v>
      </c>
      <c r="P417">
        <f t="shared" si="34"/>
        <v>2022</v>
      </c>
    </row>
    <row r="418" spans="1:16" x14ac:dyDescent="0.2">
      <c r="A418" s="1">
        <v>44779</v>
      </c>
      <c r="B418" t="s">
        <v>37</v>
      </c>
      <c r="C418">
        <v>9</v>
      </c>
      <c r="D418" t="s">
        <v>101</v>
      </c>
      <c r="E418" t="s">
        <v>101</v>
      </c>
      <c r="F418" s="5">
        <v>0</v>
      </c>
      <c r="G418" t="str">
        <f>VLOOKUP($B418,PRODUCT_MASTER!$A:$F,MATCH('FINAL DATA'!G$1,PRODUCT_MASTER!$A$1:$F$1,0),0)</f>
        <v>Product16</v>
      </c>
      <c r="H418" t="str">
        <f>VLOOKUP($B418,PRODUCT_MASTER!$A:$F,MATCH('FINAL DATA'!H$1,PRODUCT_MASTER!$A$1:$F$1,0),0)</f>
        <v>Meat</v>
      </c>
      <c r="I418" t="str">
        <f>VLOOKUP($B418,PRODUCT_MASTER!$A:$F,MATCH('FINAL DATA'!I$1,PRODUCT_MASTER!$A$1:$F$1,0),0)</f>
        <v>No.</v>
      </c>
      <c r="J418" s="7">
        <f>VLOOKUP($B418,PRODUCT_MASTER!$A:$F,MATCH('FINAL DATA'!J$1,PRODUCT_MASTER!$A$1:$F$1,0),0)</f>
        <v>13</v>
      </c>
      <c r="K418" s="7">
        <f>VLOOKUP($B418,PRODUCT_MASTER!$A:$F,MATCH('FINAL DATA'!K$1,PRODUCT_MASTER!$A$1:$F$1,0),0)</f>
        <v>16.64</v>
      </c>
      <c r="L418" s="7">
        <f t="shared" si="30"/>
        <v>117</v>
      </c>
      <c r="M418" s="7">
        <f t="shared" si="31"/>
        <v>149.76</v>
      </c>
      <c r="N418">
        <f t="shared" si="32"/>
        <v>6</v>
      </c>
      <c r="O418" t="str">
        <f t="shared" si="33"/>
        <v>Aug</v>
      </c>
      <c r="P418">
        <f t="shared" si="34"/>
        <v>2022</v>
      </c>
    </row>
    <row r="419" spans="1:16" x14ac:dyDescent="0.2">
      <c r="A419" s="1">
        <v>44781</v>
      </c>
      <c r="B419" t="s">
        <v>37</v>
      </c>
      <c r="C419">
        <v>2</v>
      </c>
      <c r="D419" t="s">
        <v>103</v>
      </c>
      <c r="E419" t="s">
        <v>101</v>
      </c>
      <c r="F419" s="5">
        <v>0</v>
      </c>
      <c r="G419" t="str">
        <f>VLOOKUP($B419,PRODUCT_MASTER!$A:$F,MATCH('FINAL DATA'!G$1,PRODUCT_MASTER!$A$1:$F$1,0),0)</f>
        <v>Product16</v>
      </c>
      <c r="H419" t="str">
        <f>VLOOKUP($B419,PRODUCT_MASTER!$A:$F,MATCH('FINAL DATA'!H$1,PRODUCT_MASTER!$A$1:$F$1,0),0)</f>
        <v>Meat</v>
      </c>
      <c r="I419" t="str">
        <f>VLOOKUP($B419,PRODUCT_MASTER!$A:$F,MATCH('FINAL DATA'!I$1,PRODUCT_MASTER!$A$1:$F$1,0),0)</f>
        <v>No.</v>
      </c>
      <c r="J419" s="7">
        <f>VLOOKUP($B419,PRODUCT_MASTER!$A:$F,MATCH('FINAL DATA'!J$1,PRODUCT_MASTER!$A$1:$F$1,0),0)</f>
        <v>13</v>
      </c>
      <c r="K419" s="7">
        <f>VLOOKUP($B419,PRODUCT_MASTER!$A:$F,MATCH('FINAL DATA'!K$1,PRODUCT_MASTER!$A$1:$F$1,0),0)</f>
        <v>16.64</v>
      </c>
      <c r="L419" s="7">
        <f t="shared" si="30"/>
        <v>26</v>
      </c>
      <c r="M419" s="7">
        <f t="shared" si="31"/>
        <v>33.28</v>
      </c>
      <c r="N419">
        <f t="shared" si="32"/>
        <v>8</v>
      </c>
      <c r="O419" t="str">
        <f t="shared" si="33"/>
        <v>Aug</v>
      </c>
      <c r="P419">
        <f t="shared" si="34"/>
        <v>2022</v>
      </c>
    </row>
    <row r="420" spans="1:16" x14ac:dyDescent="0.2">
      <c r="A420" s="1">
        <v>44781</v>
      </c>
      <c r="B420" t="s">
        <v>69</v>
      </c>
      <c r="C420">
        <v>12</v>
      </c>
      <c r="D420" t="s">
        <v>103</v>
      </c>
      <c r="E420" t="s">
        <v>102</v>
      </c>
      <c r="F420" s="5">
        <v>0</v>
      </c>
      <c r="G420" t="str">
        <f>VLOOKUP($B420,PRODUCT_MASTER!$A:$F,MATCH('FINAL DATA'!G$1,PRODUCT_MASTER!$A$1:$F$1,0),0)</f>
        <v>Product32</v>
      </c>
      <c r="H420" t="str">
        <f>VLOOKUP($B420,PRODUCT_MASTER!$A:$F,MATCH('FINAL DATA'!H$1,PRODUCT_MASTER!$A$1:$F$1,0),0)</f>
        <v>Bakery And Desserts</v>
      </c>
      <c r="I420" t="str">
        <f>VLOOKUP($B420,PRODUCT_MASTER!$A:$F,MATCH('FINAL DATA'!I$1,PRODUCT_MASTER!$A$1:$F$1,0),0)</f>
        <v>Kg</v>
      </c>
      <c r="J420" s="7">
        <f>VLOOKUP($B420,PRODUCT_MASTER!$A:$F,MATCH('FINAL DATA'!J$1,PRODUCT_MASTER!$A$1:$F$1,0),0)</f>
        <v>89</v>
      </c>
      <c r="K420" s="7">
        <f>VLOOKUP($B420,PRODUCT_MASTER!$A:$F,MATCH('FINAL DATA'!K$1,PRODUCT_MASTER!$A$1:$F$1,0),0)</f>
        <v>117.48</v>
      </c>
      <c r="L420" s="7">
        <f t="shared" si="30"/>
        <v>1068</v>
      </c>
      <c r="M420" s="7">
        <f t="shared" si="31"/>
        <v>1409.76</v>
      </c>
      <c r="N420">
        <f t="shared" si="32"/>
        <v>8</v>
      </c>
      <c r="O420" t="str">
        <f t="shared" si="33"/>
        <v>Aug</v>
      </c>
      <c r="P420">
        <f t="shared" si="34"/>
        <v>2022</v>
      </c>
    </row>
    <row r="421" spans="1:16" x14ac:dyDescent="0.2">
      <c r="A421" s="1">
        <v>44781</v>
      </c>
      <c r="B421" t="s">
        <v>47</v>
      </c>
      <c r="C421">
        <v>11</v>
      </c>
      <c r="D421" t="s">
        <v>103</v>
      </c>
      <c r="E421" t="s">
        <v>102</v>
      </c>
      <c r="F421" s="5">
        <v>0</v>
      </c>
      <c r="G421" t="str">
        <f>VLOOKUP($B421,PRODUCT_MASTER!$A:$F,MATCH('FINAL DATA'!G$1,PRODUCT_MASTER!$A$1:$F$1,0),0)</f>
        <v>Product21</v>
      </c>
      <c r="H421" t="str">
        <f>VLOOKUP($B421,PRODUCT_MASTER!$A:$F,MATCH('FINAL DATA'!H$1,PRODUCT_MASTER!$A$1:$F$1,0),0)</f>
        <v>Poultry</v>
      </c>
      <c r="I421" t="str">
        <f>VLOOKUP($B421,PRODUCT_MASTER!$A:$F,MATCH('FINAL DATA'!I$1,PRODUCT_MASTER!$A$1:$F$1,0),0)</f>
        <v>Ft</v>
      </c>
      <c r="J421" s="7">
        <f>VLOOKUP($B421,PRODUCT_MASTER!$A:$F,MATCH('FINAL DATA'!J$1,PRODUCT_MASTER!$A$1:$F$1,0),0)</f>
        <v>126</v>
      </c>
      <c r="K421" s="7">
        <f>VLOOKUP($B421,PRODUCT_MASTER!$A:$F,MATCH('FINAL DATA'!K$1,PRODUCT_MASTER!$A$1:$F$1,0),0)</f>
        <v>162.54</v>
      </c>
      <c r="L421" s="7">
        <f t="shared" si="30"/>
        <v>1386</v>
      </c>
      <c r="M421" s="7">
        <f t="shared" si="31"/>
        <v>1787.9399999999998</v>
      </c>
      <c r="N421">
        <f t="shared" si="32"/>
        <v>8</v>
      </c>
      <c r="O421" t="str">
        <f t="shared" si="33"/>
        <v>Aug</v>
      </c>
      <c r="P421">
        <f t="shared" si="34"/>
        <v>2022</v>
      </c>
    </row>
    <row r="422" spans="1:16" x14ac:dyDescent="0.2">
      <c r="A422" s="1">
        <v>44787</v>
      </c>
      <c r="B422" t="s">
        <v>65</v>
      </c>
      <c r="C422">
        <v>14</v>
      </c>
      <c r="D422" t="s">
        <v>103</v>
      </c>
      <c r="E422" t="s">
        <v>102</v>
      </c>
      <c r="F422" s="5">
        <v>0</v>
      </c>
      <c r="G422" t="str">
        <f>VLOOKUP($B422,PRODUCT_MASTER!$A:$F,MATCH('FINAL DATA'!G$1,PRODUCT_MASTER!$A$1:$F$1,0),0)</f>
        <v>Product30</v>
      </c>
      <c r="H422" t="str">
        <f>VLOOKUP($B422,PRODUCT_MASTER!$A:$F,MATCH('FINAL DATA'!H$1,PRODUCT_MASTER!$A$1:$F$1,0),0)</f>
        <v>Cheese And Dairy</v>
      </c>
      <c r="I422" t="str">
        <f>VLOOKUP($B422,PRODUCT_MASTER!$A:$F,MATCH('FINAL DATA'!I$1,PRODUCT_MASTER!$A$1:$F$1,0),0)</f>
        <v>Ft</v>
      </c>
      <c r="J422" s="7">
        <f>VLOOKUP($B422,PRODUCT_MASTER!$A:$F,MATCH('FINAL DATA'!J$1,PRODUCT_MASTER!$A$1:$F$1,0),0)</f>
        <v>148</v>
      </c>
      <c r="K422" s="7">
        <f>VLOOKUP($B422,PRODUCT_MASTER!$A:$F,MATCH('FINAL DATA'!K$1,PRODUCT_MASTER!$A$1:$F$1,0),0)</f>
        <v>201.28</v>
      </c>
      <c r="L422" s="7">
        <f t="shared" si="30"/>
        <v>2072</v>
      </c>
      <c r="M422" s="7">
        <f t="shared" si="31"/>
        <v>2817.92</v>
      </c>
      <c r="N422">
        <f t="shared" si="32"/>
        <v>14</v>
      </c>
      <c r="O422" t="str">
        <f t="shared" si="33"/>
        <v>Aug</v>
      </c>
      <c r="P422">
        <f t="shared" si="34"/>
        <v>2022</v>
      </c>
    </row>
    <row r="423" spans="1:16" x14ac:dyDescent="0.2">
      <c r="A423" s="1">
        <v>44788</v>
      </c>
      <c r="B423" t="s">
        <v>27</v>
      </c>
      <c r="C423">
        <v>10</v>
      </c>
      <c r="D423" t="s">
        <v>100</v>
      </c>
      <c r="E423" t="s">
        <v>102</v>
      </c>
      <c r="F423" s="5">
        <v>0</v>
      </c>
      <c r="G423" t="str">
        <f>VLOOKUP($B423,PRODUCT_MASTER!$A:$F,MATCH('FINAL DATA'!G$1,PRODUCT_MASTER!$A$1:$F$1,0),0)</f>
        <v>Product11</v>
      </c>
      <c r="H423" t="str">
        <f>VLOOKUP($B423,PRODUCT_MASTER!$A:$F,MATCH('FINAL DATA'!H$1,PRODUCT_MASTER!$A$1:$F$1,0),0)</f>
        <v>Gourmet Foods</v>
      </c>
      <c r="I423" t="str">
        <f>VLOOKUP($B423,PRODUCT_MASTER!$A:$F,MATCH('FINAL DATA'!I$1,PRODUCT_MASTER!$A$1:$F$1,0),0)</f>
        <v>Lt</v>
      </c>
      <c r="J423" s="7">
        <f>VLOOKUP($B423,PRODUCT_MASTER!$A:$F,MATCH('FINAL DATA'!J$1,PRODUCT_MASTER!$A$1:$F$1,0),0)</f>
        <v>44</v>
      </c>
      <c r="K423" s="7">
        <f>VLOOKUP($B423,PRODUCT_MASTER!$A:$F,MATCH('FINAL DATA'!K$1,PRODUCT_MASTER!$A$1:$F$1,0),0)</f>
        <v>48.4</v>
      </c>
      <c r="L423" s="7">
        <f t="shared" si="30"/>
        <v>440</v>
      </c>
      <c r="M423" s="7">
        <f t="shared" si="31"/>
        <v>484</v>
      </c>
      <c r="N423">
        <f t="shared" si="32"/>
        <v>15</v>
      </c>
      <c r="O423" t="str">
        <f t="shared" si="33"/>
        <v>Aug</v>
      </c>
      <c r="P423">
        <f t="shared" si="34"/>
        <v>2022</v>
      </c>
    </row>
    <row r="424" spans="1:16" x14ac:dyDescent="0.2">
      <c r="A424" s="1">
        <v>44788</v>
      </c>
      <c r="B424" t="s">
        <v>35</v>
      </c>
      <c r="C424">
        <v>7</v>
      </c>
      <c r="D424" t="s">
        <v>103</v>
      </c>
      <c r="E424" t="s">
        <v>101</v>
      </c>
      <c r="F424" s="5">
        <v>0</v>
      </c>
      <c r="G424" t="str">
        <f>VLOOKUP($B424,PRODUCT_MASTER!$A:$F,MATCH('FINAL DATA'!G$1,PRODUCT_MASTER!$A$1:$F$1,0),0)</f>
        <v>Product15</v>
      </c>
      <c r="H424" t="str">
        <f>VLOOKUP($B424,PRODUCT_MASTER!$A:$F,MATCH('FINAL DATA'!H$1,PRODUCT_MASTER!$A$1:$F$1,0),0)</f>
        <v>Meat</v>
      </c>
      <c r="I424" t="str">
        <f>VLOOKUP($B424,PRODUCT_MASTER!$A:$F,MATCH('FINAL DATA'!I$1,PRODUCT_MASTER!$A$1:$F$1,0),0)</f>
        <v>No.</v>
      </c>
      <c r="J424" s="7">
        <f>VLOOKUP($B424,PRODUCT_MASTER!$A:$F,MATCH('FINAL DATA'!J$1,PRODUCT_MASTER!$A$1:$F$1,0),0)</f>
        <v>12</v>
      </c>
      <c r="K424" s="7">
        <f>VLOOKUP($B424,PRODUCT_MASTER!$A:$F,MATCH('FINAL DATA'!K$1,PRODUCT_MASTER!$A$1:$F$1,0),0)</f>
        <v>15.719999999999999</v>
      </c>
      <c r="L424" s="7">
        <f t="shared" si="30"/>
        <v>84</v>
      </c>
      <c r="M424" s="7">
        <f t="shared" si="31"/>
        <v>110.03999999999999</v>
      </c>
      <c r="N424">
        <f t="shared" si="32"/>
        <v>15</v>
      </c>
      <c r="O424" t="str">
        <f t="shared" si="33"/>
        <v>Aug</v>
      </c>
      <c r="P424">
        <f t="shared" si="34"/>
        <v>2022</v>
      </c>
    </row>
    <row r="425" spans="1:16" x14ac:dyDescent="0.2">
      <c r="A425" s="1">
        <v>44791</v>
      </c>
      <c r="B425" t="s">
        <v>63</v>
      </c>
      <c r="C425">
        <v>8</v>
      </c>
      <c r="D425" t="s">
        <v>101</v>
      </c>
      <c r="E425" t="s">
        <v>101</v>
      </c>
      <c r="F425" s="5">
        <v>0</v>
      </c>
      <c r="G425" t="str">
        <f>VLOOKUP($B425,PRODUCT_MASTER!$A:$F,MATCH('FINAL DATA'!G$1,PRODUCT_MASTER!$A$1:$F$1,0),0)</f>
        <v>Product29</v>
      </c>
      <c r="H425" t="str">
        <f>VLOOKUP($B425,PRODUCT_MASTER!$A:$F,MATCH('FINAL DATA'!H$1,PRODUCT_MASTER!$A$1:$F$1,0),0)</f>
        <v>Cheese And Dairy</v>
      </c>
      <c r="I425" t="str">
        <f>VLOOKUP($B425,PRODUCT_MASTER!$A:$F,MATCH('FINAL DATA'!I$1,PRODUCT_MASTER!$A$1:$F$1,0),0)</f>
        <v>Lt</v>
      </c>
      <c r="J425" s="7">
        <f>VLOOKUP($B425,PRODUCT_MASTER!$A:$F,MATCH('FINAL DATA'!J$1,PRODUCT_MASTER!$A$1:$F$1,0),0)</f>
        <v>47</v>
      </c>
      <c r="K425" s="7">
        <f>VLOOKUP($B425,PRODUCT_MASTER!$A:$F,MATCH('FINAL DATA'!K$1,PRODUCT_MASTER!$A$1:$F$1,0),0)</f>
        <v>53.11</v>
      </c>
      <c r="L425" s="7">
        <f t="shared" si="30"/>
        <v>376</v>
      </c>
      <c r="M425" s="7">
        <f t="shared" si="31"/>
        <v>424.88</v>
      </c>
      <c r="N425">
        <f t="shared" si="32"/>
        <v>18</v>
      </c>
      <c r="O425" t="str">
        <f t="shared" si="33"/>
        <v>Aug</v>
      </c>
      <c r="P425">
        <f t="shared" si="34"/>
        <v>2022</v>
      </c>
    </row>
    <row r="426" spans="1:16" x14ac:dyDescent="0.2">
      <c r="A426" s="1">
        <v>44791</v>
      </c>
      <c r="B426" t="s">
        <v>25</v>
      </c>
      <c r="C426">
        <v>2</v>
      </c>
      <c r="D426" t="s">
        <v>101</v>
      </c>
      <c r="E426" t="s">
        <v>102</v>
      </c>
      <c r="F426" s="5">
        <v>0</v>
      </c>
      <c r="G426" t="str">
        <f>VLOOKUP($B426,PRODUCT_MASTER!$A:$F,MATCH('FINAL DATA'!G$1,PRODUCT_MASTER!$A$1:$F$1,0),0)</f>
        <v>Product10</v>
      </c>
      <c r="H426" t="str">
        <f>VLOOKUP($B426,PRODUCT_MASTER!$A:$F,MATCH('FINAL DATA'!H$1,PRODUCT_MASTER!$A$1:$F$1,0),0)</f>
        <v>Gourmet Foods</v>
      </c>
      <c r="I426" t="str">
        <f>VLOOKUP($B426,PRODUCT_MASTER!$A:$F,MATCH('FINAL DATA'!I$1,PRODUCT_MASTER!$A$1:$F$1,0),0)</f>
        <v>Ft</v>
      </c>
      <c r="J426" s="7">
        <f>VLOOKUP($B426,PRODUCT_MASTER!$A:$F,MATCH('FINAL DATA'!J$1,PRODUCT_MASTER!$A$1:$F$1,0),0)</f>
        <v>148</v>
      </c>
      <c r="K426" s="7">
        <f>VLOOKUP($B426,PRODUCT_MASTER!$A:$F,MATCH('FINAL DATA'!K$1,PRODUCT_MASTER!$A$1:$F$1,0),0)</f>
        <v>164.28</v>
      </c>
      <c r="L426" s="7">
        <f t="shared" si="30"/>
        <v>296</v>
      </c>
      <c r="M426" s="7">
        <f t="shared" si="31"/>
        <v>328.56</v>
      </c>
      <c r="N426">
        <f t="shared" si="32"/>
        <v>18</v>
      </c>
      <c r="O426" t="str">
        <f t="shared" si="33"/>
        <v>Aug</v>
      </c>
      <c r="P426">
        <f t="shared" si="34"/>
        <v>2022</v>
      </c>
    </row>
    <row r="427" spans="1:16" x14ac:dyDescent="0.2">
      <c r="A427" s="1">
        <v>44792</v>
      </c>
      <c r="B427" t="s">
        <v>19</v>
      </c>
      <c r="C427">
        <v>3</v>
      </c>
      <c r="D427" t="s">
        <v>101</v>
      </c>
      <c r="E427" t="s">
        <v>101</v>
      </c>
      <c r="F427" s="5">
        <v>0</v>
      </c>
      <c r="G427" t="str">
        <f>VLOOKUP($B427,PRODUCT_MASTER!$A:$F,MATCH('FINAL DATA'!G$1,PRODUCT_MASTER!$A$1:$F$1,0),0)</f>
        <v>Product07</v>
      </c>
      <c r="H427" t="str">
        <f>VLOOKUP($B427,PRODUCT_MASTER!$A:$F,MATCH('FINAL DATA'!H$1,PRODUCT_MASTER!$A$1:$F$1,0),0)</f>
        <v>Gourmet Foods</v>
      </c>
      <c r="I427" t="str">
        <f>VLOOKUP($B427,PRODUCT_MASTER!$A:$F,MATCH('FINAL DATA'!I$1,PRODUCT_MASTER!$A$1:$F$1,0),0)</f>
        <v>Lt</v>
      </c>
      <c r="J427" s="7">
        <f>VLOOKUP($B427,PRODUCT_MASTER!$A:$F,MATCH('FINAL DATA'!J$1,PRODUCT_MASTER!$A$1:$F$1,0),0)</f>
        <v>43</v>
      </c>
      <c r="K427" s="7">
        <f>VLOOKUP($B427,PRODUCT_MASTER!$A:$F,MATCH('FINAL DATA'!K$1,PRODUCT_MASTER!$A$1:$F$1,0),0)</f>
        <v>47.730000000000004</v>
      </c>
      <c r="L427" s="7">
        <f t="shared" si="30"/>
        <v>129</v>
      </c>
      <c r="M427" s="7">
        <f t="shared" si="31"/>
        <v>143.19</v>
      </c>
      <c r="N427">
        <f t="shared" si="32"/>
        <v>19</v>
      </c>
      <c r="O427" t="str">
        <f t="shared" si="33"/>
        <v>Aug</v>
      </c>
      <c r="P427">
        <f t="shared" si="34"/>
        <v>2022</v>
      </c>
    </row>
    <row r="428" spans="1:16" x14ac:dyDescent="0.2">
      <c r="A428" s="1">
        <v>44793</v>
      </c>
      <c r="B428" t="s">
        <v>51</v>
      </c>
      <c r="C428">
        <v>13</v>
      </c>
      <c r="D428" t="s">
        <v>103</v>
      </c>
      <c r="E428" t="s">
        <v>101</v>
      </c>
      <c r="F428" s="5">
        <v>0</v>
      </c>
      <c r="G428" t="str">
        <f>VLOOKUP($B428,PRODUCT_MASTER!$A:$F,MATCH('FINAL DATA'!G$1,PRODUCT_MASTER!$A$1:$F$1,0),0)</f>
        <v>Product23</v>
      </c>
      <c r="H428" t="str">
        <f>VLOOKUP($B428,PRODUCT_MASTER!$A:$F,MATCH('FINAL DATA'!H$1,PRODUCT_MASTER!$A$1:$F$1,0),0)</f>
        <v>Seafood</v>
      </c>
      <c r="I428" t="str">
        <f>VLOOKUP($B428,PRODUCT_MASTER!$A:$F,MATCH('FINAL DATA'!I$1,PRODUCT_MASTER!$A$1:$F$1,0),0)</f>
        <v>Ft</v>
      </c>
      <c r="J428" s="7">
        <f>VLOOKUP($B428,PRODUCT_MASTER!$A:$F,MATCH('FINAL DATA'!J$1,PRODUCT_MASTER!$A$1:$F$1,0),0)</f>
        <v>141</v>
      </c>
      <c r="K428" s="7">
        <f>VLOOKUP($B428,PRODUCT_MASTER!$A:$F,MATCH('FINAL DATA'!K$1,PRODUCT_MASTER!$A$1:$F$1,0),0)</f>
        <v>149.46</v>
      </c>
      <c r="L428" s="7">
        <f t="shared" si="30"/>
        <v>1833</v>
      </c>
      <c r="M428" s="7">
        <f t="shared" si="31"/>
        <v>1942.98</v>
      </c>
      <c r="N428">
        <f t="shared" si="32"/>
        <v>20</v>
      </c>
      <c r="O428" t="str">
        <f t="shared" si="33"/>
        <v>Aug</v>
      </c>
      <c r="P428">
        <f t="shared" si="34"/>
        <v>2022</v>
      </c>
    </row>
    <row r="429" spans="1:16" x14ac:dyDescent="0.2">
      <c r="A429" s="1">
        <v>44793</v>
      </c>
      <c r="B429" t="s">
        <v>71</v>
      </c>
      <c r="C429">
        <v>14</v>
      </c>
      <c r="D429" t="s">
        <v>103</v>
      </c>
      <c r="E429" t="s">
        <v>101</v>
      </c>
      <c r="F429" s="5">
        <v>0</v>
      </c>
      <c r="G429" t="str">
        <f>VLOOKUP($B429,PRODUCT_MASTER!$A:$F,MATCH('FINAL DATA'!G$1,PRODUCT_MASTER!$A$1:$F$1,0),0)</f>
        <v>Product33</v>
      </c>
      <c r="H429" t="str">
        <f>VLOOKUP($B429,PRODUCT_MASTER!$A:$F,MATCH('FINAL DATA'!H$1,PRODUCT_MASTER!$A$1:$F$1,0),0)</f>
        <v>Bakery And Desserts</v>
      </c>
      <c r="I429" t="str">
        <f>VLOOKUP($B429,PRODUCT_MASTER!$A:$F,MATCH('FINAL DATA'!I$1,PRODUCT_MASTER!$A$1:$F$1,0),0)</f>
        <v>Kg</v>
      </c>
      <c r="J429" s="7">
        <f>VLOOKUP($B429,PRODUCT_MASTER!$A:$F,MATCH('FINAL DATA'!J$1,PRODUCT_MASTER!$A$1:$F$1,0),0)</f>
        <v>95</v>
      </c>
      <c r="K429" s="7">
        <f>VLOOKUP($B429,PRODUCT_MASTER!$A:$F,MATCH('FINAL DATA'!K$1,PRODUCT_MASTER!$A$1:$F$1,0),0)</f>
        <v>119.7</v>
      </c>
      <c r="L429" s="7">
        <f t="shared" si="30"/>
        <v>1330</v>
      </c>
      <c r="M429" s="7">
        <f t="shared" si="31"/>
        <v>1675.8</v>
      </c>
      <c r="N429">
        <f t="shared" si="32"/>
        <v>20</v>
      </c>
      <c r="O429" t="str">
        <f t="shared" si="33"/>
        <v>Aug</v>
      </c>
      <c r="P429">
        <f t="shared" si="34"/>
        <v>2022</v>
      </c>
    </row>
    <row r="430" spans="1:16" x14ac:dyDescent="0.2">
      <c r="A430" s="1">
        <v>44794</v>
      </c>
      <c r="B430" t="s">
        <v>37</v>
      </c>
      <c r="C430">
        <v>4</v>
      </c>
      <c r="D430" t="s">
        <v>103</v>
      </c>
      <c r="E430" t="s">
        <v>101</v>
      </c>
      <c r="F430" s="5">
        <v>0</v>
      </c>
      <c r="G430" t="str">
        <f>VLOOKUP($B430,PRODUCT_MASTER!$A:$F,MATCH('FINAL DATA'!G$1,PRODUCT_MASTER!$A$1:$F$1,0),0)</f>
        <v>Product16</v>
      </c>
      <c r="H430" t="str">
        <f>VLOOKUP($B430,PRODUCT_MASTER!$A:$F,MATCH('FINAL DATA'!H$1,PRODUCT_MASTER!$A$1:$F$1,0),0)</f>
        <v>Meat</v>
      </c>
      <c r="I430" t="str">
        <f>VLOOKUP($B430,PRODUCT_MASTER!$A:$F,MATCH('FINAL DATA'!I$1,PRODUCT_MASTER!$A$1:$F$1,0),0)</f>
        <v>No.</v>
      </c>
      <c r="J430" s="7">
        <f>VLOOKUP($B430,PRODUCT_MASTER!$A:$F,MATCH('FINAL DATA'!J$1,PRODUCT_MASTER!$A$1:$F$1,0),0)</f>
        <v>13</v>
      </c>
      <c r="K430" s="7">
        <f>VLOOKUP($B430,PRODUCT_MASTER!$A:$F,MATCH('FINAL DATA'!K$1,PRODUCT_MASTER!$A$1:$F$1,0),0)</f>
        <v>16.64</v>
      </c>
      <c r="L430" s="7">
        <f t="shared" si="30"/>
        <v>52</v>
      </c>
      <c r="M430" s="7">
        <f t="shared" si="31"/>
        <v>66.56</v>
      </c>
      <c r="N430">
        <f t="shared" si="32"/>
        <v>21</v>
      </c>
      <c r="O430" t="str">
        <f t="shared" si="33"/>
        <v>Aug</v>
      </c>
      <c r="P430">
        <f t="shared" si="34"/>
        <v>2022</v>
      </c>
    </row>
    <row r="431" spans="1:16" x14ac:dyDescent="0.2">
      <c r="A431" s="1">
        <v>44796</v>
      </c>
      <c r="B431" t="s">
        <v>93</v>
      </c>
      <c r="C431">
        <v>11</v>
      </c>
      <c r="D431" t="s">
        <v>101</v>
      </c>
      <c r="E431" t="s">
        <v>101</v>
      </c>
      <c r="F431" s="5">
        <v>0</v>
      </c>
      <c r="G431" t="str">
        <f>VLOOKUP($B431,PRODUCT_MASTER!$A:$F,MATCH('FINAL DATA'!G$1,PRODUCT_MASTER!$A$1:$F$1,0),0)</f>
        <v>Product44</v>
      </c>
      <c r="H431" t="str">
        <f>VLOOKUP($B431,PRODUCT_MASTER!$A:$F,MATCH('FINAL DATA'!H$1,PRODUCT_MASTER!$A$1:$F$1,0),0)</f>
        <v>Candy</v>
      </c>
      <c r="I431" t="str">
        <f>VLOOKUP($B431,PRODUCT_MASTER!$A:$F,MATCH('FINAL DATA'!I$1,PRODUCT_MASTER!$A$1:$F$1,0),0)</f>
        <v>Kg</v>
      </c>
      <c r="J431" s="7">
        <f>VLOOKUP($B431,PRODUCT_MASTER!$A:$F,MATCH('FINAL DATA'!J$1,PRODUCT_MASTER!$A$1:$F$1,0),0)</f>
        <v>76</v>
      </c>
      <c r="K431" s="7">
        <f>VLOOKUP($B431,PRODUCT_MASTER!$A:$F,MATCH('FINAL DATA'!K$1,PRODUCT_MASTER!$A$1:$F$1,0),0)</f>
        <v>82.08</v>
      </c>
      <c r="L431" s="7">
        <f t="shared" si="30"/>
        <v>836</v>
      </c>
      <c r="M431" s="7">
        <f t="shared" si="31"/>
        <v>902.88</v>
      </c>
      <c r="N431">
        <f t="shared" si="32"/>
        <v>23</v>
      </c>
      <c r="O431" t="str">
        <f t="shared" si="33"/>
        <v>Aug</v>
      </c>
      <c r="P431">
        <f t="shared" si="34"/>
        <v>2022</v>
      </c>
    </row>
    <row r="432" spans="1:16" x14ac:dyDescent="0.2">
      <c r="A432" s="1">
        <v>44796</v>
      </c>
      <c r="B432" t="s">
        <v>63</v>
      </c>
      <c r="C432">
        <v>14</v>
      </c>
      <c r="D432" t="s">
        <v>103</v>
      </c>
      <c r="E432" t="s">
        <v>102</v>
      </c>
      <c r="F432" s="5">
        <v>0</v>
      </c>
      <c r="G432" t="str">
        <f>VLOOKUP($B432,PRODUCT_MASTER!$A:$F,MATCH('FINAL DATA'!G$1,PRODUCT_MASTER!$A$1:$F$1,0),0)</f>
        <v>Product29</v>
      </c>
      <c r="H432" t="str">
        <f>VLOOKUP($B432,PRODUCT_MASTER!$A:$F,MATCH('FINAL DATA'!H$1,PRODUCT_MASTER!$A$1:$F$1,0),0)</f>
        <v>Cheese And Dairy</v>
      </c>
      <c r="I432" t="str">
        <f>VLOOKUP($B432,PRODUCT_MASTER!$A:$F,MATCH('FINAL DATA'!I$1,PRODUCT_MASTER!$A$1:$F$1,0),0)</f>
        <v>Lt</v>
      </c>
      <c r="J432" s="7">
        <f>VLOOKUP($B432,PRODUCT_MASTER!$A:$F,MATCH('FINAL DATA'!J$1,PRODUCT_MASTER!$A$1:$F$1,0),0)</f>
        <v>47</v>
      </c>
      <c r="K432" s="7">
        <f>VLOOKUP($B432,PRODUCT_MASTER!$A:$F,MATCH('FINAL DATA'!K$1,PRODUCT_MASTER!$A$1:$F$1,0),0)</f>
        <v>53.11</v>
      </c>
      <c r="L432" s="7">
        <f t="shared" si="30"/>
        <v>658</v>
      </c>
      <c r="M432" s="7">
        <f t="shared" si="31"/>
        <v>743.54</v>
      </c>
      <c r="N432">
        <f t="shared" si="32"/>
        <v>23</v>
      </c>
      <c r="O432" t="str">
        <f t="shared" si="33"/>
        <v>Aug</v>
      </c>
      <c r="P432">
        <f t="shared" si="34"/>
        <v>2022</v>
      </c>
    </row>
    <row r="433" spans="1:16" x14ac:dyDescent="0.2">
      <c r="A433" s="1">
        <v>44797</v>
      </c>
      <c r="B433" t="s">
        <v>15</v>
      </c>
      <c r="C433">
        <v>5</v>
      </c>
      <c r="D433" t="s">
        <v>103</v>
      </c>
      <c r="E433" t="s">
        <v>102</v>
      </c>
      <c r="F433" s="5">
        <v>0</v>
      </c>
      <c r="G433" t="str">
        <f>VLOOKUP($B433,PRODUCT_MASTER!$A:$F,MATCH('FINAL DATA'!G$1,PRODUCT_MASTER!$A$1:$F$1,0),0)</f>
        <v>Product05</v>
      </c>
      <c r="H433" t="str">
        <f>VLOOKUP($B433,PRODUCT_MASTER!$A:$F,MATCH('FINAL DATA'!H$1,PRODUCT_MASTER!$A$1:$F$1,0),0)</f>
        <v>Organic</v>
      </c>
      <c r="I433" t="str">
        <f>VLOOKUP($B433,PRODUCT_MASTER!$A:$F,MATCH('FINAL DATA'!I$1,PRODUCT_MASTER!$A$1:$F$1,0),0)</f>
        <v>Ft</v>
      </c>
      <c r="J433" s="7">
        <f>VLOOKUP($B433,PRODUCT_MASTER!$A:$F,MATCH('FINAL DATA'!J$1,PRODUCT_MASTER!$A$1:$F$1,0),0)</f>
        <v>133</v>
      </c>
      <c r="K433" s="7">
        <f>VLOOKUP($B433,PRODUCT_MASTER!$A:$F,MATCH('FINAL DATA'!K$1,PRODUCT_MASTER!$A$1:$F$1,0),0)</f>
        <v>155.61000000000001</v>
      </c>
      <c r="L433" s="7">
        <f t="shared" si="30"/>
        <v>665</v>
      </c>
      <c r="M433" s="7">
        <f t="shared" si="31"/>
        <v>778.05000000000007</v>
      </c>
      <c r="N433">
        <f t="shared" si="32"/>
        <v>24</v>
      </c>
      <c r="O433" t="str">
        <f t="shared" si="33"/>
        <v>Aug</v>
      </c>
      <c r="P433">
        <f t="shared" si="34"/>
        <v>2022</v>
      </c>
    </row>
    <row r="434" spans="1:16" x14ac:dyDescent="0.2">
      <c r="A434" s="1">
        <v>44799</v>
      </c>
      <c r="B434" t="s">
        <v>43</v>
      </c>
      <c r="C434">
        <v>13</v>
      </c>
      <c r="D434" t="s">
        <v>100</v>
      </c>
      <c r="E434" t="s">
        <v>102</v>
      </c>
      <c r="F434" s="5">
        <v>0</v>
      </c>
      <c r="G434" t="str">
        <f>VLOOKUP($B434,PRODUCT_MASTER!$A:$F,MATCH('FINAL DATA'!G$1,PRODUCT_MASTER!$A$1:$F$1,0),0)</f>
        <v>Product19</v>
      </c>
      <c r="H434" t="str">
        <f>VLOOKUP($B434,PRODUCT_MASTER!$A:$F,MATCH('FINAL DATA'!H$1,PRODUCT_MASTER!$A$1:$F$1,0),0)</f>
        <v>Poultry</v>
      </c>
      <c r="I434" t="str">
        <f>VLOOKUP($B434,PRODUCT_MASTER!$A:$F,MATCH('FINAL DATA'!I$1,PRODUCT_MASTER!$A$1:$F$1,0),0)</f>
        <v>Ft</v>
      </c>
      <c r="J434" s="7">
        <f>VLOOKUP($B434,PRODUCT_MASTER!$A:$F,MATCH('FINAL DATA'!J$1,PRODUCT_MASTER!$A$1:$F$1,0),0)</f>
        <v>150</v>
      </c>
      <c r="K434" s="7">
        <f>VLOOKUP($B434,PRODUCT_MASTER!$A:$F,MATCH('FINAL DATA'!K$1,PRODUCT_MASTER!$A$1:$F$1,0),0)</f>
        <v>210</v>
      </c>
      <c r="L434" s="7">
        <f t="shared" si="30"/>
        <v>1950</v>
      </c>
      <c r="M434" s="7">
        <f t="shared" si="31"/>
        <v>2730</v>
      </c>
      <c r="N434">
        <f t="shared" si="32"/>
        <v>26</v>
      </c>
      <c r="O434" t="str">
        <f t="shared" si="33"/>
        <v>Aug</v>
      </c>
      <c r="P434">
        <f t="shared" si="34"/>
        <v>2022</v>
      </c>
    </row>
    <row r="435" spans="1:16" x14ac:dyDescent="0.2">
      <c r="A435" s="1">
        <v>44799</v>
      </c>
      <c r="B435" t="s">
        <v>79</v>
      </c>
      <c r="C435">
        <v>8</v>
      </c>
      <c r="D435" t="s">
        <v>101</v>
      </c>
      <c r="E435" t="s">
        <v>101</v>
      </c>
      <c r="F435" s="5">
        <v>0</v>
      </c>
      <c r="G435" t="str">
        <f>VLOOKUP($B435,PRODUCT_MASTER!$A:$F,MATCH('FINAL DATA'!G$1,PRODUCT_MASTER!$A$1:$F$1,0),0)</f>
        <v>Product37</v>
      </c>
      <c r="H435" t="str">
        <f>VLOOKUP($B435,PRODUCT_MASTER!$A:$F,MATCH('FINAL DATA'!H$1,PRODUCT_MASTER!$A$1:$F$1,0),0)</f>
        <v>Snacks</v>
      </c>
      <c r="I435" t="str">
        <f>VLOOKUP($B435,PRODUCT_MASTER!$A:$F,MATCH('FINAL DATA'!I$1,PRODUCT_MASTER!$A$1:$F$1,0),0)</f>
        <v>Kg</v>
      </c>
      <c r="J435" s="7">
        <f>VLOOKUP($B435,PRODUCT_MASTER!$A:$F,MATCH('FINAL DATA'!J$1,PRODUCT_MASTER!$A$1:$F$1,0),0)</f>
        <v>67</v>
      </c>
      <c r="K435" s="7">
        <f>VLOOKUP($B435,PRODUCT_MASTER!$A:$F,MATCH('FINAL DATA'!K$1,PRODUCT_MASTER!$A$1:$F$1,0),0)</f>
        <v>85.76</v>
      </c>
      <c r="L435" s="7">
        <f t="shared" si="30"/>
        <v>536</v>
      </c>
      <c r="M435" s="7">
        <f t="shared" si="31"/>
        <v>686.08</v>
      </c>
      <c r="N435">
        <f t="shared" si="32"/>
        <v>26</v>
      </c>
      <c r="O435" t="str">
        <f t="shared" si="33"/>
        <v>Aug</v>
      </c>
      <c r="P435">
        <f t="shared" si="34"/>
        <v>2022</v>
      </c>
    </row>
    <row r="436" spans="1:16" x14ac:dyDescent="0.2">
      <c r="A436" s="1">
        <v>44800</v>
      </c>
      <c r="B436" t="s">
        <v>83</v>
      </c>
      <c r="C436">
        <v>15</v>
      </c>
      <c r="D436" t="s">
        <v>100</v>
      </c>
      <c r="E436" t="s">
        <v>101</v>
      </c>
      <c r="F436" s="5">
        <v>0</v>
      </c>
      <c r="G436" t="str">
        <f>VLOOKUP($B436,PRODUCT_MASTER!$A:$F,MATCH('FINAL DATA'!G$1,PRODUCT_MASTER!$A$1:$F$1,0),0)</f>
        <v>Product39</v>
      </c>
      <c r="H436" t="str">
        <f>VLOOKUP($B436,PRODUCT_MASTER!$A:$F,MATCH('FINAL DATA'!H$1,PRODUCT_MASTER!$A$1:$F$1,0),0)</f>
        <v>Snacks</v>
      </c>
      <c r="I436" t="str">
        <f>VLOOKUP($B436,PRODUCT_MASTER!$A:$F,MATCH('FINAL DATA'!I$1,PRODUCT_MASTER!$A$1:$F$1,0),0)</f>
        <v>No.</v>
      </c>
      <c r="J436" s="7">
        <f>VLOOKUP($B436,PRODUCT_MASTER!$A:$F,MATCH('FINAL DATA'!J$1,PRODUCT_MASTER!$A$1:$F$1,0),0)</f>
        <v>37</v>
      </c>
      <c r="K436" s="7">
        <f>VLOOKUP($B436,PRODUCT_MASTER!$A:$F,MATCH('FINAL DATA'!K$1,PRODUCT_MASTER!$A$1:$F$1,0),0)</f>
        <v>42.55</v>
      </c>
      <c r="L436" s="7">
        <f t="shared" si="30"/>
        <v>555</v>
      </c>
      <c r="M436" s="7">
        <f t="shared" si="31"/>
        <v>638.25</v>
      </c>
      <c r="N436">
        <f t="shared" si="32"/>
        <v>27</v>
      </c>
      <c r="O436" t="str">
        <f t="shared" si="33"/>
        <v>Aug</v>
      </c>
      <c r="P436">
        <f t="shared" si="34"/>
        <v>2022</v>
      </c>
    </row>
    <row r="437" spans="1:16" x14ac:dyDescent="0.2">
      <c r="A437" s="1">
        <v>44801</v>
      </c>
      <c r="B437" t="s">
        <v>15</v>
      </c>
      <c r="C437">
        <v>9</v>
      </c>
      <c r="D437" t="s">
        <v>101</v>
      </c>
      <c r="E437" t="s">
        <v>101</v>
      </c>
      <c r="F437" s="5">
        <v>0</v>
      </c>
      <c r="G437" t="str">
        <f>VLOOKUP($B437,PRODUCT_MASTER!$A:$F,MATCH('FINAL DATA'!G$1,PRODUCT_MASTER!$A$1:$F$1,0),0)</f>
        <v>Product05</v>
      </c>
      <c r="H437" t="str">
        <f>VLOOKUP($B437,PRODUCT_MASTER!$A:$F,MATCH('FINAL DATA'!H$1,PRODUCT_MASTER!$A$1:$F$1,0),0)</f>
        <v>Organic</v>
      </c>
      <c r="I437" t="str">
        <f>VLOOKUP($B437,PRODUCT_MASTER!$A:$F,MATCH('FINAL DATA'!I$1,PRODUCT_MASTER!$A$1:$F$1,0),0)</f>
        <v>Ft</v>
      </c>
      <c r="J437" s="7">
        <f>VLOOKUP($B437,PRODUCT_MASTER!$A:$F,MATCH('FINAL DATA'!J$1,PRODUCT_MASTER!$A$1:$F$1,0),0)</f>
        <v>133</v>
      </c>
      <c r="K437" s="7">
        <f>VLOOKUP($B437,PRODUCT_MASTER!$A:$F,MATCH('FINAL DATA'!K$1,PRODUCT_MASTER!$A$1:$F$1,0),0)</f>
        <v>155.61000000000001</v>
      </c>
      <c r="L437" s="7">
        <f t="shared" si="30"/>
        <v>1197</v>
      </c>
      <c r="M437" s="7">
        <f t="shared" si="31"/>
        <v>1400.4900000000002</v>
      </c>
      <c r="N437">
        <f t="shared" si="32"/>
        <v>28</v>
      </c>
      <c r="O437" t="str">
        <f t="shared" si="33"/>
        <v>Aug</v>
      </c>
      <c r="P437">
        <f t="shared" si="34"/>
        <v>2022</v>
      </c>
    </row>
    <row r="438" spans="1:16" x14ac:dyDescent="0.2">
      <c r="A438" s="1">
        <v>44801</v>
      </c>
      <c r="B438" t="s">
        <v>83</v>
      </c>
      <c r="C438">
        <v>5</v>
      </c>
      <c r="D438" t="s">
        <v>103</v>
      </c>
      <c r="E438" t="s">
        <v>101</v>
      </c>
      <c r="F438" s="5">
        <v>0</v>
      </c>
      <c r="G438" t="str">
        <f>VLOOKUP($B438,PRODUCT_MASTER!$A:$F,MATCH('FINAL DATA'!G$1,PRODUCT_MASTER!$A$1:$F$1,0),0)</f>
        <v>Product39</v>
      </c>
      <c r="H438" t="str">
        <f>VLOOKUP($B438,PRODUCT_MASTER!$A:$F,MATCH('FINAL DATA'!H$1,PRODUCT_MASTER!$A$1:$F$1,0),0)</f>
        <v>Snacks</v>
      </c>
      <c r="I438" t="str">
        <f>VLOOKUP($B438,PRODUCT_MASTER!$A:$F,MATCH('FINAL DATA'!I$1,PRODUCT_MASTER!$A$1:$F$1,0),0)</f>
        <v>No.</v>
      </c>
      <c r="J438" s="7">
        <f>VLOOKUP($B438,PRODUCT_MASTER!$A:$F,MATCH('FINAL DATA'!J$1,PRODUCT_MASTER!$A$1:$F$1,0),0)</f>
        <v>37</v>
      </c>
      <c r="K438" s="7">
        <f>VLOOKUP($B438,PRODUCT_MASTER!$A:$F,MATCH('FINAL DATA'!K$1,PRODUCT_MASTER!$A$1:$F$1,0),0)</f>
        <v>42.55</v>
      </c>
      <c r="L438" s="7">
        <f t="shared" si="30"/>
        <v>185</v>
      </c>
      <c r="M438" s="7">
        <f t="shared" si="31"/>
        <v>212.75</v>
      </c>
      <c r="N438">
        <f t="shared" si="32"/>
        <v>28</v>
      </c>
      <c r="O438" t="str">
        <f t="shared" si="33"/>
        <v>Aug</v>
      </c>
      <c r="P438">
        <f t="shared" si="34"/>
        <v>2022</v>
      </c>
    </row>
    <row r="439" spans="1:16" x14ac:dyDescent="0.2">
      <c r="A439" s="1">
        <v>44803</v>
      </c>
      <c r="B439" t="s">
        <v>17</v>
      </c>
      <c r="C439">
        <v>6</v>
      </c>
      <c r="D439" t="s">
        <v>101</v>
      </c>
      <c r="E439" t="s">
        <v>102</v>
      </c>
      <c r="F439" s="5">
        <v>0</v>
      </c>
      <c r="G439" t="str">
        <f>VLOOKUP($B439,PRODUCT_MASTER!$A:$F,MATCH('FINAL DATA'!G$1,PRODUCT_MASTER!$A$1:$F$1,0),0)</f>
        <v>Product06</v>
      </c>
      <c r="H439" t="str">
        <f>VLOOKUP($B439,PRODUCT_MASTER!$A:$F,MATCH('FINAL DATA'!H$1,PRODUCT_MASTER!$A$1:$F$1,0),0)</f>
        <v>Gourmet Foods</v>
      </c>
      <c r="I439" t="str">
        <f>VLOOKUP($B439,PRODUCT_MASTER!$A:$F,MATCH('FINAL DATA'!I$1,PRODUCT_MASTER!$A$1:$F$1,0),0)</f>
        <v>Kg</v>
      </c>
      <c r="J439" s="7">
        <f>VLOOKUP($B439,PRODUCT_MASTER!$A:$F,MATCH('FINAL DATA'!J$1,PRODUCT_MASTER!$A$1:$F$1,0),0)</f>
        <v>75</v>
      </c>
      <c r="K439" s="7">
        <f>VLOOKUP($B439,PRODUCT_MASTER!$A:$F,MATCH('FINAL DATA'!K$1,PRODUCT_MASTER!$A$1:$F$1,0),0)</f>
        <v>85.5</v>
      </c>
      <c r="L439" s="7">
        <f t="shared" si="30"/>
        <v>450</v>
      </c>
      <c r="M439" s="7">
        <f t="shared" si="31"/>
        <v>513</v>
      </c>
      <c r="N439">
        <f t="shared" si="32"/>
        <v>30</v>
      </c>
      <c r="O439" t="str">
        <f t="shared" si="33"/>
        <v>Aug</v>
      </c>
      <c r="P439">
        <f t="shared" si="34"/>
        <v>2022</v>
      </c>
    </row>
    <row r="440" spans="1:16" x14ac:dyDescent="0.2">
      <c r="A440" s="1">
        <v>44803</v>
      </c>
      <c r="B440" t="s">
        <v>91</v>
      </c>
      <c r="C440">
        <v>6</v>
      </c>
      <c r="D440" t="s">
        <v>103</v>
      </c>
      <c r="E440" t="s">
        <v>102</v>
      </c>
      <c r="F440" s="5">
        <v>0</v>
      </c>
      <c r="G440" t="str">
        <f>VLOOKUP($B440,PRODUCT_MASTER!$A:$F,MATCH('FINAL DATA'!G$1,PRODUCT_MASTER!$A$1:$F$1,0),0)</f>
        <v>Product43</v>
      </c>
      <c r="H440" t="str">
        <f>VLOOKUP($B440,PRODUCT_MASTER!$A:$F,MATCH('FINAL DATA'!H$1,PRODUCT_MASTER!$A$1:$F$1,0),0)</f>
        <v>Candy</v>
      </c>
      <c r="I440" t="str">
        <f>VLOOKUP($B440,PRODUCT_MASTER!$A:$F,MATCH('FINAL DATA'!I$1,PRODUCT_MASTER!$A$1:$F$1,0),0)</f>
        <v>Kg</v>
      </c>
      <c r="J440" s="7">
        <f>VLOOKUP($B440,PRODUCT_MASTER!$A:$F,MATCH('FINAL DATA'!J$1,PRODUCT_MASTER!$A$1:$F$1,0),0)</f>
        <v>67</v>
      </c>
      <c r="K440" s="7">
        <f>VLOOKUP($B440,PRODUCT_MASTER!$A:$F,MATCH('FINAL DATA'!K$1,PRODUCT_MASTER!$A$1:$F$1,0),0)</f>
        <v>83.08</v>
      </c>
      <c r="L440" s="7">
        <f t="shared" si="30"/>
        <v>402</v>
      </c>
      <c r="M440" s="7">
        <f t="shared" si="31"/>
        <v>498.48</v>
      </c>
      <c r="N440">
        <f t="shared" si="32"/>
        <v>30</v>
      </c>
      <c r="O440" t="str">
        <f t="shared" si="33"/>
        <v>Aug</v>
      </c>
      <c r="P440">
        <f t="shared" si="34"/>
        <v>2022</v>
      </c>
    </row>
    <row r="441" spans="1:16" x14ac:dyDescent="0.2">
      <c r="A441" s="1">
        <v>44803</v>
      </c>
      <c r="B441" t="s">
        <v>55</v>
      </c>
      <c r="C441">
        <v>5</v>
      </c>
      <c r="D441" t="s">
        <v>103</v>
      </c>
      <c r="E441" t="s">
        <v>102</v>
      </c>
      <c r="F441" s="5">
        <v>0</v>
      </c>
      <c r="G441" t="str">
        <f>VLOOKUP($B441,PRODUCT_MASTER!$A:$F,MATCH('FINAL DATA'!G$1,PRODUCT_MASTER!$A$1:$F$1,0),0)</f>
        <v>Product25</v>
      </c>
      <c r="H441" t="str">
        <f>VLOOKUP($B441,PRODUCT_MASTER!$A:$F,MATCH('FINAL DATA'!H$1,PRODUCT_MASTER!$A$1:$F$1,0),0)</f>
        <v>Seafood</v>
      </c>
      <c r="I441" t="str">
        <f>VLOOKUP($B441,PRODUCT_MASTER!$A:$F,MATCH('FINAL DATA'!I$1,PRODUCT_MASTER!$A$1:$F$1,0),0)</f>
        <v>No.</v>
      </c>
      <c r="J441" s="7">
        <f>VLOOKUP($B441,PRODUCT_MASTER!$A:$F,MATCH('FINAL DATA'!J$1,PRODUCT_MASTER!$A$1:$F$1,0),0)</f>
        <v>7</v>
      </c>
      <c r="K441" s="7">
        <f>VLOOKUP($B441,PRODUCT_MASTER!$A:$F,MATCH('FINAL DATA'!K$1,PRODUCT_MASTER!$A$1:$F$1,0),0)</f>
        <v>8.33</v>
      </c>
      <c r="L441" s="7">
        <f t="shared" si="30"/>
        <v>35</v>
      </c>
      <c r="M441" s="7">
        <f t="shared" si="31"/>
        <v>41.65</v>
      </c>
      <c r="N441">
        <f t="shared" si="32"/>
        <v>30</v>
      </c>
      <c r="O441" t="str">
        <f t="shared" si="33"/>
        <v>Aug</v>
      </c>
      <c r="P441">
        <f t="shared" si="34"/>
        <v>2022</v>
      </c>
    </row>
    <row r="442" spans="1:16" x14ac:dyDescent="0.2">
      <c r="A442" s="1">
        <v>44804</v>
      </c>
      <c r="B442" t="s">
        <v>35</v>
      </c>
      <c r="C442">
        <v>13</v>
      </c>
      <c r="D442" t="s">
        <v>103</v>
      </c>
      <c r="E442" t="s">
        <v>102</v>
      </c>
      <c r="F442" s="5">
        <v>0</v>
      </c>
      <c r="G442" t="str">
        <f>VLOOKUP($B442,PRODUCT_MASTER!$A:$F,MATCH('FINAL DATA'!G$1,PRODUCT_MASTER!$A$1:$F$1,0),0)</f>
        <v>Product15</v>
      </c>
      <c r="H442" t="str">
        <f>VLOOKUP($B442,PRODUCT_MASTER!$A:$F,MATCH('FINAL DATA'!H$1,PRODUCT_MASTER!$A$1:$F$1,0),0)</f>
        <v>Meat</v>
      </c>
      <c r="I442" t="str">
        <f>VLOOKUP($B442,PRODUCT_MASTER!$A:$F,MATCH('FINAL DATA'!I$1,PRODUCT_MASTER!$A$1:$F$1,0),0)</f>
        <v>No.</v>
      </c>
      <c r="J442" s="7">
        <f>VLOOKUP($B442,PRODUCT_MASTER!$A:$F,MATCH('FINAL DATA'!J$1,PRODUCT_MASTER!$A$1:$F$1,0),0)</f>
        <v>12</v>
      </c>
      <c r="K442" s="7">
        <f>VLOOKUP($B442,PRODUCT_MASTER!$A:$F,MATCH('FINAL DATA'!K$1,PRODUCT_MASTER!$A$1:$F$1,0),0)</f>
        <v>15.719999999999999</v>
      </c>
      <c r="L442" s="7">
        <f t="shared" si="30"/>
        <v>156</v>
      </c>
      <c r="M442" s="7">
        <f t="shared" si="31"/>
        <v>204.35999999999999</v>
      </c>
      <c r="N442">
        <f t="shared" si="32"/>
        <v>31</v>
      </c>
      <c r="O442" t="str">
        <f t="shared" si="33"/>
        <v>Aug</v>
      </c>
      <c r="P442">
        <f t="shared" si="34"/>
        <v>2022</v>
      </c>
    </row>
    <row r="443" spans="1:16" x14ac:dyDescent="0.2">
      <c r="A443" s="1">
        <v>44808</v>
      </c>
      <c r="B443" t="s">
        <v>9</v>
      </c>
      <c r="C443">
        <v>1</v>
      </c>
      <c r="D443" t="s">
        <v>103</v>
      </c>
      <c r="E443" t="s">
        <v>102</v>
      </c>
      <c r="F443" s="5">
        <v>0</v>
      </c>
      <c r="G443" t="str">
        <f>VLOOKUP($B443,PRODUCT_MASTER!$A:$F,MATCH('FINAL DATA'!G$1,PRODUCT_MASTER!$A$1:$F$1,0),0)</f>
        <v>Product02</v>
      </c>
      <c r="H443" t="str">
        <f>VLOOKUP($B443,PRODUCT_MASTER!$A:$F,MATCH('FINAL DATA'!H$1,PRODUCT_MASTER!$A$1:$F$1,0),0)</f>
        <v>Organic</v>
      </c>
      <c r="I443" t="str">
        <f>VLOOKUP($B443,PRODUCT_MASTER!$A:$F,MATCH('FINAL DATA'!I$1,PRODUCT_MASTER!$A$1:$F$1,0),0)</f>
        <v>Kg</v>
      </c>
      <c r="J443" s="7">
        <f>VLOOKUP($B443,PRODUCT_MASTER!$A:$F,MATCH('FINAL DATA'!J$1,PRODUCT_MASTER!$A$1:$F$1,0),0)</f>
        <v>105</v>
      </c>
      <c r="K443" s="7">
        <f>VLOOKUP($B443,PRODUCT_MASTER!$A:$F,MATCH('FINAL DATA'!K$1,PRODUCT_MASTER!$A$1:$F$1,0),0)</f>
        <v>142.80000000000001</v>
      </c>
      <c r="L443" s="7">
        <f t="shared" si="30"/>
        <v>105</v>
      </c>
      <c r="M443" s="7">
        <f t="shared" si="31"/>
        <v>142.80000000000001</v>
      </c>
      <c r="N443">
        <f t="shared" si="32"/>
        <v>4</v>
      </c>
      <c r="O443" t="str">
        <f t="shared" si="33"/>
        <v>Sep</v>
      </c>
      <c r="P443">
        <f t="shared" si="34"/>
        <v>2022</v>
      </c>
    </row>
    <row r="444" spans="1:16" x14ac:dyDescent="0.2">
      <c r="A444" s="1">
        <v>44810</v>
      </c>
      <c r="B444" t="s">
        <v>15</v>
      </c>
      <c r="C444">
        <v>12</v>
      </c>
      <c r="D444" t="s">
        <v>100</v>
      </c>
      <c r="E444" t="s">
        <v>101</v>
      </c>
      <c r="F444" s="5">
        <v>0</v>
      </c>
      <c r="G444" t="str">
        <f>VLOOKUP($B444,PRODUCT_MASTER!$A:$F,MATCH('FINAL DATA'!G$1,PRODUCT_MASTER!$A$1:$F$1,0),0)</f>
        <v>Product05</v>
      </c>
      <c r="H444" t="str">
        <f>VLOOKUP($B444,PRODUCT_MASTER!$A:$F,MATCH('FINAL DATA'!H$1,PRODUCT_MASTER!$A$1:$F$1,0),0)</f>
        <v>Organic</v>
      </c>
      <c r="I444" t="str">
        <f>VLOOKUP($B444,PRODUCT_MASTER!$A:$F,MATCH('FINAL DATA'!I$1,PRODUCT_MASTER!$A$1:$F$1,0),0)</f>
        <v>Ft</v>
      </c>
      <c r="J444" s="7">
        <f>VLOOKUP($B444,PRODUCT_MASTER!$A:$F,MATCH('FINAL DATA'!J$1,PRODUCT_MASTER!$A$1:$F$1,0),0)</f>
        <v>133</v>
      </c>
      <c r="K444" s="7">
        <f>VLOOKUP($B444,PRODUCT_MASTER!$A:$F,MATCH('FINAL DATA'!K$1,PRODUCT_MASTER!$A$1:$F$1,0),0)</f>
        <v>155.61000000000001</v>
      </c>
      <c r="L444" s="7">
        <f t="shared" si="30"/>
        <v>1596</v>
      </c>
      <c r="M444" s="7">
        <f t="shared" si="31"/>
        <v>1867.3200000000002</v>
      </c>
      <c r="N444">
        <f t="shared" si="32"/>
        <v>6</v>
      </c>
      <c r="O444" t="str">
        <f t="shared" si="33"/>
        <v>Sep</v>
      </c>
      <c r="P444">
        <f t="shared" si="34"/>
        <v>2022</v>
      </c>
    </row>
    <row r="445" spans="1:16" x14ac:dyDescent="0.2">
      <c r="A445" s="1">
        <v>44813</v>
      </c>
      <c r="B445" t="s">
        <v>87</v>
      </c>
      <c r="C445">
        <v>9</v>
      </c>
      <c r="D445" t="s">
        <v>103</v>
      </c>
      <c r="E445" t="s">
        <v>101</v>
      </c>
      <c r="F445" s="5">
        <v>0</v>
      </c>
      <c r="G445" t="str">
        <f>VLOOKUP($B445,PRODUCT_MASTER!$A:$F,MATCH('FINAL DATA'!G$1,PRODUCT_MASTER!$A$1:$F$1,0),0)</f>
        <v>Product41</v>
      </c>
      <c r="H445" t="str">
        <f>VLOOKUP($B445,PRODUCT_MASTER!$A:$F,MATCH('FINAL DATA'!H$1,PRODUCT_MASTER!$A$1:$F$1,0),0)</f>
        <v>Snacks</v>
      </c>
      <c r="I445" t="str">
        <f>VLOOKUP($B445,PRODUCT_MASTER!$A:$F,MATCH('FINAL DATA'!I$1,PRODUCT_MASTER!$A$1:$F$1,0),0)</f>
        <v>Ft</v>
      </c>
      <c r="J445" s="7">
        <f>VLOOKUP($B445,PRODUCT_MASTER!$A:$F,MATCH('FINAL DATA'!J$1,PRODUCT_MASTER!$A$1:$F$1,0),0)</f>
        <v>138</v>
      </c>
      <c r="K445" s="7">
        <f>VLOOKUP($B445,PRODUCT_MASTER!$A:$F,MATCH('FINAL DATA'!K$1,PRODUCT_MASTER!$A$1:$F$1,0),0)</f>
        <v>173.88</v>
      </c>
      <c r="L445" s="7">
        <f t="shared" si="30"/>
        <v>1242</v>
      </c>
      <c r="M445" s="7">
        <f t="shared" si="31"/>
        <v>1564.92</v>
      </c>
      <c r="N445">
        <f t="shared" si="32"/>
        <v>9</v>
      </c>
      <c r="O445" t="str">
        <f t="shared" si="33"/>
        <v>Sep</v>
      </c>
      <c r="P445">
        <f t="shared" si="34"/>
        <v>2022</v>
      </c>
    </row>
    <row r="446" spans="1:16" x14ac:dyDescent="0.2">
      <c r="A446" s="1">
        <v>44813</v>
      </c>
      <c r="B446" t="s">
        <v>11</v>
      </c>
      <c r="C446">
        <v>3</v>
      </c>
      <c r="D446" t="s">
        <v>103</v>
      </c>
      <c r="E446" t="s">
        <v>101</v>
      </c>
      <c r="F446" s="5">
        <v>0</v>
      </c>
      <c r="G446" t="str">
        <f>VLOOKUP($B446,PRODUCT_MASTER!$A:$F,MATCH('FINAL DATA'!G$1,PRODUCT_MASTER!$A$1:$F$1,0),0)</f>
        <v>Product03</v>
      </c>
      <c r="H446" t="str">
        <f>VLOOKUP($B446,PRODUCT_MASTER!$A:$F,MATCH('FINAL DATA'!H$1,PRODUCT_MASTER!$A$1:$F$1,0),0)</f>
        <v>Organic</v>
      </c>
      <c r="I446" t="str">
        <f>VLOOKUP($B446,PRODUCT_MASTER!$A:$F,MATCH('FINAL DATA'!I$1,PRODUCT_MASTER!$A$1:$F$1,0),0)</f>
        <v>Kg</v>
      </c>
      <c r="J446" s="7">
        <f>VLOOKUP($B446,PRODUCT_MASTER!$A:$F,MATCH('FINAL DATA'!J$1,PRODUCT_MASTER!$A$1:$F$1,0),0)</f>
        <v>71</v>
      </c>
      <c r="K446" s="7">
        <f>VLOOKUP($B446,PRODUCT_MASTER!$A:$F,MATCH('FINAL DATA'!K$1,PRODUCT_MASTER!$A$1:$F$1,0),0)</f>
        <v>80.94</v>
      </c>
      <c r="L446" s="7">
        <f t="shared" si="30"/>
        <v>213</v>
      </c>
      <c r="M446" s="7">
        <f t="shared" si="31"/>
        <v>242.82</v>
      </c>
      <c r="N446">
        <f t="shared" si="32"/>
        <v>9</v>
      </c>
      <c r="O446" t="str">
        <f t="shared" si="33"/>
        <v>Sep</v>
      </c>
      <c r="P446">
        <f t="shared" si="34"/>
        <v>2022</v>
      </c>
    </row>
    <row r="447" spans="1:16" x14ac:dyDescent="0.2">
      <c r="A447" s="1">
        <v>44814</v>
      </c>
      <c r="B447" t="s">
        <v>75</v>
      </c>
      <c r="C447">
        <v>15</v>
      </c>
      <c r="D447" t="s">
        <v>101</v>
      </c>
      <c r="E447" t="s">
        <v>102</v>
      </c>
      <c r="F447" s="5">
        <v>0</v>
      </c>
      <c r="G447" t="str">
        <f>VLOOKUP($B447,PRODUCT_MASTER!$A:$F,MATCH('FINAL DATA'!G$1,PRODUCT_MASTER!$A$1:$F$1,0),0)</f>
        <v>Product35</v>
      </c>
      <c r="H447" t="str">
        <f>VLOOKUP($B447,PRODUCT_MASTER!$A:$F,MATCH('FINAL DATA'!H$1,PRODUCT_MASTER!$A$1:$F$1,0),0)</f>
        <v>Bakery And Desserts</v>
      </c>
      <c r="I447" t="str">
        <f>VLOOKUP($B447,PRODUCT_MASTER!$A:$F,MATCH('FINAL DATA'!I$1,PRODUCT_MASTER!$A$1:$F$1,0),0)</f>
        <v>No.</v>
      </c>
      <c r="J447" s="7">
        <f>VLOOKUP($B447,PRODUCT_MASTER!$A:$F,MATCH('FINAL DATA'!J$1,PRODUCT_MASTER!$A$1:$F$1,0),0)</f>
        <v>5</v>
      </c>
      <c r="K447" s="7">
        <f>VLOOKUP($B447,PRODUCT_MASTER!$A:$F,MATCH('FINAL DATA'!K$1,PRODUCT_MASTER!$A$1:$F$1,0),0)</f>
        <v>6.7</v>
      </c>
      <c r="L447" s="7">
        <f t="shared" si="30"/>
        <v>75</v>
      </c>
      <c r="M447" s="7">
        <f t="shared" si="31"/>
        <v>100.5</v>
      </c>
      <c r="N447">
        <f t="shared" si="32"/>
        <v>10</v>
      </c>
      <c r="O447" t="str">
        <f t="shared" si="33"/>
        <v>Sep</v>
      </c>
      <c r="P447">
        <f t="shared" si="34"/>
        <v>2022</v>
      </c>
    </row>
    <row r="448" spans="1:16" x14ac:dyDescent="0.2">
      <c r="A448" s="1">
        <v>44814</v>
      </c>
      <c r="B448" t="s">
        <v>81</v>
      </c>
      <c r="C448">
        <v>4</v>
      </c>
      <c r="D448" t="s">
        <v>103</v>
      </c>
      <c r="E448" t="s">
        <v>102</v>
      </c>
      <c r="F448" s="5">
        <v>0</v>
      </c>
      <c r="G448" t="str">
        <f>VLOOKUP($B448,PRODUCT_MASTER!$A:$F,MATCH('FINAL DATA'!G$1,PRODUCT_MASTER!$A$1:$F$1,0),0)</f>
        <v>Product38</v>
      </c>
      <c r="H448" t="str">
        <f>VLOOKUP($B448,PRODUCT_MASTER!$A:$F,MATCH('FINAL DATA'!H$1,PRODUCT_MASTER!$A$1:$F$1,0),0)</f>
        <v>Snacks</v>
      </c>
      <c r="I448" t="str">
        <f>VLOOKUP($B448,PRODUCT_MASTER!$A:$F,MATCH('FINAL DATA'!I$1,PRODUCT_MASTER!$A$1:$F$1,0),0)</f>
        <v>Kg</v>
      </c>
      <c r="J448" s="7">
        <f>VLOOKUP($B448,PRODUCT_MASTER!$A:$F,MATCH('FINAL DATA'!J$1,PRODUCT_MASTER!$A$1:$F$1,0),0)</f>
        <v>72</v>
      </c>
      <c r="K448" s="7">
        <f>VLOOKUP($B448,PRODUCT_MASTER!$A:$F,MATCH('FINAL DATA'!K$1,PRODUCT_MASTER!$A$1:$F$1,0),0)</f>
        <v>79.92</v>
      </c>
      <c r="L448" s="7">
        <f t="shared" si="30"/>
        <v>288</v>
      </c>
      <c r="M448" s="7">
        <f t="shared" si="31"/>
        <v>319.68</v>
      </c>
      <c r="N448">
        <f t="shared" si="32"/>
        <v>10</v>
      </c>
      <c r="O448" t="str">
        <f t="shared" si="33"/>
        <v>Sep</v>
      </c>
      <c r="P448">
        <f t="shared" si="34"/>
        <v>2022</v>
      </c>
    </row>
    <row r="449" spans="1:16" x14ac:dyDescent="0.2">
      <c r="A449" s="1">
        <v>44818</v>
      </c>
      <c r="B449" t="s">
        <v>63</v>
      </c>
      <c r="C449">
        <v>3</v>
      </c>
      <c r="D449" t="s">
        <v>103</v>
      </c>
      <c r="E449" t="s">
        <v>102</v>
      </c>
      <c r="F449" s="5">
        <v>0</v>
      </c>
      <c r="G449" t="str">
        <f>VLOOKUP($B449,PRODUCT_MASTER!$A:$F,MATCH('FINAL DATA'!G$1,PRODUCT_MASTER!$A$1:$F$1,0),0)</f>
        <v>Product29</v>
      </c>
      <c r="H449" t="str">
        <f>VLOOKUP($B449,PRODUCT_MASTER!$A:$F,MATCH('FINAL DATA'!H$1,PRODUCT_MASTER!$A$1:$F$1,0),0)</f>
        <v>Cheese And Dairy</v>
      </c>
      <c r="I449" t="str">
        <f>VLOOKUP($B449,PRODUCT_MASTER!$A:$F,MATCH('FINAL DATA'!I$1,PRODUCT_MASTER!$A$1:$F$1,0),0)</f>
        <v>Lt</v>
      </c>
      <c r="J449" s="7">
        <f>VLOOKUP($B449,PRODUCT_MASTER!$A:$F,MATCH('FINAL DATA'!J$1,PRODUCT_MASTER!$A$1:$F$1,0),0)</f>
        <v>47</v>
      </c>
      <c r="K449" s="7">
        <f>VLOOKUP($B449,PRODUCT_MASTER!$A:$F,MATCH('FINAL DATA'!K$1,PRODUCT_MASTER!$A$1:$F$1,0),0)</f>
        <v>53.11</v>
      </c>
      <c r="L449" s="7">
        <f t="shared" si="30"/>
        <v>141</v>
      </c>
      <c r="M449" s="7">
        <f t="shared" si="31"/>
        <v>159.32999999999998</v>
      </c>
      <c r="N449">
        <f t="shared" si="32"/>
        <v>14</v>
      </c>
      <c r="O449" t="str">
        <f t="shared" si="33"/>
        <v>Sep</v>
      </c>
      <c r="P449">
        <f t="shared" si="34"/>
        <v>2022</v>
      </c>
    </row>
    <row r="450" spans="1:16" x14ac:dyDescent="0.2">
      <c r="A450" s="1">
        <v>44819</v>
      </c>
      <c r="B450" t="s">
        <v>79</v>
      </c>
      <c r="C450">
        <v>15</v>
      </c>
      <c r="D450" t="s">
        <v>101</v>
      </c>
      <c r="E450" t="s">
        <v>101</v>
      </c>
      <c r="F450" s="5">
        <v>0</v>
      </c>
      <c r="G450" t="str">
        <f>VLOOKUP($B450,PRODUCT_MASTER!$A:$F,MATCH('FINAL DATA'!G$1,PRODUCT_MASTER!$A$1:$F$1,0),0)</f>
        <v>Product37</v>
      </c>
      <c r="H450" t="str">
        <f>VLOOKUP($B450,PRODUCT_MASTER!$A:$F,MATCH('FINAL DATA'!H$1,PRODUCT_MASTER!$A$1:$F$1,0),0)</f>
        <v>Snacks</v>
      </c>
      <c r="I450" t="str">
        <f>VLOOKUP($B450,PRODUCT_MASTER!$A:$F,MATCH('FINAL DATA'!I$1,PRODUCT_MASTER!$A$1:$F$1,0),0)</f>
        <v>Kg</v>
      </c>
      <c r="J450" s="7">
        <f>VLOOKUP($B450,PRODUCT_MASTER!$A:$F,MATCH('FINAL DATA'!J$1,PRODUCT_MASTER!$A$1:$F$1,0),0)</f>
        <v>67</v>
      </c>
      <c r="K450" s="7">
        <f>VLOOKUP($B450,PRODUCT_MASTER!$A:$F,MATCH('FINAL DATA'!K$1,PRODUCT_MASTER!$A$1:$F$1,0),0)</f>
        <v>85.76</v>
      </c>
      <c r="L450" s="7">
        <f t="shared" si="30"/>
        <v>1005</v>
      </c>
      <c r="M450" s="7">
        <f t="shared" si="31"/>
        <v>1286.4000000000001</v>
      </c>
      <c r="N450">
        <f t="shared" si="32"/>
        <v>15</v>
      </c>
      <c r="O450" t="str">
        <f t="shared" si="33"/>
        <v>Sep</v>
      </c>
      <c r="P450">
        <f t="shared" si="34"/>
        <v>2022</v>
      </c>
    </row>
    <row r="451" spans="1:16" x14ac:dyDescent="0.2">
      <c r="A451" s="1">
        <v>44822</v>
      </c>
      <c r="B451" t="s">
        <v>57</v>
      </c>
      <c r="C451">
        <v>14</v>
      </c>
      <c r="D451" t="s">
        <v>101</v>
      </c>
      <c r="E451" t="s">
        <v>102</v>
      </c>
      <c r="F451" s="5">
        <v>0</v>
      </c>
      <c r="G451" t="str">
        <f>VLOOKUP($B451,PRODUCT_MASTER!$A:$F,MATCH('FINAL DATA'!G$1,PRODUCT_MASTER!$A$1:$F$1,0),0)</f>
        <v>Product26</v>
      </c>
      <c r="H451" t="str">
        <f>VLOOKUP($B451,PRODUCT_MASTER!$A:$F,MATCH('FINAL DATA'!H$1,PRODUCT_MASTER!$A$1:$F$1,0),0)</f>
        <v>Seafood</v>
      </c>
      <c r="I451" t="str">
        <f>VLOOKUP($B451,PRODUCT_MASTER!$A:$F,MATCH('FINAL DATA'!I$1,PRODUCT_MASTER!$A$1:$F$1,0),0)</f>
        <v>No.</v>
      </c>
      <c r="J451" s="7">
        <f>VLOOKUP($B451,PRODUCT_MASTER!$A:$F,MATCH('FINAL DATA'!J$1,PRODUCT_MASTER!$A$1:$F$1,0),0)</f>
        <v>18</v>
      </c>
      <c r="K451" s="7">
        <f>VLOOKUP($B451,PRODUCT_MASTER!$A:$F,MATCH('FINAL DATA'!K$1,PRODUCT_MASTER!$A$1:$F$1,0),0)</f>
        <v>24.66</v>
      </c>
      <c r="L451" s="7">
        <f t="shared" ref="L451:L514" si="35">C451*J451</f>
        <v>252</v>
      </c>
      <c r="M451" s="7">
        <f t="shared" ref="M451:M514" si="36">(K451-(K451*F451))*C451</f>
        <v>345.24</v>
      </c>
      <c r="N451">
        <f t="shared" ref="N451:N514" si="37">DAY(A451)</f>
        <v>18</v>
      </c>
      <c r="O451" t="str">
        <f t="shared" ref="O451:O514" si="38">TEXT(A451,"MMM")</f>
        <v>Sep</v>
      </c>
      <c r="P451">
        <f t="shared" ref="P451:P514" si="39">YEAR(A451)</f>
        <v>2022</v>
      </c>
    </row>
    <row r="452" spans="1:16" x14ac:dyDescent="0.2">
      <c r="A452" s="1">
        <v>44823</v>
      </c>
      <c r="B452" t="s">
        <v>71</v>
      </c>
      <c r="C452">
        <v>8</v>
      </c>
      <c r="D452" t="s">
        <v>100</v>
      </c>
      <c r="E452" t="s">
        <v>102</v>
      </c>
      <c r="F452" s="5">
        <v>0</v>
      </c>
      <c r="G452" t="str">
        <f>VLOOKUP($B452,PRODUCT_MASTER!$A:$F,MATCH('FINAL DATA'!G$1,PRODUCT_MASTER!$A$1:$F$1,0),0)</f>
        <v>Product33</v>
      </c>
      <c r="H452" t="str">
        <f>VLOOKUP($B452,PRODUCT_MASTER!$A:$F,MATCH('FINAL DATA'!H$1,PRODUCT_MASTER!$A$1:$F$1,0),0)</f>
        <v>Bakery And Desserts</v>
      </c>
      <c r="I452" t="str">
        <f>VLOOKUP($B452,PRODUCT_MASTER!$A:$F,MATCH('FINAL DATA'!I$1,PRODUCT_MASTER!$A$1:$F$1,0),0)</f>
        <v>Kg</v>
      </c>
      <c r="J452" s="7">
        <f>VLOOKUP($B452,PRODUCT_MASTER!$A:$F,MATCH('FINAL DATA'!J$1,PRODUCT_MASTER!$A$1:$F$1,0),0)</f>
        <v>95</v>
      </c>
      <c r="K452" s="7">
        <f>VLOOKUP($B452,PRODUCT_MASTER!$A:$F,MATCH('FINAL DATA'!K$1,PRODUCT_MASTER!$A$1:$F$1,0),0)</f>
        <v>119.7</v>
      </c>
      <c r="L452" s="7">
        <f t="shared" si="35"/>
        <v>760</v>
      </c>
      <c r="M452" s="7">
        <f t="shared" si="36"/>
        <v>957.6</v>
      </c>
      <c r="N452">
        <f t="shared" si="37"/>
        <v>19</v>
      </c>
      <c r="O452" t="str">
        <f t="shared" si="38"/>
        <v>Sep</v>
      </c>
      <c r="P452">
        <f t="shared" si="39"/>
        <v>2022</v>
      </c>
    </row>
    <row r="453" spans="1:16" x14ac:dyDescent="0.2">
      <c r="A453" s="1">
        <v>44824</v>
      </c>
      <c r="B453" t="s">
        <v>71</v>
      </c>
      <c r="C453">
        <v>6</v>
      </c>
      <c r="D453" t="s">
        <v>103</v>
      </c>
      <c r="E453" t="s">
        <v>101</v>
      </c>
      <c r="F453" s="5">
        <v>0</v>
      </c>
      <c r="G453" t="str">
        <f>VLOOKUP($B453,PRODUCT_MASTER!$A:$F,MATCH('FINAL DATA'!G$1,PRODUCT_MASTER!$A$1:$F$1,0),0)</f>
        <v>Product33</v>
      </c>
      <c r="H453" t="str">
        <f>VLOOKUP($B453,PRODUCT_MASTER!$A:$F,MATCH('FINAL DATA'!H$1,PRODUCT_MASTER!$A$1:$F$1,0),0)</f>
        <v>Bakery And Desserts</v>
      </c>
      <c r="I453" t="str">
        <f>VLOOKUP($B453,PRODUCT_MASTER!$A:$F,MATCH('FINAL DATA'!I$1,PRODUCT_MASTER!$A$1:$F$1,0),0)</f>
        <v>Kg</v>
      </c>
      <c r="J453" s="7">
        <f>VLOOKUP($B453,PRODUCT_MASTER!$A:$F,MATCH('FINAL DATA'!J$1,PRODUCT_MASTER!$A$1:$F$1,0),0)</f>
        <v>95</v>
      </c>
      <c r="K453" s="7">
        <f>VLOOKUP($B453,PRODUCT_MASTER!$A:$F,MATCH('FINAL DATA'!K$1,PRODUCT_MASTER!$A$1:$F$1,0),0)</f>
        <v>119.7</v>
      </c>
      <c r="L453" s="7">
        <f t="shared" si="35"/>
        <v>570</v>
      </c>
      <c r="M453" s="7">
        <f t="shared" si="36"/>
        <v>718.2</v>
      </c>
      <c r="N453">
        <f t="shared" si="37"/>
        <v>20</v>
      </c>
      <c r="O453" t="str">
        <f t="shared" si="38"/>
        <v>Sep</v>
      </c>
      <c r="P453">
        <f t="shared" si="39"/>
        <v>2022</v>
      </c>
    </row>
    <row r="454" spans="1:16" x14ac:dyDescent="0.2">
      <c r="A454" s="1">
        <v>44824</v>
      </c>
      <c r="B454" t="s">
        <v>6</v>
      </c>
      <c r="C454">
        <v>10</v>
      </c>
      <c r="D454" t="s">
        <v>103</v>
      </c>
      <c r="E454" t="s">
        <v>101</v>
      </c>
      <c r="F454" s="5">
        <v>0</v>
      </c>
      <c r="G454" t="str">
        <f>VLOOKUP($B454,PRODUCT_MASTER!$A:$F,MATCH('FINAL DATA'!G$1,PRODUCT_MASTER!$A$1:$F$1,0),0)</f>
        <v>Product01</v>
      </c>
      <c r="H454" t="str">
        <f>VLOOKUP($B454,PRODUCT_MASTER!$A:$F,MATCH('FINAL DATA'!H$1,PRODUCT_MASTER!$A$1:$F$1,0),0)</f>
        <v>Organic</v>
      </c>
      <c r="I454" t="str">
        <f>VLOOKUP($B454,PRODUCT_MASTER!$A:$F,MATCH('FINAL DATA'!I$1,PRODUCT_MASTER!$A$1:$F$1,0),0)</f>
        <v>Kg</v>
      </c>
      <c r="J454" s="7">
        <f>VLOOKUP($B454,PRODUCT_MASTER!$A:$F,MATCH('FINAL DATA'!J$1,PRODUCT_MASTER!$A$1:$F$1,0),0)</f>
        <v>98</v>
      </c>
      <c r="K454" s="7">
        <f>VLOOKUP($B454,PRODUCT_MASTER!$A:$F,MATCH('FINAL DATA'!K$1,PRODUCT_MASTER!$A$1:$F$1,0),0)</f>
        <v>103.88</v>
      </c>
      <c r="L454" s="7">
        <f t="shared" si="35"/>
        <v>980</v>
      </c>
      <c r="M454" s="7">
        <f t="shared" si="36"/>
        <v>1038.8</v>
      </c>
      <c r="N454">
        <f t="shared" si="37"/>
        <v>20</v>
      </c>
      <c r="O454" t="str">
        <f t="shared" si="38"/>
        <v>Sep</v>
      </c>
      <c r="P454">
        <f t="shared" si="39"/>
        <v>2022</v>
      </c>
    </row>
    <row r="455" spans="1:16" x14ac:dyDescent="0.2">
      <c r="A455" s="1">
        <v>44825</v>
      </c>
      <c r="B455" t="s">
        <v>41</v>
      </c>
      <c r="C455">
        <v>14</v>
      </c>
      <c r="D455" t="s">
        <v>101</v>
      </c>
      <c r="E455" t="s">
        <v>101</v>
      </c>
      <c r="F455" s="5">
        <v>0</v>
      </c>
      <c r="G455" t="str">
        <f>VLOOKUP($B455,PRODUCT_MASTER!$A:$F,MATCH('FINAL DATA'!G$1,PRODUCT_MASTER!$A$1:$F$1,0),0)</f>
        <v>Product18</v>
      </c>
      <c r="H455" t="str">
        <f>VLOOKUP($B455,PRODUCT_MASTER!$A:$F,MATCH('FINAL DATA'!H$1,PRODUCT_MASTER!$A$1:$F$1,0),0)</f>
        <v>Poultry</v>
      </c>
      <c r="I455" t="str">
        <f>VLOOKUP($B455,PRODUCT_MASTER!$A:$F,MATCH('FINAL DATA'!I$1,PRODUCT_MASTER!$A$1:$F$1,0),0)</f>
        <v>No.</v>
      </c>
      <c r="J455" s="7">
        <f>VLOOKUP($B455,PRODUCT_MASTER!$A:$F,MATCH('FINAL DATA'!J$1,PRODUCT_MASTER!$A$1:$F$1,0),0)</f>
        <v>37</v>
      </c>
      <c r="K455" s="7">
        <f>VLOOKUP($B455,PRODUCT_MASTER!$A:$F,MATCH('FINAL DATA'!K$1,PRODUCT_MASTER!$A$1:$F$1,0),0)</f>
        <v>49.21</v>
      </c>
      <c r="L455" s="7">
        <f t="shared" si="35"/>
        <v>518</v>
      </c>
      <c r="M455" s="7">
        <f t="shared" si="36"/>
        <v>688.94</v>
      </c>
      <c r="N455">
        <f t="shared" si="37"/>
        <v>21</v>
      </c>
      <c r="O455" t="str">
        <f t="shared" si="38"/>
        <v>Sep</v>
      </c>
      <c r="P455">
        <f t="shared" si="39"/>
        <v>2022</v>
      </c>
    </row>
    <row r="456" spans="1:16" x14ac:dyDescent="0.2">
      <c r="A456" s="1">
        <v>44825</v>
      </c>
      <c r="B456" t="s">
        <v>57</v>
      </c>
      <c r="C456">
        <v>5</v>
      </c>
      <c r="D456" t="s">
        <v>103</v>
      </c>
      <c r="E456" t="s">
        <v>102</v>
      </c>
      <c r="F456" s="5">
        <v>0</v>
      </c>
      <c r="G456" t="str">
        <f>VLOOKUP($B456,PRODUCT_MASTER!$A:$F,MATCH('FINAL DATA'!G$1,PRODUCT_MASTER!$A$1:$F$1,0),0)</f>
        <v>Product26</v>
      </c>
      <c r="H456" t="str">
        <f>VLOOKUP($B456,PRODUCT_MASTER!$A:$F,MATCH('FINAL DATA'!H$1,PRODUCT_MASTER!$A$1:$F$1,0),0)</f>
        <v>Seafood</v>
      </c>
      <c r="I456" t="str">
        <f>VLOOKUP($B456,PRODUCT_MASTER!$A:$F,MATCH('FINAL DATA'!I$1,PRODUCT_MASTER!$A$1:$F$1,0),0)</f>
        <v>No.</v>
      </c>
      <c r="J456" s="7">
        <f>VLOOKUP($B456,PRODUCT_MASTER!$A:$F,MATCH('FINAL DATA'!J$1,PRODUCT_MASTER!$A$1:$F$1,0),0)</f>
        <v>18</v>
      </c>
      <c r="K456" s="7">
        <f>VLOOKUP($B456,PRODUCT_MASTER!$A:$F,MATCH('FINAL DATA'!K$1,PRODUCT_MASTER!$A$1:$F$1,0),0)</f>
        <v>24.66</v>
      </c>
      <c r="L456" s="7">
        <f t="shared" si="35"/>
        <v>90</v>
      </c>
      <c r="M456" s="7">
        <f t="shared" si="36"/>
        <v>123.3</v>
      </c>
      <c r="N456">
        <f t="shared" si="37"/>
        <v>21</v>
      </c>
      <c r="O456" t="str">
        <f t="shared" si="38"/>
        <v>Sep</v>
      </c>
      <c r="P456">
        <f t="shared" si="39"/>
        <v>2022</v>
      </c>
    </row>
    <row r="457" spans="1:16" x14ac:dyDescent="0.2">
      <c r="A457" s="1">
        <v>44826</v>
      </c>
      <c r="B457" t="s">
        <v>91</v>
      </c>
      <c r="C457">
        <v>12</v>
      </c>
      <c r="D457" t="s">
        <v>101</v>
      </c>
      <c r="E457" t="s">
        <v>101</v>
      </c>
      <c r="F457" s="5">
        <v>0</v>
      </c>
      <c r="G457" t="str">
        <f>VLOOKUP($B457,PRODUCT_MASTER!$A:$F,MATCH('FINAL DATA'!G$1,PRODUCT_MASTER!$A$1:$F$1,0),0)</f>
        <v>Product43</v>
      </c>
      <c r="H457" t="str">
        <f>VLOOKUP($B457,PRODUCT_MASTER!$A:$F,MATCH('FINAL DATA'!H$1,PRODUCT_MASTER!$A$1:$F$1,0),0)</f>
        <v>Candy</v>
      </c>
      <c r="I457" t="str">
        <f>VLOOKUP($B457,PRODUCT_MASTER!$A:$F,MATCH('FINAL DATA'!I$1,PRODUCT_MASTER!$A$1:$F$1,0),0)</f>
        <v>Kg</v>
      </c>
      <c r="J457" s="7">
        <f>VLOOKUP($B457,PRODUCT_MASTER!$A:$F,MATCH('FINAL DATA'!J$1,PRODUCT_MASTER!$A$1:$F$1,0),0)</f>
        <v>67</v>
      </c>
      <c r="K457" s="7">
        <f>VLOOKUP($B457,PRODUCT_MASTER!$A:$F,MATCH('FINAL DATA'!K$1,PRODUCT_MASTER!$A$1:$F$1,0),0)</f>
        <v>83.08</v>
      </c>
      <c r="L457" s="7">
        <f t="shared" si="35"/>
        <v>804</v>
      </c>
      <c r="M457" s="7">
        <f t="shared" si="36"/>
        <v>996.96</v>
      </c>
      <c r="N457">
        <f t="shared" si="37"/>
        <v>22</v>
      </c>
      <c r="O457" t="str">
        <f t="shared" si="38"/>
        <v>Sep</v>
      </c>
      <c r="P457">
        <f t="shared" si="39"/>
        <v>2022</v>
      </c>
    </row>
    <row r="458" spans="1:16" x14ac:dyDescent="0.2">
      <c r="A458" s="1">
        <v>44827</v>
      </c>
      <c r="B458" t="s">
        <v>29</v>
      </c>
      <c r="C458">
        <v>12</v>
      </c>
      <c r="D458" t="s">
        <v>103</v>
      </c>
      <c r="E458" t="s">
        <v>101</v>
      </c>
      <c r="F458" s="5">
        <v>0</v>
      </c>
      <c r="G458" t="str">
        <f>VLOOKUP($B458,PRODUCT_MASTER!$A:$F,MATCH('FINAL DATA'!G$1,PRODUCT_MASTER!$A$1:$F$1,0),0)</f>
        <v>Product12</v>
      </c>
      <c r="H458" t="str">
        <f>VLOOKUP($B458,PRODUCT_MASTER!$A:$F,MATCH('FINAL DATA'!H$1,PRODUCT_MASTER!$A$1:$F$1,0),0)</f>
        <v>Meat</v>
      </c>
      <c r="I458" t="str">
        <f>VLOOKUP($B458,PRODUCT_MASTER!$A:$F,MATCH('FINAL DATA'!I$1,PRODUCT_MASTER!$A$1:$F$1,0),0)</f>
        <v>Kg</v>
      </c>
      <c r="J458" s="7">
        <f>VLOOKUP($B458,PRODUCT_MASTER!$A:$F,MATCH('FINAL DATA'!J$1,PRODUCT_MASTER!$A$1:$F$1,0),0)</f>
        <v>73</v>
      </c>
      <c r="K458" s="7">
        <f>VLOOKUP($B458,PRODUCT_MASTER!$A:$F,MATCH('FINAL DATA'!K$1,PRODUCT_MASTER!$A$1:$F$1,0),0)</f>
        <v>94.17</v>
      </c>
      <c r="L458" s="7">
        <f t="shared" si="35"/>
        <v>876</v>
      </c>
      <c r="M458" s="7">
        <f t="shared" si="36"/>
        <v>1130.04</v>
      </c>
      <c r="N458">
        <f t="shared" si="37"/>
        <v>23</v>
      </c>
      <c r="O458" t="str">
        <f t="shared" si="38"/>
        <v>Sep</v>
      </c>
      <c r="P458">
        <f t="shared" si="39"/>
        <v>2022</v>
      </c>
    </row>
    <row r="459" spans="1:16" x14ac:dyDescent="0.2">
      <c r="A459" s="1">
        <v>44828</v>
      </c>
      <c r="B459" t="s">
        <v>69</v>
      </c>
      <c r="C459">
        <v>14</v>
      </c>
      <c r="D459" t="s">
        <v>103</v>
      </c>
      <c r="E459" t="s">
        <v>101</v>
      </c>
      <c r="F459" s="5">
        <v>0</v>
      </c>
      <c r="G459" t="str">
        <f>VLOOKUP($B459,PRODUCT_MASTER!$A:$F,MATCH('FINAL DATA'!G$1,PRODUCT_MASTER!$A$1:$F$1,0),0)</f>
        <v>Product32</v>
      </c>
      <c r="H459" t="str">
        <f>VLOOKUP($B459,PRODUCT_MASTER!$A:$F,MATCH('FINAL DATA'!H$1,PRODUCT_MASTER!$A$1:$F$1,0),0)</f>
        <v>Bakery And Desserts</v>
      </c>
      <c r="I459" t="str">
        <f>VLOOKUP($B459,PRODUCT_MASTER!$A:$F,MATCH('FINAL DATA'!I$1,PRODUCT_MASTER!$A$1:$F$1,0),0)</f>
        <v>Kg</v>
      </c>
      <c r="J459" s="7">
        <f>VLOOKUP($B459,PRODUCT_MASTER!$A:$F,MATCH('FINAL DATA'!J$1,PRODUCT_MASTER!$A$1:$F$1,0),0)</f>
        <v>89</v>
      </c>
      <c r="K459" s="7">
        <f>VLOOKUP($B459,PRODUCT_MASTER!$A:$F,MATCH('FINAL DATA'!K$1,PRODUCT_MASTER!$A$1:$F$1,0),0)</f>
        <v>117.48</v>
      </c>
      <c r="L459" s="7">
        <f t="shared" si="35"/>
        <v>1246</v>
      </c>
      <c r="M459" s="7">
        <f t="shared" si="36"/>
        <v>1644.72</v>
      </c>
      <c r="N459">
        <f t="shared" si="37"/>
        <v>24</v>
      </c>
      <c r="O459" t="str">
        <f t="shared" si="38"/>
        <v>Sep</v>
      </c>
      <c r="P459">
        <f t="shared" si="39"/>
        <v>2022</v>
      </c>
    </row>
    <row r="460" spans="1:16" x14ac:dyDescent="0.2">
      <c r="A460" s="1">
        <v>44828</v>
      </c>
      <c r="B460" t="s">
        <v>69</v>
      </c>
      <c r="C460">
        <v>8</v>
      </c>
      <c r="D460" t="s">
        <v>103</v>
      </c>
      <c r="E460" t="s">
        <v>102</v>
      </c>
      <c r="F460" s="5">
        <v>0</v>
      </c>
      <c r="G460" t="str">
        <f>VLOOKUP($B460,PRODUCT_MASTER!$A:$F,MATCH('FINAL DATA'!G$1,PRODUCT_MASTER!$A$1:$F$1,0),0)</f>
        <v>Product32</v>
      </c>
      <c r="H460" t="str">
        <f>VLOOKUP($B460,PRODUCT_MASTER!$A:$F,MATCH('FINAL DATA'!H$1,PRODUCT_MASTER!$A$1:$F$1,0),0)</f>
        <v>Bakery And Desserts</v>
      </c>
      <c r="I460" t="str">
        <f>VLOOKUP($B460,PRODUCT_MASTER!$A:$F,MATCH('FINAL DATA'!I$1,PRODUCT_MASTER!$A$1:$F$1,0),0)</f>
        <v>Kg</v>
      </c>
      <c r="J460" s="7">
        <f>VLOOKUP($B460,PRODUCT_MASTER!$A:$F,MATCH('FINAL DATA'!J$1,PRODUCT_MASTER!$A$1:$F$1,0),0)</f>
        <v>89</v>
      </c>
      <c r="K460" s="7">
        <f>VLOOKUP($B460,PRODUCT_MASTER!$A:$F,MATCH('FINAL DATA'!K$1,PRODUCT_MASTER!$A$1:$F$1,0),0)</f>
        <v>117.48</v>
      </c>
      <c r="L460" s="7">
        <f t="shared" si="35"/>
        <v>712</v>
      </c>
      <c r="M460" s="7">
        <f t="shared" si="36"/>
        <v>939.84</v>
      </c>
      <c r="N460">
        <f t="shared" si="37"/>
        <v>24</v>
      </c>
      <c r="O460" t="str">
        <f t="shared" si="38"/>
        <v>Sep</v>
      </c>
      <c r="P460">
        <f t="shared" si="39"/>
        <v>2022</v>
      </c>
    </row>
    <row r="461" spans="1:16" x14ac:dyDescent="0.2">
      <c r="A461" s="1">
        <v>44831</v>
      </c>
      <c r="B461" t="s">
        <v>77</v>
      </c>
      <c r="C461">
        <v>4</v>
      </c>
      <c r="D461" t="s">
        <v>103</v>
      </c>
      <c r="E461" t="s">
        <v>102</v>
      </c>
      <c r="F461" s="5">
        <v>0</v>
      </c>
      <c r="G461" t="str">
        <f>VLOOKUP($B461,PRODUCT_MASTER!$A:$F,MATCH('FINAL DATA'!G$1,PRODUCT_MASTER!$A$1:$F$1,0),0)</f>
        <v>Product36</v>
      </c>
      <c r="H461" t="str">
        <f>VLOOKUP($B461,PRODUCT_MASTER!$A:$F,MATCH('FINAL DATA'!H$1,PRODUCT_MASTER!$A$1:$F$1,0),0)</f>
        <v>Bakery And Desserts</v>
      </c>
      <c r="I461" t="str">
        <f>VLOOKUP($B461,PRODUCT_MASTER!$A:$F,MATCH('FINAL DATA'!I$1,PRODUCT_MASTER!$A$1:$F$1,0),0)</f>
        <v>Kg</v>
      </c>
      <c r="J461" s="7">
        <f>VLOOKUP($B461,PRODUCT_MASTER!$A:$F,MATCH('FINAL DATA'!J$1,PRODUCT_MASTER!$A$1:$F$1,0),0)</f>
        <v>90</v>
      </c>
      <c r="K461" s="7">
        <f>VLOOKUP($B461,PRODUCT_MASTER!$A:$F,MATCH('FINAL DATA'!K$1,PRODUCT_MASTER!$A$1:$F$1,0),0)</f>
        <v>96.3</v>
      </c>
      <c r="L461" s="7">
        <f t="shared" si="35"/>
        <v>360</v>
      </c>
      <c r="M461" s="7">
        <f t="shared" si="36"/>
        <v>385.2</v>
      </c>
      <c r="N461">
        <f t="shared" si="37"/>
        <v>27</v>
      </c>
      <c r="O461" t="str">
        <f t="shared" si="38"/>
        <v>Sep</v>
      </c>
      <c r="P461">
        <f t="shared" si="39"/>
        <v>2022</v>
      </c>
    </row>
    <row r="462" spans="1:16" x14ac:dyDescent="0.2">
      <c r="A462" s="1">
        <v>44831</v>
      </c>
      <c r="B462" t="s">
        <v>93</v>
      </c>
      <c r="C462">
        <v>9</v>
      </c>
      <c r="D462" t="s">
        <v>103</v>
      </c>
      <c r="E462" t="s">
        <v>102</v>
      </c>
      <c r="F462" s="5">
        <v>0</v>
      </c>
      <c r="G462" t="str">
        <f>VLOOKUP($B462,PRODUCT_MASTER!$A:$F,MATCH('FINAL DATA'!G$1,PRODUCT_MASTER!$A$1:$F$1,0),0)</f>
        <v>Product44</v>
      </c>
      <c r="H462" t="str">
        <f>VLOOKUP($B462,PRODUCT_MASTER!$A:$F,MATCH('FINAL DATA'!H$1,PRODUCT_MASTER!$A$1:$F$1,0),0)</f>
        <v>Candy</v>
      </c>
      <c r="I462" t="str">
        <f>VLOOKUP($B462,PRODUCT_MASTER!$A:$F,MATCH('FINAL DATA'!I$1,PRODUCT_MASTER!$A$1:$F$1,0),0)</f>
        <v>Kg</v>
      </c>
      <c r="J462" s="7">
        <f>VLOOKUP($B462,PRODUCT_MASTER!$A:$F,MATCH('FINAL DATA'!J$1,PRODUCT_MASTER!$A$1:$F$1,0),0)</f>
        <v>76</v>
      </c>
      <c r="K462" s="7">
        <f>VLOOKUP($B462,PRODUCT_MASTER!$A:$F,MATCH('FINAL DATA'!K$1,PRODUCT_MASTER!$A$1:$F$1,0),0)</f>
        <v>82.08</v>
      </c>
      <c r="L462" s="7">
        <f t="shared" si="35"/>
        <v>684</v>
      </c>
      <c r="M462" s="7">
        <f t="shared" si="36"/>
        <v>738.72</v>
      </c>
      <c r="N462">
        <f t="shared" si="37"/>
        <v>27</v>
      </c>
      <c r="O462" t="str">
        <f t="shared" si="38"/>
        <v>Sep</v>
      </c>
      <c r="P462">
        <f t="shared" si="39"/>
        <v>2022</v>
      </c>
    </row>
    <row r="463" spans="1:16" x14ac:dyDescent="0.2">
      <c r="A463" s="1">
        <v>44831</v>
      </c>
      <c r="B463" t="s">
        <v>81</v>
      </c>
      <c r="C463">
        <v>3</v>
      </c>
      <c r="D463" t="s">
        <v>100</v>
      </c>
      <c r="E463" t="s">
        <v>102</v>
      </c>
      <c r="F463" s="5">
        <v>0</v>
      </c>
      <c r="G463" t="str">
        <f>VLOOKUP($B463,PRODUCT_MASTER!$A:$F,MATCH('FINAL DATA'!G$1,PRODUCT_MASTER!$A$1:$F$1,0),0)</f>
        <v>Product38</v>
      </c>
      <c r="H463" t="str">
        <f>VLOOKUP($B463,PRODUCT_MASTER!$A:$F,MATCH('FINAL DATA'!H$1,PRODUCT_MASTER!$A$1:$F$1,0),0)</f>
        <v>Snacks</v>
      </c>
      <c r="I463" t="str">
        <f>VLOOKUP($B463,PRODUCT_MASTER!$A:$F,MATCH('FINAL DATA'!I$1,PRODUCT_MASTER!$A$1:$F$1,0),0)</f>
        <v>Kg</v>
      </c>
      <c r="J463" s="7">
        <f>VLOOKUP($B463,PRODUCT_MASTER!$A:$F,MATCH('FINAL DATA'!J$1,PRODUCT_MASTER!$A$1:$F$1,0),0)</f>
        <v>72</v>
      </c>
      <c r="K463" s="7">
        <f>VLOOKUP($B463,PRODUCT_MASTER!$A:$F,MATCH('FINAL DATA'!K$1,PRODUCT_MASTER!$A$1:$F$1,0),0)</f>
        <v>79.92</v>
      </c>
      <c r="L463" s="7">
        <f t="shared" si="35"/>
        <v>216</v>
      </c>
      <c r="M463" s="7">
        <f t="shared" si="36"/>
        <v>239.76</v>
      </c>
      <c r="N463">
        <f t="shared" si="37"/>
        <v>27</v>
      </c>
      <c r="O463" t="str">
        <f t="shared" si="38"/>
        <v>Sep</v>
      </c>
      <c r="P463">
        <f t="shared" si="39"/>
        <v>2022</v>
      </c>
    </row>
    <row r="464" spans="1:16" x14ac:dyDescent="0.2">
      <c r="A464" s="1">
        <v>44833</v>
      </c>
      <c r="B464" t="s">
        <v>73</v>
      </c>
      <c r="C464">
        <v>13</v>
      </c>
      <c r="D464" t="s">
        <v>103</v>
      </c>
      <c r="E464" t="s">
        <v>101</v>
      </c>
      <c r="F464" s="5">
        <v>0</v>
      </c>
      <c r="G464" t="str">
        <f>VLOOKUP($B464,PRODUCT_MASTER!$A:$F,MATCH('FINAL DATA'!G$1,PRODUCT_MASTER!$A$1:$F$1,0),0)</f>
        <v>Product34</v>
      </c>
      <c r="H464" t="str">
        <f>VLOOKUP($B464,PRODUCT_MASTER!$A:$F,MATCH('FINAL DATA'!H$1,PRODUCT_MASTER!$A$1:$F$1,0),0)</f>
        <v>Bakery And Desserts</v>
      </c>
      <c r="I464" t="str">
        <f>VLOOKUP($B464,PRODUCT_MASTER!$A:$F,MATCH('FINAL DATA'!I$1,PRODUCT_MASTER!$A$1:$F$1,0),0)</f>
        <v>Lt</v>
      </c>
      <c r="J464" s="7">
        <f>VLOOKUP($B464,PRODUCT_MASTER!$A:$F,MATCH('FINAL DATA'!J$1,PRODUCT_MASTER!$A$1:$F$1,0),0)</f>
        <v>55</v>
      </c>
      <c r="K464" s="7">
        <f>VLOOKUP($B464,PRODUCT_MASTER!$A:$F,MATCH('FINAL DATA'!K$1,PRODUCT_MASTER!$A$1:$F$1,0),0)</f>
        <v>58.3</v>
      </c>
      <c r="L464" s="7">
        <f t="shared" si="35"/>
        <v>715</v>
      </c>
      <c r="M464" s="7">
        <f t="shared" si="36"/>
        <v>757.9</v>
      </c>
      <c r="N464">
        <f t="shared" si="37"/>
        <v>29</v>
      </c>
      <c r="O464" t="str">
        <f t="shared" si="38"/>
        <v>Sep</v>
      </c>
      <c r="P464">
        <f t="shared" si="39"/>
        <v>2022</v>
      </c>
    </row>
    <row r="465" spans="1:16" x14ac:dyDescent="0.2">
      <c r="A465" s="1">
        <v>44837</v>
      </c>
      <c r="B465" t="s">
        <v>27</v>
      </c>
      <c r="C465">
        <v>5</v>
      </c>
      <c r="D465" t="s">
        <v>103</v>
      </c>
      <c r="E465" t="s">
        <v>102</v>
      </c>
      <c r="F465" s="5">
        <v>0</v>
      </c>
      <c r="G465" t="str">
        <f>VLOOKUP($B465,PRODUCT_MASTER!$A:$F,MATCH('FINAL DATA'!G$1,PRODUCT_MASTER!$A$1:$F$1,0),0)</f>
        <v>Product11</v>
      </c>
      <c r="H465" t="str">
        <f>VLOOKUP($B465,PRODUCT_MASTER!$A:$F,MATCH('FINAL DATA'!H$1,PRODUCT_MASTER!$A$1:$F$1,0),0)</f>
        <v>Gourmet Foods</v>
      </c>
      <c r="I465" t="str">
        <f>VLOOKUP($B465,PRODUCT_MASTER!$A:$F,MATCH('FINAL DATA'!I$1,PRODUCT_MASTER!$A$1:$F$1,0),0)</f>
        <v>Lt</v>
      </c>
      <c r="J465" s="7">
        <f>VLOOKUP($B465,PRODUCT_MASTER!$A:$F,MATCH('FINAL DATA'!J$1,PRODUCT_MASTER!$A$1:$F$1,0),0)</f>
        <v>44</v>
      </c>
      <c r="K465" s="7">
        <f>VLOOKUP($B465,PRODUCT_MASTER!$A:$F,MATCH('FINAL DATA'!K$1,PRODUCT_MASTER!$A$1:$F$1,0),0)</f>
        <v>48.4</v>
      </c>
      <c r="L465" s="7">
        <f t="shared" si="35"/>
        <v>220</v>
      </c>
      <c r="M465" s="7">
        <f t="shared" si="36"/>
        <v>242</v>
      </c>
      <c r="N465">
        <f t="shared" si="37"/>
        <v>3</v>
      </c>
      <c r="O465" t="str">
        <f t="shared" si="38"/>
        <v>Oct</v>
      </c>
      <c r="P465">
        <f t="shared" si="39"/>
        <v>2022</v>
      </c>
    </row>
    <row r="466" spans="1:16" x14ac:dyDescent="0.2">
      <c r="A466" s="1">
        <v>44838</v>
      </c>
      <c r="B466" t="s">
        <v>19</v>
      </c>
      <c r="C466">
        <v>15</v>
      </c>
      <c r="D466" t="s">
        <v>103</v>
      </c>
      <c r="E466" t="s">
        <v>101</v>
      </c>
      <c r="F466" s="5">
        <v>0</v>
      </c>
      <c r="G466" t="str">
        <f>VLOOKUP($B466,PRODUCT_MASTER!$A:$F,MATCH('FINAL DATA'!G$1,PRODUCT_MASTER!$A$1:$F$1,0),0)</f>
        <v>Product07</v>
      </c>
      <c r="H466" t="str">
        <f>VLOOKUP($B466,PRODUCT_MASTER!$A:$F,MATCH('FINAL DATA'!H$1,PRODUCT_MASTER!$A$1:$F$1,0),0)</f>
        <v>Gourmet Foods</v>
      </c>
      <c r="I466" t="str">
        <f>VLOOKUP($B466,PRODUCT_MASTER!$A:$F,MATCH('FINAL DATA'!I$1,PRODUCT_MASTER!$A$1:$F$1,0),0)</f>
        <v>Lt</v>
      </c>
      <c r="J466" s="7">
        <f>VLOOKUP($B466,PRODUCT_MASTER!$A:$F,MATCH('FINAL DATA'!J$1,PRODUCT_MASTER!$A$1:$F$1,0),0)</f>
        <v>43</v>
      </c>
      <c r="K466" s="7">
        <f>VLOOKUP($B466,PRODUCT_MASTER!$A:$F,MATCH('FINAL DATA'!K$1,PRODUCT_MASTER!$A$1:$F$1,0),0)</f>
        <v>47.730000000000004</v>
      </c>
      <c r="L466" s="7">
        <f t="shared" si="35"/>
        <v>645</v>
      </c>
      <c r="M466" s="7">
        <f t="shared" si="36"/>
        <v>715.95</v>
      </c>
      <c r="N466">
        <f t="shared" si="37"/>
        <v>4</v>
      </c>
      <c r="O466" t="str">
        <f t="shared" si="38"/>
        <v>Oct</v>
      </c>
      <c r="P466">
        <f t="shared" si="39"/>
        <v>2022</v>
      </c>
    </row>
    <row r="467" spans="1:16" x14ac:dyDescent="0.2">
      <c r="A467" s="1">
        <v>44840</v>
      </c>
      <c r="B467" t="s">
        <v>75</v>
      </c>
      <c r="C467">
        <v>1</v>
      </c>
      <c r="D467" t="s">
        <v>103</v>
      </c>
      <c r="E467" t="s">
        <v>101</v>
      </c>
      <c r="F467" s="5">
        <v>0</v>
      </c>
      <c r="G467" t="str">
        <f>VLOOKUP($B467,PRODUCT_MASTER!$A:$F,MATCH('FINAL DATA'!G$1,PRODUCT_MASTER!$A$1:$F$1,0),0)</f>
        <v>Product35</v>
      </c>
      <c r="H467" t="str">
        <f>VLOOKUP($B467,PRODUCT_MASTER!$A:$F,MATCH('FINAL DATA'!H$1,PRODUCT_MASTER!$A$1:$F$1,0),0)</f>
        <v>Bakery And Desserts</v>
      </c>
      <c r="I467" t="str">
        <f>VLOOKUP($B467,PRODUCT_MASTER!$A:$F,MATCH('FINAL DATA'!I$1,PRODUCT_MASTER!$A$1:$F$1,0),0)</f>
        <v>No.</v>
      </c>
      <c r="J467" s="7">
        <f>VLOOKUP($B467,PRODUCT_MASTER!$A:$F,MATCH('FINAL DATA'!J$1,PRODUCT_MASTER!$A$1:$F$1,0),0)</f>
        <v>5</v>
      </c>
      <c r="K467" s="7">
        <f>VLOOKUP($B467,PRODUCT_MASTER!$A:$F,MATCH('FINAL DATA'!K$1,PRODUCT_MASTER!$A$1:$F$1,0),0)</f>
        <v>6.7</v>
      </c>
      <c r="L467" s="7">
        <f t="shared" si="35"/>
        <v>5</v>
      </c>
      <c r="M467" s="7">
        <f t="shared" si="36"/>
        <v>6.7</v>
      </c>
      <c r="N467">
        <f t="shared" si="37"/>
        <v>6</v>
      </c>
      <c r="O467" t="str">
        <f t="shared" si="38"/>
        <v>Oct</v>
      </c>
      <c r="P467">
        <f t="shared" si="39"/>
        <v>2022</v>
      </c>
    </row>
    <row r="468" spans="1:16" x14ac:dyDescent="0.2">
      <c r="A468" s="1">
        <v>44843</v>
      </c>
      <c r="B468" t="s">
        <v>81</v>
      </c>
      <c r="C468">
        <v>14</v>
      </c>
      <c r="D468" t="s">
        <v>101</v>
      </c>
      <c r="E468" t="s">
        <v>101</v>
      </c>
      <c r="F468" s="5">
        <v>0</v>
      </c>
      <c r="G468" t="str">
        <f>VLOOKUP($B468,PRODUCT_MASTER!$A:$F,MATCH('FINAL DATA'!G$1,PRODUCT_MASTER!$A$1:$F$1,0),0)</f>
        <v>Product38</v>
      </c>
      <c r="H468" t="str">
        <f>VLOOKUP($B468,PRODUCT_MASTER!$A:$F,MATCH('FINAL DATA'!H$1,PRODUCT_MASTER!$A$1:$F$1,0),0)</f>
        <v>Snacks</v>
      </c>
      <c r="I468" t="str">
        <f>VLOOKUP($B468,PRODUCT_MASTER!$A:$F,MATCH('FINAL DATA'!I$1,PRODUCT_MASTER!$A$1:$F$1,0),0)</f>
        <v>Kg</v>
      </c>
      <c r="J468" s="7">
        <f>VLOOKUP($B468,PRODUCT_MASTER!$A:$F,MATCH('FINAL DATA'!J$1,PRODUCT_MASTER!$A$1:$F$1,0),0)</f>
        <v>72</v>
      </c>
      <c r="K468" s="7">
        <f>VLOOKUP($B468,PRODUCT_MASTER!$A:$F,MATCH('FINAL DATA'!K$1,PRODUCT_MASTER!$A$1:$F$1,0),0)</f>
        <v>79.92</v>
      </c>
      <c r="L468" s="7">
        <f t="shared" si="35"/>
        <v>1008</v>
      </c>
      <c r="M468" s="7">
        <f t="shared" si="36"/>
        <v>1118.8800000000001</v>
      </c>
      <c r="N468">
        <f t="shared" si="37"/>
        <v>9</v>
      </c>
      <c r="O468" t="str">
        <f t="shared" si="38"/>
        <v>Oct</v>
      </c>
      <c r="P468">
        <f t="shared" si="39"/>
        <v>2022</v>
      </c>
    </row>
    <row r="469" spans="1:16" x14ac:dyDescent="0.2">
      <c r="A469" s="1">
        <v>44844</v>
      </c>
      <c r="B469" t="s">
        <v>43</v>
      </c>
      <c r="C469">
        <v>9</v>
      </c>
      <c r="D469" t="s">
        <v>103</v>
      </c>
      <c r="E469" t="s">
        <v>101</v>
      </c>
      <c r="F469" s="5">
        <v>0</v>
      </c>
      <c r="G469" t="str">
        <f>VLOOKUP($B469,PRODUCT_MASTER!$A:$F,MATCH('FINAL DATA'!G$1,PRODUCT_MASTER!$A$1:$F$1,0),0)</f>
        <v>Product19</v>
      </c>
      <c r="H469" t="str">
        <f>VLOOKUP($B469,PRODUCT_MASTER!$A:$F,MATCH('FINAL DATA'!H$1,PRODUCT_MASTER!$A$1:$F$1,0),0)</f>
        <v>Poultry</v>
      </c>
      <c r="I469" t="str">
        <f>VLOOKUP($B469,PRODUCT_MASTER!$A:$F,MATCH('FINAL DATA'!I$1,PRODUCT_MASTER!$A$1:$F$1,0),0)</f>
        <v>Ft</v>
      </c>
      <c r="J469" s="7">
        <f>VLOOKUP($B469,PRODUCT_MASTER!$A:$F,MATCH('FINAL DATA'!J$1,PRODUCT_MASTER!$A$1:$F$1,0),0)</f>
        <v>150</v>
      </c>
      <c r="K469" s="7">
        <f>VLOOKUP($B469,PRODUCT_MASTER!$A:$F,MATCH('FINAL DATA'!K$1,PRODUCT_MASTER!$A$1:$F$1,0),0)</f>
        <v>210</v>
      </c>
      <c r="L469" s="7">
        <f t="shared" si="35"/>
        <v>1350</v>
      </c>
      <c r="M469" s="7">
        <f t="shared" si="36"/>
        <v>1890</v>
      </c>
      <c r="N469">
        <f t="shared" si="37"/>
        <v>10</v>
      </c>
      <c r="O469" t="str">
        <f t="shared" si="38"/>
        <v>Oct</v>
      </c>
      <c r="P469">
        <f t="shared" si="39"/>
        <v>2022</v>
      </c>
    </row>
    <row r="470" spans="1:16" x14ac:dyDescent="0.2">
      <c r="A470" s="1">
        <v>44844</v>
      </c>
      <c r="B470" t="s">
        <v>93</v>
      </c>
      <c r="C470">
        <v>12</v>
      </c>
      <c r="D470" t="s">
        <v>101</v>
      </c>
      <c r="E470" t="s">
        <v>101</v>
      </c>
      <c r="F470" s="5">
        <v>0</v>
      </c>
      <c r="G470" t="str">
        <f>VLOOKUP($B470,PRODUCT_MASTER!$A:$F,MATCH('FINAL DATA'!G$1,PRODUCT_MASTER!$A$1:$F$1,0),0)</f>
        <v>Product44</v>
      </c>
      <c r="H470" t="str">
        <f>VLOOKUP($B470,PRODUCT_MASTER!$A:$F,MATCH('FINAL DATA'!H$1,PRODUCT_MASTER!$A$1:$F$1,0),0)</f>
        <v>Candy</v>
      </c>
      <c r="I470" t="str">
        <f>VLOOKUP($B470,PRODUCT_MASTER!$A:$F,MATCH('FINAL DATA'!I$1,PRODUCT_MASTER!$A$1:$F$1,0),0)</f>
        <v>Kg</v>
      </c>
      <c r="J470" s="7">
        <f>VLOOKUP($B470,PRODUCT_MASTER!$A:$F,MATCH('FINAL DATA'!J$1,PRODUCT_MASTER!$A$1:$F$1,0),0)</f>
        <v>76</v>
      </c>
      <c r="K470" s="7">
        <f>VLOOKUP($B470,PRODUCT_MASTER!$A:$F,MATCH('FINAL DATA'!K$1,PRODUCT_MASTER!$A$1:$F$1,0),0)</f>
        <v>82.08</v>
      </c>
      <c r="L470" s="7">
        <f t="shared" si="35"/>
        <v>912</v>
      </c>
      <c r="M470" s="7">
        <f t="shared" si="36"/>
        <v>984.96</v>
      </c>
      <c r="N470">
        <f t="shared" si="37"/>
        <v>10</v>
      </c>
      <c r="O470" t="str">
        <f t="shared" si="38"/>
        <v>Oct</v>
      </c>
      <c r="P470">
        <f t="shared" si="39"/>
        <v>2022</v>
      </c>
    </row>
    <row r="471" spans="1:16" x14ac:dyDescent="0.2">
      <c r="A471" s="1">
        <v>44845</v>
      </c>
      <c r="B471" t="s">
        <v>21</v>
      </c>
      <c r="C471">
        <v>10</v>
      </c>
      <c r="D471" t="s">
        <v>103</v>
      </c>
      <c r="E471" t="s">
        <v>101</v>
      </c>
      <c r="F471" s="5">
        <v>0</v>
      </c>
      <c r="G471" t="str">
        <f>VLOOKUP($B471,PRODUCT_MASTER!$A:$F,MATCH('FINAL DATA'!G$1,PRODUCT_MASTER!$A$1:$F$1,0),0)</f>
        <v>Product08</v>
      </c>
      <c r="H471" t="str">
        <f>VLOOKUP($B471,PRODUCT_MASTER!$A:$F,MATCH('FINAL DATA'!H$1,PRODUCT_MASTER!$A$1:$F$1,0),0)</f>
        <v>Gourmet Foods</v>
      </c>
      <c r="I471" t="str">
        <f>VLOOKUP($B471,PRODUCT_MASTER!$A:$F,MATCH('FINAL DATA'!I$1,PRODUCT_MASTER!$A$1:$F$1,0),0)</f>
        <v>Kg</v>
      </c>
      <c r="J471" s="7">
        <f>VLOOKUP($B471,PRODUCT_MASTER!$A:$F,MATCH('FINAL DATA'!J$1,PRODUCT_MASTER!$A$1:$F$1,0),0)</f>
        <v>83</v>
      </c>
      <c r="K471" s="7">
        <f>VLOOKUP($B471,PRODUCT_MASTER!$A:$F,MATCH('FINAL DATA'!K$1,PRODUCT_MASTER!$A$1:$F$1,0),0)</f>
        <v>94.62</v>
      </c>
      <c r="L471" s="7">
        <f t="shared" si="35"/>
        <v>830</v>
      </c>
      <c r="M471" s="7">
        <f t="shared" si="36"/>
        <v>946.2</v>
      </c>
      <c r="N471">
        <f t="shared" si="37"/>
        <v>11</v>
      </c>
      <c r="O471" t="str">
        <f t="shared" si="38"/>
        <v>Oct</v>
      </c>
      <c r="P471">
        <f t="shared" si="39"/>
        <v>2022</v>
      </c>
    </row>
    <row r="472" spans="1:16" x14ac:dyDescent="0.2">
      <c r="A472" s="1">
        <v>44847</v>
      </c>
      <c r="B472" t="s">
        <v>9</v>
      </c>
      <c r="C472">
        <v>15</v>
      </c>
      <c r="D472" t="s">
        <v>101</v>
      </c>
      <c r="E472" t="s">
        <v>101</v>
      </c>
      <c r="F472" s="5">
        <v>0</v>
      </c>
      <c r="G472" t="str">
        <f>VLOOKUP($B472,PRODUCT_MASTER!$A:$F,MATCH('FINAL DATA'!G$1,PRODUCT_MASTER!$A$1:$F$1,0),0)</f>
        <v>Product02</v>
      </c>
      <c r="H472" t="str">
        <f>VLOOKUP($B472,PRODUCT_MASTER!$A:$F,MATCH('FINAL DATA'!H$1,PRODUCT_MASTER!$A$1:$F$1,0),0)</f>
        <v>Organic</v>
      </c>
      <c r="I472" t="str">
        <f>VLOOKUP($B472,PRODUCT_MASTER!$A:$F,MATCH('FINAL DATA'!I$1,PRODUCT_MASTER!$A$1:$F$1,0),0)</f>
        <v>Kg</v>
      </c>
      <c r="J472" s="7">
        <f>VLOOKUP($B472,PRODUCT_MASTER!$A:$F,MATCH('FINAL DATA'!J$1,PRODUCT_MASTER!$A$1:$F$1,0),0)</f>
        <v>105</v>
      </c>
      <c r="K472" s="7">
        <f>VLOOKUP($B472,PRODUCT_MASTER!$A:$F,MATCH('FINAL DATA'!K$1,PRODUCT_MASTER!$A$1:$F$1,0),0)</f>
        <v>142.80000000000001</v>
      </c>
      <c r="L472" s="7">
        <f t="shared" si="35"/>
        <v>1575</v>
      </c>
      <c r="M472" s="7">
        <f t="shared" si="36"/>
        <v>2142</v>
      </c>
      <c r="N472">
        <f t="shared" si="37"/>
        <v>13</v>
      </c>
      <c r="O472" t="str">
        <f t="shared" si="38"/>
        <v>Oct</v>
      </c>
      <c r="P472">
        <f t="shared" si="39"/>
        <v>2022</v>
      </c>
    </row>
    <row r="473" spans="1:16" x14ac:dyDescent="0.2">
      <c r="A473" s="1">
        <v>44848</v>
      </c>
      <c r="B473" t="s">
        <v>93</v>
      </c>
      <c r="C473">
        <v>15</v>
      </c>
      <c r="D473" t="s">
        <v>100</v>
      </c>
      <c r="E473" t="s">
        <v>101</v>
      </c>
      <c r="F473" s="5">
        <v>0</v>
      </c>
      <c r="G473" t="str">
        <f>VLOOKUP($B473,PRODUCT_MASTER!$A:$F,MATCH('FINAL DATA'!G$1,PRODUCT_MASTER!$A$1:$F$1,0),0)</f>
        <v>Product44</v>
      </c>
      <c r="H473" t="str">
        <f>VLOOKUP($B473,PRODUCT_MASTER!$A:$F,MATCH('FINAL DATA'!H$1,PRODUCT_MASTER!$A$1:$F$1,0),0)</f>
        <v>Candy</v>
      </c>
      <c r="I473" t="str">
        <f>VLOOKUP($B473,PRODUCT_MASTER!$A:$F,MATCH('FINAL DATA'!I$1,PRODUCT_MASTER!$A$1:$F$1,0),0)</f>
        <v>Kg</v>
      </c>
      <c r="J473" s="7">
        <f>VLOOKUP($B473,PRODUCT_MASTER!$A:$F,MATCH('FINAL DATA'!J$1,PRODUCT_MASTER!$A$1:$F$1,0),0)</f>
        <v>76</v>
      </c>
      <c r="K473" s="7">
        <f>VLOOKUP($B473,PRODUCT_MASTER!$A:$F,MATCH('FINAL DATA'!K$1,PRODUCT_MASTER!$A$1:$F$1,0),0)</f>
        <v>82.08</v>
      </c>
      <c r="L473" s="7">
        <f t="shared" si="35"/>
        <v>1140</v>
      </c>
      <c r="M473" s="7">
        <f t="shared" si="36"/>
        <v>1231.2</v>
      </c>
      <c r="N473">
        <f t="shared" si="37"/>
        <v>14</v>
      </c>
      <c r="O473" t="str">
        <f t="shared" si="38"/>
        <v>Oct</v>
      </c>
      <c r="P473">
        <f t="shared" si="39"/>
        <v>2022</v>
      </c>
    </row>
    <row r="474" spans="1:16" x14ac:dyDescent="0.2">
      <c r="A474" s="1">
        <v>44849</v>
      </c>
      <c r="B474" t="s">
        <v>35</v>
      </c>
      <c r="C474">
        <v>10</v>
      </c>
      <c r="D474" t="s">
        <v>103</v>
      </c>
      <c r="E474" t="s">
        <v>102</v>
      </c>
      <c r="F474" s="5">
        <v>0</v>
      </c>
      <c r="G474" t="str">
        <f>VLOOKUP($B474,PRODUCT_MASTER!$A:$F,MATCH('FINAL DATA'!G$1,PRODUCT_MASTER!$A$1:$F$1,0),0)</f>
        <v>Product15</v>
      </c>
      <c r="H474" t="str">
        <f>VLOOKUP($B474,PRODUCT_MASTER!$A:$F,MATCH('FINAL DATA'!H$1,PRODUCT_MASTER!$A$1:$F$1,0),0)</f>
        <v>Meat</v>
      </c>
      <c r="I474" t="str">
        <f>VLOOKUP($B474,PRODUCT_MASTER!$A:$F,MATCH('FINAL DATA'!I$1,PRODUCT_MASTER!$A$1:$F$1,0),0)</f>
        <v>No.</v>
      </c>
      <c r="J474" s="7">
        <f>VLOOKUP($B474,PRODUCT_MASTER!$A:$F,MATCH('FINAL DATA'!J$1,PRODUCT_MASTER!$A$1:$F$1,0),0)</f>
        <v>12</v>
      </c>
      <c r="K474" s="7">
        <f>VLOOKUP($B474,PRODUCT_MASTER!$A:$F,MATCH('FINAL DATA'!K$1,PRODUCT_MASTER!$A$1:$F$1,0),0)</f>
        <v>15.719999999999999</v>
      </c>
      <c r="L474" s="7">
        <f t="shared" si="35"/>
        <v>120</v>
      </c>
      <c r="M474" s="7">
        <f t="shared" si="36"/>
        <v>157.19999999999999</v>
      </c>
      <c r="N474">
        <f t="shared" si="37"/>
        <v>15</v>
      </c>
      <c r="O474" t="str">
        <f t="shared" si="38"/>
        <v>Oct</v>
      </c>
      <c r="P474">
        <f t="shared" si="39"/>
        <v>2022</v>
      </c>
    </row>
    <row r="475" spans="1:16" x14ac:dyDescent="0.2">
      <c r="A475" s="1">
        <v>44850</v>
      </c>
      <c r="B475" t="s">
        <v>77</v>
      </c>
      <c r="C475">
        <v>3</v>
      </c>
      <c r="D475" t="s">
        <v>101</v>
      </c>
      <c r="E475" t="s">
        <v>101</v>
      </c>
      <c r="F475" s="5">
        <v>0</v>
      </c>
      <c r="G475" t="str">
        <f>VLOOKUP($B475,PRODUCT_MASTER!$A:$F,MATCH('FINAL DATA'!G$1,PRODUCT_MASTER!$A$1:$F$1,0),0)</f>
        <v>Product36</v>
      </c>
      <c r="H475" t="str">
        <f>VLOOKUP($B475,PRODUCT_MASTER!$A:$F,MATCH('FINAL DATA'!H$1,PRODUCT_MASTER!$A$1:$F$1,0),0)</f>
        <v>Bakery And Desserts</v>
      </c>
      <c r="I475" t="str">
        <f>VLOOKUP($B475,PRODUCT_MASTER!$A:$F,MATCH('FINAL DATA'!I$1,PRODUCT_MASTER!$A$1:$F$1,0),0)</f>
        <v>Kg</v>
      </c>
      <c r="J475" s="7">
        <f>VLOOKUP($B475,PRODUCT_MASTER!$A:$F,MATCH('FINAL DATA'!J$1,PRODUCT_MASTER!$A$1:$F$1,0),0)</f>
        <v>90</v>
      </c>
      <c r="K475" s="7">
        <f>VLOOKUP($B475,PRODUCT_MASTER!$A:$F,MATCH('FINAL DATA'!K$1,PRODUCT_MASTER!$A$1:$F$1,0),0)</f>
        <v>96.3</v>
      </c>
      <c r="L475" s="7">
        <f t="shared" si="35"/>
        <v>270</v>
      </c>
      <c r="M475" s="7">
        <f t="shared" si="36"/>
        <v>288.89999999999998</v>
      </c>
      <c r="N475">
        <f t="shared" si="37"/>
        <v>16</v>
      </c>
      <c r="O475" t="str">
        <f t="shared" si="38"/>
        <v>Oct</v>
      </c>
      <c r="P475">
        <f t="shared" si="39"/>
        <v>2022</v>
      </c>
    </row>
    <row r="476" spans="1:16" x14ac:dyDescent="0.2">
      <c r="A476" s="1">
        <v>44857</v>
      </c>
      <c r="B476" t="s">
        <v>53</v>
      </c>
      <c r="C476">
        <v>14</v>
      </c>
      <c r="D476" t="s">
        <v>101</v>
      </c>
      <c r="E476" t="s">
        <v>102</v>
      </c>
      <c r="F476" s="5">
        <v>0</v>
      </c>
      <c r="G476" t="str">
        <f>VLOOKUP($B476,PRODUCT_MASTER!$A:$F,MATCH('FINAL DATA'!G$1,PRODUCT_MASTER!$A$1:$F$1,0),0)</f>
        <v>Product24</v>
      </c>
      <c r="H476" t="str">
        <f>VLOOKUP($B476,PRODUCT_MASTER!$A:$F,MATCH('FINAL DATA'!H$1,PRODUCT_MASTER!$A$1:$F$1,0),0)</f>
        <v>Seafood</v>
      </c>
      <c r="I476" t="str">
        <f>VLOOKUP($B476,PRODUCT_MASTER!$A:$F,MATCH('FINAL DATA'!I$1,PRODUCT_MASTER!$A$1:$F$1,0),0)</f>
        <v>Ft</v>
      </c>
      <c r="J476" s="7">
        <f>VLOOKUP($B476,PRODUCT_MASTER!$A:$F,MATCH('FINAL DATA'!J$1,PRODUCT_MASTER!$A$1:$F$1,0),0)</f>
        <v>144</v>
      </c>
      <c r="K476" s="7">
        <f>VLOOKUP($B476,PRODUCT_MASTER!$A:$F,MATCH('FINAL DATA'!K$1,PRODUCT_MASTER!$A$1:$F$1,0),0)</f>
        <v>156.96</v>
      </c>
      <c r="L476" s="7">
        <f t="shared" si="35"/>
        <v>2016</v>
      </c>
      <c r="M476" s="7">
        <f t="shared" si="36"/>
        <v>2197.44</v>
      </c>
      <c r="N476">
        <f t="shared" si="37"/>
        <v>23</v>
      </c>
      <c r="O476" t="str">
        <f t="shared" si="38"/>
        <v>Oct</v>
      </c>
      <c r="P476">
        <f t="shared" si="39"/>
        <v>2022</v>
      </c>
    </row>
    <row r="477" spans="1:16" x14ac:dyDescent="0.2">
      <c r="A477" s="1">
        <v>44864</v>
      </c>
      <c r="B477" t="s">
        <v>89</v>
      </c>
      <c r="C477">
        <v>3</v>
      </c>
      <c r="D477" t="s">
        <v>103</v>
      </c>
      <c r="E477" t="s">
        <v>102</v>
      </c>
      <c r="F477" s="5">
        <v>0</v>
      </c>
      <c r="G477" t="str">
        <f>VLOOKUP($B477,PRODUCT_MASTER!$A:$F,MATCH('FINAL DATA'!G$1,PRODUCT_MASTER!$A$1:$F$1,0),0)</f>
        <v>Product42</v>
      </c>
      <c r="H477" t="str">
        <f>VLOOKUP($B477,PRODUCT_MASTER!$A:$F,MATCH('FINAL DATA'!H$1,PRODUCT_MASTER!$A$1:$F$1,0),0)</f>
        <v>Candy</v>
      </c>
      <c r="I477" t="str">
        <f>VLOOKUP($B477,PRODUCT_MASTER!$A:$F,MATCH('FINAL DATA'!I$1,PRODUCT_MASTER!$A$1:$F$1,0),0)</f>
        <v>Ft</v>
      </c>
      <c r="J477" s="7">
        <f>VLOOKUP($B477,PRODUCT_MASTER!$A:$F,MATCH('FINAL DATA'!J$1,PRODUCT_MASTER!$A$1:$F$1,0),0)</f>
        <v>120</v>
      </c>
      <c r="K477" s="7">
        <f>VLOOKUP($B477,PRODUCT_MASTER!$A:$F,MATCH('FINAL DATA'!K$1,PRODUCT_MASTER!$A$1:$F$1,0),0)</f>
        <v>162</v>
      </c>
      <c r="L477" s="7">
        <f t="shared" si="35"/>
        <v>360</v>
      </c>
      <c r="M477" s="7">
        <f t="shared" si="36"/>
        <v>486</v>
      </c>
      <c r="N477">
        <f t="shared" si="37"/>
        <v>30</v>
      </c>
      <c r="O477" t="str">
        <f t="shared" si="38"/>
        <v>Oct</v>
      </c>
      <c r="P477">
        <f t="shared" si="39"/>
        <v>2022</v>
      </c>
    </row>
    <row r="478" spans="1:16" x14ac:dyDescent="0.2">
      <c r="A478" s="1">
        <v>44865</v>
      </c>
      <c r="B478" t="s">
        <v>81</v>
      </c>
      <c r="C478">
        <v>8</v>
      </c>
      <c r="D478" t="s">
        <v>103</v>
      </c>
      <c r="E478" t="s">
        <v>101</v>
      </c>
      <c r="F478" s="5">
        <v>0</v>
      </c>
      <c r="G478" t="str">
        <f>VLOOKUP($B478,PRODUCT_MASTER!$A:$F,MATCH('FINAL DATA'!G$1,PRODUCT_MASTER!$A$1:$F$1,0),0)</f>
        <v>Product38</v>
      </c>
      <c r="H478" t="str">
        <f>VLOOKUP($B478,PRODUCT_MASTER!$A:$F,MATCH('FINAL DATA'!H$1,PRODUCT_MASTER!$A$1:$F$1,0),0)</f>
        <v>Snacks</v>
      </c>
      <c r="I478" t="str">
        <f>VLOOKUP($B478,PRODUCT_MASTER!$A:$F,MATCH('FINAL DATA'!I$1,PRODUCT_MASTER!$A$1:$F$1,0),0)</f>
        <v>Kg</v>
      </c>
      <c r="J478" s="7">
        <f>VLOOKUP($B478,PRODUCT_MASTER!$A:$F,MATCH('FINAL DATA'!J$1,PRODUCT_MASTER!$A$1:$F$1,0),0)</f>
        <v>72</v>
      </c>
      <c r="K478" s="7">
        <f>VLOOKUP($B478,PRODUCT_MASTER!$A:$F,MATCH('FINAL DATA'!K$1,PRODUCT_MASTER!$A$1:$F$1,0),0)</f>
        <v>79.92</v>
      </c>
      <c r="L478" s="7">
        <f t="shared" si="35"/>
        <v>576</v>
      </c>
      <c r="M478" s="7">
        <f t="shared" si="36"/>
        <v>639.36</v>
      </c>
      <c r="N478">
        <f t="shared" si="37"/>
        <v>31</v>
      </c>
      <c r="O478" t="str">
        <f t="shared" si="38"/>
        <v>Oct</v>
      </c>
      <c r="P478">
        <f t="shared" si="39"/>
        <v>2022</v>
      </c>
    </row>
    <row r="479" spans="1:16" x14ac:dyDescent="0.2">
      <c r="A479" s="1">
        <v>44866</v>
      </c>
      <c r="B479" t="s">
        <v>29</v>
      </c>
      <c r="C479">
        <v>15</v>
      </c>
      <c r="D479" t="s">
        <v>100</v>
      </c>
      <c r="E479" t="s">
        <v>101</v>
      </c>
      <c r="F479" s="5">
        <v>0</v>
      </c>
      <c r="G479" t="str">
        <f>VLOOKUP($B479,PRODUCT_MASTER!$A:$F,MATCH('FINAL DATA'!G$1,PRODUCT_MASTER!$A$1:$F$1,0),0)</f>
        <v>Product12</v>
      </c>
      <c r="H479" t="str">
        <f>VLOOKUP($B479,PRODUCT_MASTER!$A:$F,MATCH('FINAL DATA'!H$1,PRODUCT_MASTER!$A$1:$F$1,0),0)</f>
        <v>Meat</v>
      </c>
      <c r="I479" t="str">
        <f>VLOOKUP($B479,PRODUCT_MASTER!$A:$F,MATCH('FINAL DATA'!I$1,PRODUCT_MASTER!$A$1:$F$1,0),0)</f>
        <v>Kg</v>
      </c>
      <c r="J479" s="7">
        <f>VLOOKUP($B479,PRODUCT_MASTER!$A:$F,MATCH('FINAL DATA'!J$1,PRODUCT_MASTER!$A$1:$F$1,0),0)</f>
        <v>73</v>
      </c>
      <c r="K479" s="7">
        <f>VLOOKUP($B479,PRODUCT_MASTER!$A:$F,MATCH('FINAL DATA'!K$1,PRODUCT_MASTER!$A$1:$F$1,0),0)</f>
        <v>94.17</v>
      </c>
      <c r="L479" s="7">
        <f t="shared" si="35"/>
        <v>1095</v>
      </c>
      <c r="M479" s="7">
        <f t="shared" si="36"/>
        <v>1412.55</v>
      </c>
      <c r="N479">
        <f t="shared" si="37"/>
        <v>1</v>
      </c>
      <c r="O479" t="str">
        <f t="shared" si="38"/>
        <v>Nov</v>
      </c>
      <c r="P479">
        <f t="shared" si="39"/>
        <v>2022</v>
      </c>
    </row>
    <row r="480" spans="1:16" x14ac:dyDescent="0.2">
      <c r="A480" s="1">
        <v>44867</v>
      </c>
      <c r="B480" t="s">
        <v>35</v>
      </c>
      <c r="C480">
        <v>15</v>
      </c>
      <c r="D480" t="s">
        <v>100</v>
      </c>
      <c r="E480" t="s">
        <v>102</v>
      </c>
      <c r="F480" s="5">
        <v>0</v>
      </c>
      <c r="G480" t="str">
        <f>VLOOKUP($B480,PRODUCT_MASTER!$A:$F,MATCH('FINAL DATA'!G$1,PRODUCT_MASTER!$A$1:$F$1,0),0)</f>
        <v>Product15</v>
      </c>
      <c r="H480" t="str">
        <f>VLOOKUP($B480,PRODUCT_MASTER!$A:$F,MATCH('FINAL DATA'!H$1,PRODUCT_MASTER!$A$1:$F$1,0),0)</f>
        <v>Meat</v>
      </c>
      <c r="I480" t="str">
        <f>VLOOKUP($B480,PRODUCT_MASTER!$A:$F,MATCH('FINAL DATA'!I$1,PRODUCT_MASTER!$A$1:$F$1,0),0)</f>
        <v>No.</v>
      </c>
      <c r="J480" s="7">
        <f>VLOOKUP($B480,PRODUCT_MASTER!$A:$F,MATCH('FINAL DATA'!J$1,PRODUCT_MASTER!$A$1:$F$1,0),0)</f>
        <v>12</v>
      </c>
      <c r="K480" s="7">
        <f>VLOOKUP($B480,PRODUCT_MASTER!$A:$F,MATCH('FINAL DATA'!K$1,PRODUCT_MASTER!$A$1:$F$1,0),0)</f>
        <v>15.719999999999999</v>
      </c>
      <c r="L480" s="7">
        <f t="shared" si="35"/>
        <v>180</v>
      </c>
      <c r="M480" s="7">
        <f t="shared" si="36"/>
        <v>235.79999999999998</v>
      </c>
      <c r="N480">
        <f t="shared" si="37"/>
        <v>2</v>
      </c>
      <c r="O480" t="str">
        <f t="shared" si="38"/>
        <v>Nov</v>
      </c>
      <c r="P480">
        <f t="shared" si="39"/>
        <v>2022</v>
      </c>
    </row>
    <row r="481" spans="1:16" x14ac:dyDescent="0.2">
      <c r="A481" s="1">
        <v>44867</v>
      </c>
      <c r="B481" t="s">
        <v>65</v>
      </c>
      <c r="C481">
        <v>15</v>
      </c>
      <c r="D481" t="s">
        <v>103</v>
      </c>
      <c r="E481" t="s">
        <v>102</v>
      </c>
      <c r="F481" s="5">
        <v>0</v>
      </c>
      <c r="G481" t="str">
        <f>VLOOKUP($B481,PRODUCT_MASTER!$A:$F,MATCH('FINAL DATA'!G$1,PRODUCT_MASTER!$A$1:$F$1,0),0)</f>
        <v>Product30</v>
      </c>
      <c r="H481" t="str">
        <f>VLOOKUP($B481,PRODUCT_MASTER!$A:$F,MATCH('FINAL DATA'!H$1,PRODUCT_MASTER!$A$1:$F$1,0),0)</f>
        <v>Cheese And Dairy</v>
      </c>
      <c r="I481" t="str">
        <f>VLOOKUP($B481,PRODUCT_MASTER!$A:$F,MATCH('FINAL DATA'!I$1,PRODUCT_MASTER!$A$1:$F$1,0),0)</f>
        <v>Ft</v>
      </c>
      <c r="J481" s="7">
        <f>VLOOKUP($B481,PRODUCT_MASTER!$A:$F,MATCH('FINAL DATA'!J$1,PRODUCT_MASTER!$A$1:$F$1,0),0)</f>
        <v>148</v>
      </c>
      <c r="K481" s="7">
        <f>VLOOKUP($B481,PRODUCT_MASTER!$A:$F,MATCH('FINAL DATA'!K$1,PRODUCT_MASTER!$A$1:$F$1,0),0)</f>
        <v>201.28</v>
      </c>
      <c r="L481" s="7">
        <f t="shared" si="35"/>
        <v>2220</v>
      </c>
      <c r="M481" s="7">
        <f t="shared" si="36"/>
        <v>3019.2</v>
      </c>
      <c r="N481">
        <f t="shared" si="37"/>
        <v>2</v>
      </c>
      <c r="O481" t="str">
        <f t="shared" si="38"/>
        <v>Nov</v>
      </c>
      <c r="P481">
        <f t="shared" si="39"/>
        <v>2022</v>
      </c>
    </row>
    <row r="482" spans="1:16" x14ac:dyDescent="0.2">
      <c r="A482" s="1">
        <v>44867</v>
      </c>
      <c r="B482" t="s">
        <v>75</v>
      </c>
      <c r="C482">
        <v>5</v>
      </c>
      <c r="D482" t="s">
        <v>103</v>
      </c>
      <c r="E482" t="s">
        <v>102</v>
      </c>
      <c r="F482" s="5">
        <v>0</v>
      </c>
      <c r="G482" t="str">
        <f>VLOOKUP($B482,PRODUCT_MASTER!$A:$F,MATCH('FINAL DATA'!G$1,PRODUCT_MASTER!$A$1:$F$1,0),0)</f>
        <v>Product35</v>
      </c>
      <c r="H482" t="str">
        <f>VLOOKUP($B482,PRODUCT_MASTER!$A:$F,MATCH('FINAL DATA'!H$1,PRODUCT_MASTER!$A$1:$F$1,0),0)</f>
        <v>Bakery And Desserts</v>
      </c>
      <c r="I482" t="str">
        <f>VLOOKUP($B482,PRODUCT_MASTER!$A:$F,MATCH('FINAL DATA'!I$1,PRODUCT_MASTER!$A$1:$F$1,0),0)</f>
        <v>No.</v>
      </c>
      <c r="J482" s="7">
        <f>VLOOKUP($B482,PRODUCT_MASTER!$A:$F,MATCH('FINAL DATA'!J$1,PRODUCT_MASTER!$A$1:$F$1,0),0)</f>
        <v>5</v>
      </c>
      <c r="K482" s="7">
        <f>VLOOKUP($B482,PRODUCT_MASTER!$A:$F,MATCH('FINAL DATA'!K$1,PRODUCT_MASTER!$A$1:$F$1,0),0)</f>
        <v>6.7</v>
      </c>
      <c r="L482" s="7">
        <f t="shared" si="35"/>
        <v>25</v>
      </c>
      <c r="M482" s="7">
        <f t="shared" si="36"/>
        <v>33.5</v>
      </c>
      <c r="N482">
        <f t="shared" si="37"/>
        <v>2</v>
      </c>
      <c r="O482" t="str">
        <f t="shared" si="38"/>
        <v>Nov</v>
      </c>
      <c r="P482">
        <f t="shared" si="39"/>
        <v>2022</v>
      </c>
    </row>
    <row r="483" spans="1:16" x14ac:dyDescent="0.2">
      <c r="A483" s="1">
        <v>44868</v>
      </c>
      <c r="B483" t="s">
        <v>45</v>
      </c>
      <c r="C483">
        <v>11</v>
      </c>
      <c r="D483" t="s">
        <v>101</v>
      </c>
      <c r="E483" t="s">
        <v>101</v>
      </c>
      <c r="F483" s="5">
        <v>0</v>
      </c>
      <c r="G483" t="str">
        <f>VLOOKUP($B483,PRODUCT_MASTER!$A:$F,MATCH('FINAL DATA'!G$1,PRODUCT_MASTER!$A$1:$F$1,0),0)</f>
        <v>Product20</v>
      </c>
      <c r="H483" t="str">
        <f>VLOOKUP($B483,PRODUCT_MASTER!$A:$F,MATCH('FINAL DATA'!H$1,PRODUCT_MASTER!$A$1:$F$1,0),0)</f>
        <v>Poultry</v>
      </c>
      <c r="I483" t="str">
        <f>VLOOKUP($B483,PRODUCT_MASTER!$A:$F,MATCH('FINAL DATA'!I$1,PRODUCT_MASTER!$A$1:$F$1,0),0)</f>
        <v>Lt</v>
      </c>
      <c r="J483" s="7">
        <f>VLOOKUP($B483,PRODUCT_MASTER!$A:$F,MATCH('FINAL DATA'!J$1,PRODUCT_MASTER!$A$1:$F$1,0),0)</f>
        <v>61</v>
      </c>
      <c r="K483" s="7">
        <f>VLOOKUP($B483,PRODUCT_MASTER!$A:$F,MATCH('FINAL DATA'!K$1,PRODUCT_MASTER!$A$1:$F$1,0),0)</f>
        <v>76.25</v>
      </c>
      <c r="L483" s="7">
        <f t="shared" si="35"/>
        <v>671</v>
      </c>
      <c r="M483" s="7">
        <f t="shared" si="36"/>
        <v>838.75</v>
      </c>
      <c r="N483">
        <f t="shared" si="37"/>
        <v>3</v>
      </c>
      <c r="O483" t="str">
        <f t="shared" si="38"/>
        <v>Nov</v>
      </c>
      <c r="P483">
        <f t="shared" si="39"/>
        <v>2022</v>
      </c>
    </row>
    <row r="484" spans="1:16" x14ac:dyDescent="0.2">
      <c r="A484" s="1">
        <v>44869</v>
      </c>
      <c r="B484" t="s">
        <v>21</v>
      </c>
      <c r="C484">
        <v>10</v>
      </c>
      <c r="D484" t="s">
        <v>103</v>
      </c>
      <c r="E484" t="s">
        <v>101</v>
      </c>
      <c r="F484" s="5">
        <v>0</v>
      </c>
      <c r="G484" t="str">
        <f>VLOOKUP($B484,PRODUCT_MASTER!$A:$F,MATCH('FINAL DATA'!G$1,PRODUCT_MASTER!$A$1:$F$1,0),0)</f>
        <v>Product08</v>
      </c>
      <c r="H484" t="str">
        <f>VLOOKUP($B484,PRODUCT_MASTER!$A:$F,MATCH('FINAL DATA'!H$1,PRODUCT_MASTER!$A$1:$F$1,0),0)</f>
        <v>Gourmet Foods</v>
      </c>
      <c r="I484" t="str">
        <f>VLOOKUP($B484,PRODUCT_MASTER!$A:$F,MATCH('FINAL DATA'!I$1,PRODUCT_MASTER!$A$1:$F$1,0),0)</f>
        <v>Kg</v>
      </c>
      <c r="J484" s="7">
        <f>VLOOKUP($B484,PRODUCT_MASTER!$A:$F,MATCH('FINAL DATA'!J$1,PRODUCT_MASTER!$A$1:$F$1,0),0)</f>
        <v>83</v>
      </c>
      <c r="K484" s="7">
        <f>VLOOKUP($B484,PRODUCT_MASTER!$A:$F,MATCH('FINAL DATA'!K$1,PRODUCT_MASTER!$A$1:$F$1,0),0)</f>
        <v>94.62</v>
      </c>
      <c r="L484" s="7">
        <f t="shared" si="35"/>
        <v>830</v>
      </c>
      <c r="M484" s="7">
        <f t="shared" si="36"/>
        <v>946.2</v>
      </c>
      <c r="N484">
        <f t="shared" si="37"/>
        <v>4</v>
      </c>
      <c r="O484" t="str">
        <f t="shared" si="38"/>
        <v>Nov</v>
      </c>
      <c r="P484">
        <f t="shared" si="39"/>
        <v>2022</v>
      </c>
    </row>
    <row r="485" spans="1:16" x14ac:dyDescent="0.2">
      <c r="A485" s="1">
        <v>44870</v>
      </c>
      <c r="B485" t="s">
        <v>43</v>
      </c>
      <c r="C485">
        <v>15</v>
      </c>
      <c r="D485" t="s">
        <v>103</v>
      </c>
      <c r="E485" t="s">
        <v>102</v>
      </c>
      <c r="F485" s="5">
        <v>0</v>
      </c>
      <c r="G485" t="str">
        <f>VLOOKUP($B485,PRODUCT_MASTER!$A:$F,MATCH('FINAL DATA'!G$1,PRODUCT_MASTER!$A$1:$F$1,0),0)</f>
        <v>Product19</v>
      </c>
      <c r="H485" t="str">
        <f>VLOOKUP($B485,PRODUCT_MASTER!$A:$F,MATCH('FINAL DATA'!H$1,PRODUCT_MASTER!$A$1:$F$1,0),0)</f>
        <v>Poultry</v>
      </c>
      <c r="I485" t="str">
        <f>VLOOKUP($B485,PRODUCT_MASTER!$A:$F,MATCH('FINAL DATA'!I$1,PRODUCT_MASTER!$A$1:$F$1,0),0)</f>
        <v>Ft</v>
      </c>
      <c r="J485" s="7">
        <f>VLOOKUP($B485,PRODUCT_MASTER!$A:$F,MATCH('FINAL DATA'!J$1,PRODUCT_MASTER!$A$1:$F$1,0),0)</f>
        <v>150</v>
      </c>
      <c r="K485" s="7">
        <f>VLOOKUP($B485,PRODUCT_MASTER!$A:$F,MATCH('FINAL DATA'!K$1,PRODUCT_MASTER!$A$1:$F$1,0),0)</f>
        <v>210</v>
      </c>
      <c r="L485" s="7">
        <f t="shared" si="35"/>
        <v>2250</v>
      </c>
      <c r="M485" s="7">
        <f t="shared" si="36"/>
        <v>3150</v>
      </c>
      <c r="N485">
        <f t="shared" si="37"/>
        <v>5</v>
      </c>
      <c r="O485" t="str">
        <f t="shared" si="38"/>
        <v>Nov</v>
      </c>
      <c r="P485">
        <f t="shared" si="39"/>
        <v>2022</v>
      </c>
    </row>
    <row r="486" spans="1:16" x14ac:dyDescent="0.2">
      <c r="A486" s="1">
        <v>44871</v>
      </c>
      <c r="B486" t="s">
        <v>91</v>
      </c>
      <c r="C486">
        <v>13</v>
      </c>
      <c r="D486" t="s">
        <v>103</v>
      </c>
      <c r="E486" t="s">
        <v>102</v>
      </c>
      <c r="F486" s="5">
        <v>0</v>
      </c>
      <c r="G486" t="str">
        <f>VLOOKUP($B486,PRODUCT_MASTER!$A:$F,MATCH('FINAL DATA'!G$1,PRODUCT_MASTER!$A$1:$F$1,0),0)</f>
        <v>Product43</v>
      </c>
      <c r="H486" t="str">
        <f>VLOOKUP($B486,PRODUCT_MASTER!$A:$F,MATCH('FINAL DATA'!H$1,PRODUCT_MASTER!$A$1:$F$1,0),0)</f>
        <v>Candy</v>
      </c>
      <c r="I486" t="str">
        <f>VLOOKUP($B486,PRODUCT_MASTER!$A:$F,MATCH('FINAL DATA'!I$1,PRODUCT_MASTER!$A$1:$F$1,0),0)</f>
        <v>Kg</v>
      </c>
      <c r="J486" s="7">
        <f>VLOOKUP($B486,PRODUCT_MASTER!$A:$F,MATCH('FINAL DATA'!J$1,PRODUCT_MASTER!$A$1:$F$1,0),0)</f>
        <v>67</v>
      </c>
      <c r="K486" s="7">
        <f>VLOOKUP($B486,PRODUCT_MASTER!$A:$F,MATCH('FINAL DATA'!K$1,PRODUCT_MASTER!$A$1:$F$1,0),0)</f>
        <v>83.08</v>
      </c>
      <c r="L486" s="7">
        <f t="shared" si="35"/>
        <v>871</v>
      </c>
      <c r="M486" s="7">
        <f t="shared" si="36"/>
        <v>1080.04</v>
      </c>
      <c r="N486">
        <f t="shared" si="37"/>
        <v>6</v>
      </c>
      <c r="O486" t="str">
        <f t="shared" si="38"/>
        <v>Nov</v>
      </c>
      <c r="P486">
        <f t="shared" si="39"/>
        <v>2022</v>
      </c>
    </row>
    <row r="487" spans="1:16" x14ac:dyDescent="0.2">
      <c r="A487" s="1">
        <v>44871</v>
      </c>
      <c r="B487" t="s">
        <v>35</v>
      </c>
      <c r="C487">
        <v>13</v>
      </c>
      <c r="D487" t="s">
        <v>101</v>
      </c>
      <c r="E487" t="s">
        <v>101</v>
      </c>
      <c r="F487" s="5">
        <v>0</v>
      </c>
      <c r="G487" t="str">
        <f>VLOOKUP($B487,PRODUCT_MASTER!$A:$F,MATCH('FINAL DATA'!G$1,PRODUCT_MASTER!$A$1:$F$1,0),0)</f>
        <v>Product15</v>
      </c>
      <c r="H487" t="str">
        <f>VLOOKUP($B487,PRODUCT_MASTER!$A:$F,MATCH('FINAL DATA'!H$1,PRODUCT_MASTER!$A$1:$F$1,0),0)</f>
        <v>Meat</v>
      </c>
      <c r="I487" t="str">
        <f>VLOOKUP($B487,PRODUCT_MASTER!$A:$F,MATCH('FINAL DATA'!I$1,PRODUCT_MASTER!$A$1:$F$1,0),0)</f>
        <v>No.</v>
      </c>
      <c r="J487" s="7">
        <f>VLOOKUP($B487,PRODUCT_MASTER!$A:$F,MATCH('FINAL DATA'!J$1,PRODUCT_MASTER!$A$1:$F$1,0),0)</f>
        <v>12</v>
      </c>
      <c r="K487" s="7">
        <f>VLOOKUP($B487,PRODUCT_MASTER!$A:$F,MATCH('FINAL DATA'!K$1,PRODUCT_MASTER!$A$1:$F$1,0),0)</f>
        <v>15.719999999999999</v>
      </c>
      <c r="L487" s="7">
        <f t="shared" si="35"/>
        <v>156</v>
      </c>
      <c r="M487" s="7">
        <f t="shared" si="36"/>
        <v>204.35999999999999</v>
      </c>
      <c r="N487">
        <f t="shared" si="37"/>
        <v>6</v>
      </c>
      <c r="O487" t="str">
        <f t="shared" si="38"/>
        <v>Nov</v>
      </c>
      <c r="P487">
        <f t="shared" si="39"/>
        <v>2022</v>
      </c>
    </row>
    <row r="488" spans="1:16" x14ac:dyDescent="0.2">
      <c r="A488" s="1">
        <v>44871</v>
      </c>
      <c r="B488" t="s">
        <v>89</v>
      </c>
      <c r="C488">
        <v>13</v>
      </c>
      <c r="D488" t="s">
        <v>103</v>
      </c>
      <c r="E488" t="s">
        <v>102</v>
      </c>
      <c r="F488" s="5">
        <v>0</v>
      </c>
      <c r="G488" t="str">
        <f>VLOOKUP($B488,PRODUCT_MASTER!$A:$F,MATCH('FINAL DATA'!G$1,PRODUCT_MASTER!$A$1:$F$1,0),0)</f>
        <v>Product42</v>
      </c>
      <c r="H488" t="str">
        <f>VLOOKUP($B488,PRODUCT_MASTER!$A:$F,MATCH('FINAL DATA'!H$1,PRODUCT_MASTER!$A$1:$F$1,0),0)</f>
        <v>Candy</v>
      </c>
      <c r="I488" t="str">
        <f>VLOOKUP($B488,PRODUCT_MASTER!$A:$F,MATCH('FINAL DATA'!I$1,PRODUCT_MASTER!$A$1:$F$1,0),0)</f>
        <v>Ft</v>
      </c>
      <c r="J488" s="7">
        <f>VLOOKUP($B488,PRODUCT_MASTER!$A:$F,MATCH('FINAL DATA'!J$1,PRODUCT_MASTER!$A$1:$F$1,0),0)</f>
        <v>120</v>
      </c>
      <c r="K488" s="7">
        <f>VLOOKUP($B488,PRODUCT_MASTER!$A:$F,MATCH('FINAL DATA'!K$1,PRODUCT_MASTER!$A$1:$F$1,0),0)</f>
        <v>162</v>
      </c>
      <c r="L488" s="7">
        <f t="shared" si="35"/>
        <v>1560</v>
      </c>
      <c r="M488" s="7">
        <f t="shared" si="36"/>
        <v>2106</v>
      </c>
      <c r="N488">
        <f t="shared" si="37"/>
        <v>6</v>
      </c>
      <c r="O488" t="str">
        <f t="shared" si="38"/>
        <v>Nov</v>
      </c>
      <c r="P488">
        <f t="shared" si="39"/>
        <v>2022</v>
      </c>
    </row>
    <row r="489" spans="1:16" x14ac:dyDescent="0.2">
      <c r="A489" s="1">
        <v>44872</v>
      </c>
      <c r="B489" t="s">
        <v>85</v>
      </c>
      <c r="C489">
        <v>13</v>
      </c>
      <c r="D489" t="s">
        <v>101</v>
      </c>
      <c r="E489" t="s">
        <v>102</v>
      </c>
      <c r="F489" s="5">
        <v>0</v>
      </c>
      <c r="G489" t="str">
        <f>VLOOKUP($B489,PRODUCT_MASTER!$A:$F,MATCH('FINAL DATA'!G$1,PRODUCT_MASTER!$A$1:$F$1,0),0)</f>
        <v>Product40</v>
      </c>
      <c r="H489" t="str">
        <f>VLOOKUP($B489,PRODUCT_MASTER!$A:$F,MATCH('FINAL DATA'!H$1,PRODUCT_MASTER!$A$1:$F$1,0),0)</f>
        <v>Snacks</v>
      </c>
      <c r="I489" t="str">
        <f>VLOOKUP($B489,PRODUCT_MASTER!$A:$F,MATCH('FINAL DATA'!I$1,PRODUCT_MASTER!$A$1:$F$1,0),0)</f>
        <v>Kg</v>
      </c>
      <c r="J489" s="7">
        <f>VLOOKUP($B489,PRODUCT_MASTER!$A:$F,MATCH('FINAL DATA'!J$1,PRODUCT_MASTER!$A$1:$F$1,0),0)</f>
        <v>90</v>
      </c>
      <c r="K489" s="7">
        <f>VLOOKUP($B489,PRODUCT_MASTER!$A:$F,MATCH('FINAL DATA'!K$1,PRODUCT_MASTER!$A$1:$F$1,0),0)</f>
        <v>115.2</v>
      </c>
      <c r="L489" s="7">
        <f t="shared" si="35"/>
        <v>1170</v>
      </c>
      <c r="M489" s="7">
        <f t="shared" si="36"/>
        <v>1497.6000000000001</v>
      </c>
      <c r="N489">
        <f t="shared" si="37"/>
        <v>7</v>
      </c>
      <c r="O489" t="str">
        <f t="shared" si="38"/>
        <v>Nov</v>
      </c>
      <c r="P489">
        <f t="shared" si="39"/>
        <v>2022</v>
      </c>
    </row>
    <row r="490" spans="1:16" x14ac:dyDescent="0.2">
      <c r="A490" s="1">
        <v>44873</v>
      </c>
      <c r="B490" t="s">
        <v>77</v>
      </c>
      <c r="C490">
        <v>11</v>
      </c>
      <c r="D490" t="s">
        <v>100</v>
      </c>
      <c r="E490" t="s">
        <v>102</v>
      </c>
      <c r="F490" s="5">
        <v>0</v>
      </c>
      <c r="G490" t="str">
        <f>VLOOKUP($B490,PRODUCT_MASTER!$A:$F,MATCH('FINAL DATA'!G$1,PRODUCT_MASTER!$A$1:$F$1,0),0)</f>
        <v>Product36</v>
      </c>
      <c r="H490" t="str">
        <f>VLOOKUP($B490,PRODUCT_MASTER!$A:$F,MATCH('FINAL DATA'!H$1,PRODUCT_MASTER!$A$1:$F$1,0),0)</f>
        <v>Bakery And Desserts</v>
      </c>
      <c r="I490" t="str">
        <f>VLOOKUP($B490,PRODUCT_MASTER!$A:$F,MATCH('FINAL DATA'!I$1,PRODUCT_MASTER!$A$1:$F$1,0),0)</f>
        <v>Kg</v>
      </c>
      <c r="J490" s="7">
        <f>VLOOKUP($B490,PRODUCT_MASTER!$A:$F,MATCH('FINAL DATA'!J$1,PRODUCT_MASTER!$A$1:$F$1,0),0)</f>
        <v>90</v>
      </c>
      <c r="K490" s="7">
        <f>VLOOKUP($B490,PRODUCT_MASTER!$A:$F,MATCH('FINAL DATA'!K$1,PRODUCT_MASTER!$A$1:$F$1,0),0)</f>
        <v>96.3</v>
      </c>
      <c r="L490" s="7">
        <f t="shared" si="35"/>
        <v>990</v>
      </c>
      <c r="M490" s="7">
        <f t="shared" si="36"/>
        <v>1059.3</v>
      </c>
      <c r="N490">
        <f t="shared" si="37"/>
        <v>8</v>
      </c>
      <c r="O490" t="str">
        <f t="shared" si="38"/>
        <v>Nov</v>
      </c>
      <c r="P490">
        <f t="shared" si="39"/>
        <v>2022</v>
      </c>
    </row>
    <row r="491" spans="1:16" x14ac:dyDescent="0.2">
      <c r="A491" s="1">
        <v>44873</v>
      </c>
      <c r="B491" t="s">
        <v>43</v>
      </c>
      <c r="C491">
        <v>10</v>
      </c>
      <c r="D491" t="s">
        <v>100</v>
      </c>
      <c r="E491" t="s">
        <v>101</v>
      </c>
      <c r="F491" s="5">
        <v>0</v>
      </c>
      <c r="G491" t="str">
        <f>VLOOKUP($B491,PRODUCT_MASTER!$A:$F,MATCH('FINAL DATA'!G$1,PRODUCT_MASTER!$A$1:$F$1,0),0)</f>
        <v>Product19</v>
      </c>
      <c r="H491" t="str">
        <f>VLOOKUP($B491,PRODUCT_MASTER!$A:$F,MATCH('FINAL DATA'!H$1,PRODUCT_MASTER!$A$1:$F$1,0),0)</f>
        <v>Poultry</v>
      </c>
      <c r="I491" t="str">
        <f>VLOOKUP($B491,PRODUCT_MASTER!$A:$F,MATCH('FINAL DATA'!I$1,PRODUCT_MASTER!$A$1:$F$1,0),0)</f>
        <v>Ft</v>
      </c>
      <c r="J491" s="7">
        <f>VLOOKUP($B491,PRODUCT_MASTER!$A:$F,MATCH('FINAL DATA'!J$1,PRODUCT_MASTER!$A$1:$F$1,0),0)</f>
        <v>150</v>
      </c>
      <c r="K491" s="7">
        <f>VLOOKUP($B491,PRODUCT_MASTER!$A:$F,MATCH('FINAL DATA'!K$1,PRODUCT_MASTER!$A$1:$F$1,0),0)</f>
        <v>210</v>
      </c>
      <c r="L491" s="7">
        <f t="shared" si="35"/>
        <v>1500</v>
      </c>
      <c r="M491" s="7">
        <f t="shared" si="36"/>
        <v>2100</v>
      </c>
      <c r="N491">
        <f t="shared" si="37"/>
        <v>8</v>
      </c>
      <c r="O491" t="str">
        <f t="shared" si="38"/>
        <v>Nov</v>
      </c>
      <c r="P491">
        <f t="shared" si="39"/>
        <v>2022</v>
      </c>
    </row>
    <row r="492" spans="1:16" x14ac:dyDescent="0.2">
      <c r="A492" s="1">
        <v>44874</v>
      </c>
      <c r="B492" t="s">
        <v>59</v>
      </c>
      <c r="C492">
        <v>8</v>
      </c>
      <c r="D492" t="s">
        <v>101</v>
      </c>
      <c r="E492" t="s">
        <v>102</v>
      </c>
      <c r="F492" s="5">
        <v>0</v>
      </c>
      <c r="G492" t="str">
        <f>VLOOKUP($B492,PRODUCT_MASTER!$A:$F,MATCH('FINAL DATA'!G$1,PRODUCT_MASTER!$A$1:$F$1,0),0)</f>
        <v>Product27</v>
      </c>
      <c r="H492" t="str">
        <f>VLOOKUP($B492,PRODUCT_MASTER!$A:$F,MATCH('FINAL DATA'!H$1,PRODUCT_MASTER!$A$1:$F$1,0),0)</f>
        <v>Cheese And Dairy</v>
      </c>
      <c r="I492" t="str">
        <f>VLOOKUP($B492,PRODUCT_MASTER!$A:$F,MATCH('FINAL DATA'!I$1,PRODUCT_MASTER!$A$1:$F$1,0),0)</f>
        <v>Lt</v>
      </c>
      <c r="J492" s="7">
        <f>VLOOKUP($B492,PRODUCT_MASTER!$A:$F,MATCH('FINAL DATA'!J$1,PRODUCT_MASTER!$A$1:$F$1,0),0)</f>
        <v>48</v>
      </c>
      <c r="K492" s="7">
        <f>VLOOKUP($B492,PRODUCT_MASTER!$A:$F,MATCH('FINAL DATA'!K$1,PRODUCT_MASTER!$A$1:$F$1,0),0)</f>
        <v>57.120000000000005</v>
      </c>
      <c r="L492" s="7">
        <f t="shared" si="35"/>
        <v>384</v>
      </c>
      <c r="M492" s="7">
        <f t="shared" si="36"/>
        <v>456.96000000000004</v>
      </c>
      <c r="N492">
        <f t="shared" si="37"/>
        <v>9</v>
      </c>
      <c r="O492" t="str">
        <f t="shared" si="38"/>
        <v>Nov</v>
      </c>
      <c r="P492">
        <f t="shared" si="39"/>
        <v>2022</v>
      </c>
    </row>
    <row r="493" spans="1:16" x14ac:dyDescent="0.2">
      <c r="A493" s="1">
        <v>44875</v>
      </c>
      <c r="B493" t="s">
        <v>41</v>
      </c>
      <c r="C493">
        <v>7</v>
      </c>
      <c r="D493" t="s">
        <v>103</v>
      </c>
      <c r="E493" t="s">
        <v>101</v>
      </c>
      <c r="F493" s="5">
        <v>0</v>
      </c>
      <c r="G493" t="str">
        <f>VLOOKUP($B493,PRODUCT_MASTER!$A:$F,MATCH('FINAL DATA'!G$1,PRODUCT_MASTER!$A$1:$F$1,0),0)</f>
        <v>Product18</v>
      </c>
      <c r="H493" t="str">
        <f>VLOOKUP($B493,PRODUCT_MASTER!$A:$F,MATCH('FINAL DATA'!H$1,PRODUCT_MASTER!$A$1:$F$1,0),0)</f>
        <v>Poultry</v>
      </c>
      <c r="I493" t="str">
        <f>VLOOKUP($B493,PRODUCT_MASTER!$A:$F,MATCH('FINAL DATA'!I$1,PRODUCT_MASTER!$A$1:$F$1,0),0)</f>
        <v>No.</v>
      </c>
      <c r="J493" s="7">
        <f>VLOOKUP($B493,PRODUCT_MASTER!$A:$F,MATCH('FINAL DATA'!J$1,PRODUCT_MASTER!$A$1:$F$1,0),0)</f>
        <v>37</v>
      </c>
      <c r="K493" s="7">
        <f>VLOOKUP($B493,PRODUCT_MASTER!$A:$F,MATCH('FINAL DATA'!K$1,PRODUCT_MASTER!$A$1:$F$1,0),0)</f>
        <v>49.21</v>
      </c>
      <c r="L493" s="7">
        <f t="shared" si="35"/>
        <v>259</v>
      </c>
      <c r="M493" s="7">
        <f t="shared" si="36"/>
        <v>344.47</v>
      </c>
      <c r="N493">
        <f t="shared" si="37"/>
        <v>10</v>
      </c>
      <c r="O493" t="str">
        <f t="shared" si="38"/>
        <v>Nov</v>
      </c>
      <c r="P493">
        <f t="shared" si="39"/>
        <v>2022</v>
      </c>
    </row>
    <row r="494" spans="1:16" x14ac:dyDescent="0.2">
      <c r="A494" s="1">
        <v>44878</v>
      </c>
      <c r="B494" t="s">
        <v>59</v>
      </c>
      <c r="C494">
        <v>10</v>
      </c>
      <c r="D494" t="s">
        <v>100</v>
      </c>
      <c r="E494" t="s">
        <v>102</v>
      </c>
      <c r="F494" s="5">
        <v>0</v>
      </c>
      <c r="G494" t="str">
        <f>VLOOKUP($B494,PRODUCT_MASTER!$A:$F,MATCH('FINAL DATA'!G$1,PRODUCT_MASTER!$A$1:$F$1,0),0)</f>
        <v>Product27</v>
      </c>
      <c r="H494" t="str">
        <f>VLOOKUP($B494,PRODUCT_MASTER!$A:$F,MATCH('FINAL DATA'!H$1,PRODUCT_MASTER!$A$1:$F$1,0),0)</f>
        <v>Cheese And Dairy</v>
      </c>
      <c r="I494" t="str">
        <f>VLOOKUP($B494,PRODUCT_MASTER!$A:$F,MATCH('FINAL DATA'!I$1,PRODUCT_MASTER!$A$1:$F$1,0),0)</f>
        <v>Lt</v>
      </c>
      <c r="J494" s="7">
        <f>VLOOKUP($B494,PRODUCT_MASTER!$A:$F,MATCH('FINAL DATA'!J$1,PRODUCT_MASTER!$A$1:$F$1,0),0)</f>
        <v>48</v>
      </c>
      <c r="K494" s="7">
        <f>VLOOKUP($B494,PRODUCT_MASTER!$A:$F,MATCH('FINAL DATA'!K$1,PRODUCT_MASTER!$A$1:$F$1,0),0)</f>
        <v>57.120000000000005</v>
      </c>
      <c r="L494" s="7">
        <f t="shared" si="35"/>
        <v>480</v>
      </c>
      <c r="M494" s="7">
        <f t="shared" si="36"/>
        <v>571.20000000000005</v>
      </c>
      <c r="N494">
        <f t="shared" si="37"/>
        <v>13</v>
      </c>
      <c r="O494" t="str">
        <f t="shared" si="38"/>
        <v>Nov</v>
      </c>
      <c r="P494">
        <f t="shared" si="39"/>
        <v>2022</v>
      </c>
    </row>
    <row r="495" spans="1:16" x14ac:dyDescent="0.2">
      <c r="A495" s="1">
        <v>44879</v>
      </c>
      <c r="B495" t="s">
        <v>9</v>
      </c>
      <c r="C495">
        <v>1</v>
      </c>
      <c r="D495" t="s">
        <v>103</v>
      </c>
      <c r="E495" t="s">
        <v>102</v>
      </c>
      <c r="F495" s="5">
        <v>0</v>
      </c>
      <c r="G495" t="str">
        <f>VLOOKUP($B495,PRODUCT_MASTER!$A:$F,MATCH('FINAL DATA'!G$1,PRODUCT_MASTER!$A$1:$F$1,0),0)</f>
        <v>Product02</v>
      </c>
      <c r="H495" t="str">
        <f>VLOOKUP($B495,PRODUCT_MASTER!$A:$F,MATCH('FINAL DATA'!H$1,PRODUCT_MASTER!$A$1:$F$1,0),0)</f>
        <v>Organic</v>
      </c>
      <c r="I495" t="str">
        <f>VLOOKUP($B495,PRODUCT_MASTER!$A:$F,MATCH('FINAL DATA'!I$1,PRODUCT_MASTER!$A$1:$F$1,0),0)</f>
        <v>Kg</v>
      </c>
      <c r="J495" s="7">
        <f>VLOOKUP($B495,PRODUCT_MASTER!$A:$F,MATCH('FINAL DATA'!J$1,PRODUCT_MASTER!$A$1:$F$1,0),0)</f>
        <v>105</v>
      </c>
      <c r="K495" s="7">
        <f>VLOOKUP($B495,PRODUCT_MASTER!$A:$F,MATCH('FINAL DATA'!K$1,PRODUCT_MASTER!$A$1:$F$1,0),0)</f>
        <v>142.80000000000001</v>
      </c>
      <c r="L495" s="7">
        <f t="shared" si="35"/>
        <v>105</v>
      </c>
      <c r="M495" s="7">
        <f t="shared" si="36"/>
        <v>142.80000000000001</v>
      </c>
      <c r="N495">
        <f t="shared" si="37"/>
        <v>14</v>
      </c>
      <c r="O495" t="str">
        <f t="shared" si="38"/>
        <v>Nov</v>
      </c>
      <c r="P495">
        <f t="shared" si="39"/>
        <v>2022</v>
      </c>
    </row>
    <row r="496" spans="1:16" x14ac:dyDescent="0.2">
      <c r="A496" s="1">
        <v>44880</v>
      </c>
      <c r="B496" t="s">
        <v>29</v>
      </c>
      <c r="C496">
        <v>14</v>
      </c>
      <c r="D496" t="s">
        <v>103</v>
      </c>
      <c r="E496" t="s">
        <v>102</v>
      </c>
      <c r="F496" s="5">
        <v>0</v>
      </c>
      <c r="G496" t="str">
        <f>VLOOKUP($B496,PRODUCT_MASTER!$A:$F,MATCH('FINAL DATA'!G$1,PRODUCT_MASTER!$A$1:$F$1,0),0)</f>
        <v>Product12</v>
      </c>
      <c r="H496" t="str">
        <f>VLOOKUP($B496,PRODUCT_MASTER!$A:$F,MATCH('FINAL DATA'!H$1,PRODUCT_MASTER!$A$1:$F$1,0),0)</f>
        <v>Meat</v>
      </c>
      <c r="I496" t="str">
        <f>VLOOKUP($B496,PRODUCT_MASTER!$A:$F,MATCH('FINAL DATA'!I$1,PRODUCT_MASTER!$A$1:$F$1,0),0)</f>
        <v>Kg</v>
      </c>
      <c r="J496" s="7">
        <f>VLOOKUP($B496,PRODUCT_MASTER!$A:$F,MATCH('FINAL DATA'!J$1,PRODUCT_MASTER!$A$1:$F$1,0),0)</f>
        <v>73</v>
      </c>
      <c r="K496" s="7">
        <f>VLOOKUP($B496,PRODUCT_MASTER!$A:$F,MATCH('FINAL DATA'!K$1,PRODUCT_MASTER!$A$1:$F$1,0),0)</f>
        <v>94.17</v>
      </c>
      <c r="L496" s="7">
        <f t="shared" si="35"/>
        <v>1022</v>
      </c>
      <c r="M496" s="7">
        <f t="shared" si="36"/>
        <v>1318.38</v>
      </c>
      <c r="N496">
        <f t="shared" si="37"/>
        <v>15</v>
      </c>
      <c r="O496" t="str">
        <f t="shared" si="38"/>
        <v>Nov</v>
      </c>
      <c r="P496">
        <f t="shared" si="39"/>
        <v>2022</v>
      </c>
    </row>
    <row r="497" spans="1:16" x14ac:dyDescent="0.2">
      <c r="A497" s="1">
        <v>44881</v>
      </c>
      <c r="B497" t="s">
        <v>39</v>
      </c>
      <c r="C497">
        <v>8</v>
      </c>
      <c r="D497" t="s">
        <v>101</v>
      </c>
      <c r="E497" t="s">
        <v>101</v>
      </c>
      <c r="F497" s="5">
        <v>0</v>
      </c>
      <c r="G497" t="str">
        <f>VLOOKUP($B497,PRODUCT_MASTER!$A:$F,MATCH('FINAL DATA'!G$1,PRODUCT_MASTER!$A$1:$F$1,0),0)</f>
        <v>Product17</v>
      </c>
      <c r="H497" t="str">
        <f>VLOOKUP($B497,PRODUCT_MASTER!$A:$F,MATCH('FINAL DATA'!H$1,PRODUCT_MASTER!$A$1:$F$1,0),0)</f>
        <v>Poultry</v>
      </c>
      <c r="I497" t="str">
        <f>VLOOKUP($B497,PRODUCT_MASTER!$A:$F,MATCH('FINAL DATA'!I$1,PRODUCT_MASTER!$A$1:$F$1,0),0)</f>
        <v>Ft</v>
      </c>
      <c r="J497" s="7">
        <f>VLOOKUP($B497,PRODUCT_MASTER!$A:$F,MATCH('FINAL DATA'!J$1,PRODUCT_MASTER!$A$1:$F$1,0),0)</f>
        <v>134</v>
      </c>
      <c r="K497" s="7">
        <f>VLOOKUP($B497,PRODUCT_MASTER!$A:$F,MATCH('FINAL DATA'!K$1,PRODUCT_MASTER!$A$1:$F$1,0),0)</f>
        <v>156.78</v>
      </c>
      <c r="L497" s="7">
        <f t="shared" si="35"/>
        <v>1072</v>
      </c>
      <c r="M497" s="7">
        <f t="shared" si="36"/>
        <v>1254.24</v>
      </c>
      <c r="N497">
        <f t="shared" si="37"/>
        <v>16</v>
      </c>
      <c r="O497" t="str">
        <f t="shared" si="38"/>
        <v>Nov</v>
      </c>
      <c r="P497">
        <f t="shared" si="39"/>
        <v>2022</v>
      </c>
    </row>
    <row r="498" spans="1:16" x14ac:dyDescent="0.2">
      <c r="A498" s="1">
        <v>44883</v>
      </c>
      <c r="B498" t="s">
        <v>73</v>
      </c>
      <c r="C498">
        <v>8</v>
      </c>
      <c r="D498" t="s">
        <v>103</v>
      </c>
      <c r="E498" t="s">
        <v>102</v>
      </c>
      <c r="F498" s="5">
        <v>0</v>
      </c>
      <c r="G498" t="str">
        <f>VLOOKUP($B498,PRODUCT_MASTER!$A:$F,MATCH('FINAL DATA'!G$1,PRODUCT_MASTER!$A$1:$F$1,0),0)</f>
        <v>Product34</v>
      </c>
      <c r="H498" t="str">
        <f>VLOOKUP($B498,PRODUCT_MASTER!$A:$F,MATCH('FINAL DATA'!H$1,PRODUCT_MASTER!$A$1:$F$1,0),0)</f>
        <v>Bakery And Desserts</v>
      </c>
      <c r="I498" t="str">
        <f>VLOOKUP($B498,PRODUCT_MASTER!$A:$F,MATCH('FINAL DATA'!I$1,PRODUCT_MASTER!$A$1:$F$1,0),0)</f>
        <v>Lt</v>
      </c>
      <c r="J498" s="7">
        <f>VLOOKUP($B498,PRODUCT_MASTER!$A:$F,MATCH('FINAL DATA'!J$1,PRODUCT_MASTER!$A$1:$F$1,0),0)</f>
        <v>55</v>
      </c>
      <c r="K498" s="7">
        <f>VLOOKUP($B498,PRODUCT_MASTER!$A:$F,MATCH('FINAL DATA'!K$1,PRODUCT_MASTER!$A$1:$F$1,0),0)</f>
        <v>58.3</v>
      </c>
      <c r="L498" s="7">
        <f t="shared" si="35"/>
        <v>440</v>
      </c>
      <c r="M498" s="7">
        <f t="shared" si="36"/>
        <v>466.4</v>
      </c>
      <c r="N498">
        <f t="shared" si="37"/>
        <v>18</v>
      </c>
      <c r="O498" t="str">
        <f t="shared" si="38"/>
        <v>Nov</v>
      </c>
      <c r="P498">
        <f t="shared" si="39"/>
        <v>2022</v>
      </c>
    </row>
    <row r="499" spans="1:16" x14ac:dyDescent="0.2">
      <c r="A499" s="1">
        <v>44886</v>
      </c>
      <c r="B499" t="s">
        <v>45</v>
      </c>
      <c r="C499">
        <v>6</v>
      </c>
      <c r="D499" t="s">
        <v>103</v>
      </c>
      <c r="E499" t="s">
        <v>102</v>
      </c>
      <c r="F499" s="5">
        <v>0</v>
      </c>
      <c r="G499" t="str">
        <f>VLOOKUP($B499,PRODUCT_MASTER!$A:$F,MATCH('FINAL DATA'!G$1,PRODUCT_MASTER!$A$1:$F$1,0),0)</f>
        <v>Product20</v>
      </c>
      <c r="H499" t="str">
        <f>VLOOKUP($B499,PRODUCT_MASTER!$A:$F,MATCH('FINAL DATA'!H$1,PRODUCT_MASTER!$A$1:$F$1,0),0)</f>
        <v>Poultry</v>
      </c>
      <c r="I499" t="str">
        <f>VLOOKUP($B499,PRODUCT_MASTER!$A:$F,MATCH('FINAL DATA'!I$1,PRODUCT_MASTER!$A$1:$F$1,0),0)</f>
        <v>Lt</v>
      </c>
      <c r="J499" s="7">
        <f>VLOOKUP($B499,PRODUCT_MASTER!$A:$F,MATCH('FINAL DATA'!J$1,PRODUCT_MASTER!$A$1:$F$1,0),0)</f>
        <v>61</v>
      </c>
      <c r="K499" s="7">
        <f>VLOOKUP($B499,PRODUCT_MASTER!$A:$F,MATCH('FINAL DATA'!K$1,PRODUCT_MASTER!$A$1:$F$1,0),0)</f>
        <v>76.25</v>
      </c>
      <c r="L499" s="7">
        <f t="shared" si="35"/>
        <v>366</v>
      </c>
      <c r="M499" s="7">
        <f t="shared" si="36"/>
        <v>457.5</v>
      </c>
      <c r="N499">
        <f t="shared" si="37"/>
        <v>21</v>
      </c>
      <c r="O499" t="str">
        <f t="shared" si="38"/>
        <v>Nov</v>
      </c>
      <c r="P499">
        <f t="shared" si="39"/>
        <v>2022</v>
      </c>
    </row>
    <row r="500" spans="1:16" x14ac:dyDescent="0.2">
      <c r="A500" s="1">
        <v>44888</v>
      </c>
      <c r="B500" t="s">
        <v>77</v>
      </c>
      <c r="C500">
        <v>12</v>
      </c>
      <c r="D500" t="s">
        <v>101</v>
      </c>
      <c r="E500" t="s">
        <v>101</v>
      </c>
      <c r="F500" s="5">
        <v>0</v>
      </c>
      <c r="G500" t="str">
        <f>VLOOKUP($B500,PRODUCT_MASTER!$A:$F,MATCH('FINAL DATA'!G$1,PRODUCT_MASTER!$A$1:$F$1,0),0)</f>
        <v>Product36</v>
      </c>
      <c r="H500" t="str">
        <f>VLOOKUP($B500,PRODUCT_MASTER!$A:$F,MATCH('FINAL DATA'!H$1,PRODUCT_MASTER!$A$1:$F$1,0),0)</f>
        <v>Bakery And Desserts</v>
      </c>
      <c r="I500" t="str">
        <f>VLOOKUP($B500,PRODUCT_MASTER!$A:$F,MATCH('FINAL DATA'!I$1,PRODUCT_MASTER!$A$1:$F$1,0),0)</f>
        <v>Kg</v>
      </c>
      <c r="J500" s="7">
        <f>VLOOKUP($B500,PRODUCT_MASTER!$A:$F,MATCH('FINAL DATA'!J$1,PRODUCT_MASTER!$A$1:$F$1,0),0)</f>
        <v>90</v>
      </c>
      <c r="K500" s="7">
        <f>VLOOKUP($B500,PRODUCT_MASTER!$A:$F,MATCH('FINAL DATA'!K$1,PRODUCT_MASTER!$A$1:$F$1,0),0)</f>
        <v>96.3</v>
      </c>
      <c r="L500" s="7">
        <f t="shared" si="35"/>
        <v>1080</v>
      </c>
      <c r="M500" s="7">
        <f t="shared" si="36"/>
        <v>1155.5999999999999</v>
      </c>
      <c r="N500">
        <f t="shared" si="37"/>
        <v>23</v>
      </c>
      <c r="O500" t="str">
        <f t="shared" si="38"/>
        <v>Nov</v>
      </c>
      <c r="P500">
        <f t="shared" si="39"/>
        <v>2022</v>
      </c>
    </row>
    <row r="501" spans="1:16" x14ac:dyDescent="0.2">
      <c r="A501" s="1">
        <v>44890</v>
      </c>
      <c r="B501" t="s">
        <v>13</v>
      </c>
      <c r="C501">
        <v>5</v>
      </c>
      <c r="D501" t="s">
        <v>103</v>
      </c>
      <c r="E501" t="s">
        <v>102</v>
      </c>
      <c r="F501" s="5">
        <v>0</v>
      </c>
      <c r="G501" t="str">
        <f>VLOOKUP($B501,PRODUCT_MASTER!$A:$F,MATCH('FINAL DATA'!G$1,PRODUCT_MASTER!$A$1:$F$1,0),0)</f>
        <v>Product04</v>
      </c>
      <c r="H501" t="str">
        <f>VLOOKUP($B501,PRODUCT_MASTER!$A:$F,MATCH('FINAL DATA'!H$1,PRODUCT_MASTER!$A$1:$F$1,0),0)</f>
        <v>Organic</v>
      </c>
      <c r="I501" t="str">
        <f>VLOOKUP($B501,PRODUCT_MASTER!$A:$F,MATCH('FINAL DATA'!I$1,PRODUCT_MASTER!$A$1:$F$1,0),0)</f>
        <v>Lt</v>
      </c>
      <c r="J501" s="7">
        <f>VLOOKUP($B501,PRODUCT_MASTER!$A:$F,MATCH('FINAL DATA'!J$1,PRODUCT_MASTER!$A$1:$F$1,0),0)</f>
        <v>44</v>
      </c>
      <c r="K501" s="7">
        <f>VLOOKUP($B501,PRODUCT_MASTER!$A:$F,MATCH('FINAL DATA'!K$1,PRODUCT_MASTER!$A$1:$F$1,0),0)</f>
        <v>48.84</v>
      </c>
      <c r="L501" s="7">
        <f t="shared" si="35"/>
        <v>220</v>
      </c>
      <c r="M501" s="7">
        <f t="shared" si="36"/>
        <v>244.20000000000002</v>
      </c>
      <c r="N501">
        <f t="shared" si="37"/>
        <v>25</v>
      </c>
      <c r="O501" t="str">
        <f t="shared" si="38"/>
        <v>Nov</v>
      </c>
      <c r="P501">
        <f t="shared" si="39"/>
        <v>2022</v>
      </c>
    </row>
    <row r="502" spans="1:16" x14ac:dyDescent="0.2">
      <c r="A502" s="1">
        <v>44891</v>
      </c>
      <c r="B502" t="s">
        <v>69</v>
      </c>
      <c r="C502">
        <v>5</v>
      </c>
      <c r="D502" t="s">
        <v>103</v>
      </c>
      <c r="E502" t="s">
        <v>101</v>
      </c>
      <c r="F502" s="5">
        <v>0</v>
      </c>
      <c r="G502" t="str">
        <f>VLOOKUP($B502,PRODUCT_MASTER!$A:$F,MATCH('FINAL DATA'!G$1,PRODUCT_MASTER!$A$1:$F$1,0),0)</f>
        <v>Product32</v>
      </c>
      <c r="H502" t="str">
        <f>VLOOKUP($B502,PRODUCT_MASTER!$A:$F,MATCH('FINAL DATA'!H$1,PRODUCT_MASTER!$A$1:$F$1,0),0)</f>
        <v>Bakery And Desserts</v>
      </c>
      <c r="I502" t="str">
        <f>VLOOKUP($B502,PRODUCT_MASTER!$A:$F,MATCH('FINAL DATA'!I$1,PRODUCT_MASTER!$A$1:$F$1,0),0)</f>
        <v>Kg</v>
      </c>
      <c r="J502" s="7">
        <f>VLOOKUP($B502,PRODUCT_MASTER!$A:$F,MATCH('FINAL DATA'!J$1,PRODUCT_MASTER!$A$1:$F$1,0),0)</f>
        <v>89</v>
      </c>
      <c r="K502" s="7">
        <f>VLOOKUP($B502,PRODUCT_MASTER!$A:$F,MATCH('FINAL DATA'!K$1,PRODUCT_MASTER!$A$1:$F$1,0),0)</f>
        <v>117.48</v>
      </c>
      <c r="L502" s="7">
        <f t="shared" si="35"/>
        <v>445</v>
      </c>
      <c r="M502" s="7">
        <f t="shared" si="36"/>
        <v>587.4</v>
      </c>
      <c r="N502">
        <f t="shared" si="37"/>
        <v>26</v>
      </c>
      <c r="O502" t="str">
        <f t="shared" si="38"/>
        <v>Nov</v>
      </c>
      <c r="P502">
        <f t="shared" si="39"/>
        <v>2022</v>
      </c>
    </row>
    <row r="503" spans="1:16" x14ac:dyDescent="0.2">
      <c r="A503" s="1">
        <v>44892</v>
      </c>
      <c r="B503" t="s">
        <v>73</v>
      </c>
      <c r="C503">
        <v>15</v>
      </c>
      <c r="D503" t="s">
        <v>103</v>
      </c>
      <c r="E503" t="s">
        <v>101</v>
      </c>
      <c r="F503" s="5">
        <v>0</v>
      </c>
      <c r="G503" t="str">
        <f>VLOOKUP($B503,PRODUCT_MASTER!$A:$F,MATCH('FINAL DATA'!G$1,PRODUCT_MASTER!$A$1:$F$1,0),0)</f>
        <v>Product34</v>
      </c>
      <c r="H503" t="str">
        <f>VLOOKUP($B503,PRODUCT_MASTER!$A:$F,MATCH('FINAL DATA'!H$1,PRODUCT_MASTER!$A$1:$F$1,0),0)</f>
        <v>Bakery And Desserts</v>
      </c>
      <c r="I503" t="str">
        <f>VLOOKUP($B503,PRODUCT_MASTER!$A:$F,MATCH('FINAL DATA'!I$1,PRODUCT_MASTER!$A$1:$F$1,0),0)</f>
        <v>Lt</v>
      </c>
      <c r="J503" s="7">
        <f>VLOOKUP($B503,PRODUCT_MASTER!$A:$F,MATCH('FINAL DATA'!J$1,PRODUCT_MASTER!$A$1:$F$1,0),0)</f>
        <v>55</v>
      </c>
      <c r="K503" s="7">
        <f>VLOOKUP($B503,PRODUCT_MASTER!$A:$F,MATCH('FINAL DATA'!K$1,PRODUCT_MASTER!$A$1:$F$1,0),0)</f>
        <v>58.3</v>
      </c>
      <c r="L503" s="7">
        <f t="shared" si="35"/>
        <v>825</v>
      </c>
      <c r="M503" s="7">
        <f t="shared" si="36"/>
        <v>874.5</v>
      </c>
      <c r="N503">
        <f t="shared" si="37"/>
        <v>27</v>
      </c>
      <c r="O503" t="str">
        <f t="shared" si="38"/>
        <v>Nov</v>
      </c>
      <c r="P503">
        <f t="shared" si="39"/>
        <v>2022</v>
      </c>
    </row>
    <row r="504" spans="1:16" x14ac:dyDescent="0.2">
      <c r="A504" s="1">
        <v>44893</v>
      </c>
      <c r="B504" t="s">
        <v>67</v>
      </c>
      <c r="C504">
        <v>8</v>
      </c>
      <c r="D504" t="s">
        <v>103</v>
      </c>
      <c r="E504" t="s">
        <v>102</v>
      </c>
      <c r="F504" s="5">
        <v>0</v>
      </c>
      <c r="G504" t="str">
        <f>VLOOKUP($B504,PRODUCT_MASTER!$A:$F,MATCH('FINAL DATA'!G$1,PRODUCT_MASTER!$A$1:$F$1,0),0)</f>
        <v>Product31</v>
      </c>
      <c r="H504" t="str">
        <f>VLOOKUP($B504,PRODUCT_MASTER!$A:$F,MATCH('FINAL DATA'!H$1,PRODUCT_MASTER!$A$1:$F$1,0),0)</f>
        <v>Cheese And Dairy</v>
      </c>
      <c r="I504" t="str">
        <f>VLOOKUP($B504,PRODUCT_MASTER!$A:$F,MATCH('FINAL DATA'!I$1,PRODUCT_MASTER!$A$1:$F$1,0),0)</f>
        <v>Kg</v>
      </c>
      <c r="J504" s="7">
        <f>VLOOKUP($B504,PRODUCT_MASTER!$A:$F,MATCH('FINAL DATA'!J$1,PRODUCT_MASTER!$A$1:$F$1,0),0)</f>
        <v>93</v>
      </c>
      <c r="K504" s="7">
        <f>VLOOKUP($B504,PRODUCT_MASTER!$A:$F,MATCH('FINAL DATA'!K$1,PRODUCT_MASTER!$A$1:$F$1,0),0)</f>
        <v>104.16</v>
      </c>
      <c r="L504" s="7">
        <f t="shared" si="35"/>
        <v>744</v>
      </c>
      <c r="M504" s="7">
        <f t="shared" si="36"/>
        <v>833.28</v>
      </c>
      <c r="N504">
        <f t="shared" si="37"/>
        <v>28</v>
      </c>
      <c r="O504" t="str">
        <f t="shared" si="38"/>
        <v>Nov</v>
      </c>
      <c r="P504">
        <f t="shared" si="39"/>
        <v>2022</v>
      </c>
    </row>
    <row r="505" spans="1:16" x14ac:dyDescent="0.2">
      <c r="A505" s="1">
        <v>44895</v>
      </c>
      <c r="B505" t="s">
        <v>35</v>
      </c>
      <c r="C505">
        <v>2</v>
      </c>
      <c r="D505" t="s">
        <v>103</v>
      </c>
      <c r="E505" t="s">
        <v>101</v>
      </c>
      <c r="F505" s="5">
        <v>0</v>
      </c>
      <c r="G505" t="str">
        <f>VLOOKUP($B505,PRODUCT_MASTER!$A:$F,MATCH('FINAL DATA'!G$1,PRODUCT_MASTER!$A$1:$F$1,0),0)</f>
        <v>Product15</v>
      </c>
      <c r="H505" t="str">
        <f>VLOOKUP($B505,PRODUCT_MASTER!$A:$F,MATCH('FINAL DATA'!H$1,PRODUCT_MASTER!$A$1:$F$1,0),0)</f>
        <v>Meat</v>
      </c>
      <c r="I505" t="str">
        <f>VLOOKUP($B505,PRODUCT_MASTER!$A:$F,MATCH('FINAL DATA'!I$1,PRODUCT_MASTER!$A$1:$F$1,0),0)</f>
        <v>No.</v>
      </c>
      <c r="J505" s="7">
        <f>VLOOKUP($B505,PRODUCT_MASTER!$A:$F,MATCH('FINAL DATA'!J$1,PRODUCT_MASTER!$A$1:$F$1,0),0)</f>
        <v>12</v>
      </c>
      <c r="K505" s="7">
        <f>VLOOKUP($B505,PRODUCT_MASTER!$A:$F,MATCH('FINAL DATA'!K$1,PRODUCT_MASTER!$A$1:$F$1,0),0)</f>
        <v>15.719999999999999</v>
      </c>
      <c r="L505" s="7">
        <f t="shared" si="35"/>
        <v>24</v>
      </c>
      <c r="M505" s="7">
        <f t="shared" si="36"/>
        <v>31.439999999999998</v>
      </c>
      <c r="N505">
        <f t="shared" si="37"/>
        <v>30</v>
      </c>
      <c r="O505" t="str">
        <f t="shared" si="38"/>
        <v>Nov</v>
      </c>
      <c r="P505">
        <f t="shared" si="39"/>
        <v>2022</v>
      </c>
    </row>
    <row r="506" spans="1:16" x14ac:dyDescent="0.2">
      <c r="A506" s="1">
        <v>44898</v>
      </c>
      <c r="B506" t="s">
        <v>61</v>
      </c>
      <c r="C506">
        <v>5</v>
      </c>
      <c r="D506" t="s">
        <v>100</v>
      </c>
      <c r="E506" t="s">
        <v>102</v>
      </c>
      <c r="F506" s="5">
        <v>0</v>
      </c>
      <c r="G506" t="str">
        <f>VLOOKUP($B506,PRODUCT_MASTER!$A:$F,MATCH('FINAL DATA'!G$1,PRODUCT_MASTER!$A$1:$F$1,0),0)</f>
        <v>Product28</v>
      </c>
      <c r="H506" t="str">
        <f>VLOOKUP($B506,PRODUCT_MASTER!$A:$F,MATCH('FINAL DATA'!H$1,PRODUCT_MASTER!$A$1:$F$1,0),0)</f>
        <v>Cheese And Dairy</v>
      </c>
      <c r="I506" t="str">
        <f>VLOOKUP($B506,PRODUCT_MASTER!$A:$F,MATCH('FINAL DATA'!I$1,PRODUCT_MASTER!$A$1:$F$1,0),0)</f>
        <v>No.</v>
      </c>
      <c r="J506" s="7">
        <f>VLOOKUP($B506,PRODUCT_MASTER!$A:$F,MATCH('FINAL DATA'!J$1,PRODUCT_MASTER!$A$1:$F$1,0),0)</f>
        <v>37</v>
      </c>
      <c r="K506" s="7">
        <f>VLOOKUP($B506,PRODUCT_MASTER!$A:$F,MATCH('FINAL DATA'!K$1,PRODUCT_MASTER!$A$1:$F$1,0),0)</f>
        <v>41.81</v>
      </c>
      <c r="L506" s="7">
        <f t="shared" si="35"/>
        <v>185</v>
      </c>
      <c r="M506" s="7">
        <f t="shared" si="36"/>
        <v>209.05</v>
      </c>
      <c r="N506">
        <f t="shared" si="37"/>
        <v>3</v>
      </c>
      <c r="O506" t="str">
        <f t="shared" si="38"/>
        <v>Dec</v>
      </c>
      <c r="P506">
        <f t="shared" si="39"/>
        <v>2022</v>
      </c>
    </row>
    <row r="507" spans="1:16" x14ac:dyDescent="0.2">
      <c r="A507" s="1">
        <v>44899</v>
      </c>
      <c r="B507" t="s">
        <v>57</v>
      </c>
      <c r="C507">
        <v>10</v>
      </c>
      <c r="D507" t="s">
        <v>103</v>
      </c>
      <c r="E507" t="s">
        <v>102</v>
      </c>
      <c r="F507" s="5">
        <v>0</v>
      </c>
      <c r="G507" t="str">
        <f>VLOOKUP($B507,PRODUCT_MASTER!$A:$F,MATCH('FINAL DATA'!G$1,PRODUCT_MASTER!$A$1:$F$1,0),0)</f>
        <v>Product26</v>
      </c>
      <c r="H507" t="str">
        <f>VLOOKUP($B507,PRODUCT_MASTER!$A:$F,MATCH('FINAL DATA'!H$1,PRODUCT_MASTER!$A$1:$F$1,0),0)</f>
        <v>Seafood</v>
      </c>
      <c r="I507" t="str">
        <f>VLOOKUP($B507,PRODUCT_MASTER!$A:$F,MATCH('FINAL DATA'!I$1,PRODUCT_MASTER!$A$1:$F$1,0),0)</f>
        <v>No.</v>
      </c>
      <c r="J507" s="7">
        <f>VLOOKUP($B507,PRODUCT_MASTER!$A:$F,MATCH('FINAL DATA'!J$1,PRODUCT_MASTER!$A$1:$F$1,0),0)</f>
        <v>18</v>
      </c>
      <c r="K507" s="7">
        <f>VLOOKUP($B507,PRODUCT_MASTER!$A:$F,MATCH('FINAL DATA'!K$1,PRODUCT_MASTER!$A$1:$F$1,0),0)</f>
        <v>24.66</v>
      </c>
      <c r="L507" s="7">
        <f t="shared" si="35"/>
        <v>180</v>
      </c>
      <c r="M507" s="7">
        <f t="shared" si="36"/>
        <v>246.6</v>
      </c>
      <c r="N507">
        <f t="shared" si="37"/>
        <v>4</v>
      </c>
      <c r="O507" t="str">
        <f t="shared" si="38"/>
        <v>Dec</v>
      </c>
      <c r="P507">
        <f t="shared" si="39"/>
        <v>2022</v>
      </c>
    </row>
    <row r="508" spans="1:16" x14ac:dyDescent="0.2">
      <c r="A508" s="1">
        <v>44899</v>
      </c>
      <c r="B508" t="s">
        <v>93</v>
      </c>
      <c r="C508">
        <v>15</v>
      </c>
      <c r="D508" t="s">
        <v>103</v>
      </c>
      <c r="E508" t="s">
        <v>102</v>
      </c>
      <c r="F508" s="5">
        <v>0</v>
      </c>
      <c r="G508" t="str">
        <f>VLOOKUP($B508,PRODUCT_MASTER!$A:$F,MATCH('FINAL DATA'!G$1,PRODUCT_MASTER!$A$1:$F$1,0),0)</f>
        <v>Product44</v>
      </c>
      <c r="H508" t="str">
        <f>VLOOKUP($B508,PRODUCT_MASTER!$A:$F,MATCH('FINAL DATA'!H$1,PRODUCT_MASTER!$A$1:$F$1,0),0)</f>
        <v>Candy</v>
      </c>
      <c r="I508" t="str">
        <f>VLOOKUP($B508,PRODUCT_MASTER!$A:$F,MATCH('FINAL DATA'!I$1,PRODUCT_MASTER!$A$1:$F$1,0),0)</f>
        <v>Kg</v>
      </c>
      <c r="J508" s="7">
        <f>VLOOKUP($B508,PRODUCT_MASTER!$A:$F,MATCH('FINAL DATA'!J$1,PRODUCT_MASTER!$A$1:$F$1,0),0)</f>
        <v>76</v>
      </c>
      <c r="K508" s="7">
        <f>VLOOKUP($B508,PRODUCT_MASTER!$A:$F,MATCH('FINAL DATA'!K$1,PRODUCT_MASTER!$A$1:$F$1,0),0)</f>
        <v>82.08</v>
      </c>
      <c r="L508" s="7">
        <f t="shared" si="35"/>
        <v>1140</v>
      </c>
      <c r="M508" s="7">
        <f t="shared" si="36"/>
        <v>1231.2</v>
      </c>
      <c r="N508">
        <f t="shared" si="37"/>
        <v>4</v>
      </c>
      <c r="O508" t="str">
        <f t="shared" si="38"/>
        <v>Dec</v>
      </c>
      <c r="P508">
        <f t="shared" si="39"/>
        <v>2022</v>
      </c>
    </row>
    <row r="509" spans="1:16" x14ac:dyDescent="0.2">
      <c r="A509" s="1">
        <v>44902</v>
      </c>
      <c r="B509" t="s">
        <v>81</v>
      </c>
      <c r="C509">
        <v>12</v>
      </c>
      <c r="D509" t="s">
        <v>103</v>
      </c>
      <c r="E509" t="s">
        <v>102</v>
      </c>
      <c r="F509" s="5">
        <v>0</v>
      </c>
      <c r="G509" t="str">
        <f>VLOOKUP($B509,PRODUCT_MASTER!$A:$F,MATCH('FINAL DATA'!G$1,PRODUCT_MASTER!$A$1:$F$1,0),0)</f>
        <v>Product38</v>
      </c>
      <c r="H509" t="str">
        <f>VLOOKUP($B509,PRODUCT_MASTER!$A:$F,MATCH('FINAL DATA'!H$1,PRODUCT_MASTER!$A$1:$F$1,0),0)</f>
        <v>Snacks</v>
      </c>
      <c r="I509" t="str">
        <f>VLOOKUP($B509,PRODUCT_MASTER!$A:$F,MATCH('FINAL DATA'!I$1,PRODUCT_MASTER!$A$1:$F$1,0),0)</f>
        <v>Kg</v>
      </c>
      <c r="J509" s="7">
        <f>VLOOKUP($B509,PRODUCT_MASTER!$A:$F,MATCH('FINAL DATA'!J$1,PRODUCT_MASTER!$A$1:$F$1,0),0)</f>
        <v>72</v>
      </c>
      <c r="K509" s="7">
        <f>VLOOKUP($B509,PRODUCT_MASTER!$A:$F,MATCH('FINAL DATA'!K$1,PRODUCT_MASTER!$A$1:$F$1,0),0)</f>
        <v>79.92</v>
      </c>
      <c r="L509" s="7">
        <f t="shared" si="35"/>
        <v>864</v>
      </c>
      <c r="M509" s="7">
        <f t="shared" si="36"/>
        <v>959.04</v>
      </c>
      <c r="N509">
        <f t="shared" si="37"/>
        <v>7</v>
      </c>
      <c r="O509" t="str">
        <f t="shared" si="38"/>
        <v>Dec</v>
      </c>
      <c r="P509">
        <f t="shared" si="39"/>
        <v>2022</v>
      </c>
    </row>
    <row r="510" spans="1:16" x14ac:dyDescent="0.2">
      <c r="A510" s="1">
        <v>44902</v>
      </c>
      <c r="B510" t="s">
        <v>37</v>
      </c>
      <c r="C510">
        <v>13</v>
      </c>
      <c r="D510" t="s">
        <v>103</v>
      </c>
      <c r="E510" t="s">
        <v>101</v>
      </c>
      <c r="F510" s="5">
        <v>0</v>
      </c>
      <c r="G510" t="str">
        <f>VLOOKUP($B510,PRODUCT_MASTER!$A:$F,MATCH('FINAL DATA'!G$1,PRODUCT_MASTER!$A$1:$F$1,0),0)</f>
        <v>Product16</v>
      </c>
      <c r="H510" t="str">
        <f>VLOOKUP($B510,PRODUCT_MASTER!$A:$F,MATCH('FINAL DATA'!H$1,PRODUCT_MASTER!$A$1:$F$1,0),0)</f>
        <v>Meat</v>
      </c>
      <c r="I510" t="str">
        <f>VLOOKUP($B510,PRODUCT_MASTER!$A:$F,MATCH('FINAL DATA'!I$1,PRODUCT_MASTER!$A$1:$F$1,0),0)</f>
        <v>No.</v>
      </c>
      <c r="J510" s="7">
        <f>VLOOKUP($B510,PRODUCT_MASTER!$A:$F,MATCH('FINAL DATA'!J$1,PRODUCT_MASTER!$A$1:$F$1,0),0)</f>
        <v>13</v>
      </c>
      <c r="K510" s="7">
        <f>VLOOKUP($B510,PRODUCT_MASTER!$A:$F,MATCH('FINAL DATA'!K$1,PRODUCT_MASTER!$A$1:$F$1,0),0)</f>
        <v>16.64</v>
      </c>
      <c r="L510" s="7">
        <f t="shared" si="35"/>
        <v>169</v>
      </c>
      <c r="M510" s="7">
        <f t="shared" si="36"/>
        <v>216.32</v>
      </c>
      <c r="N510">
        <f t="shared" si="37"/>
        <v>7</v>
      </c>
      <c r="O510" t="str">
        <f t="shared" si="38"/>
        <v>Dec</v>
      </c>
      <c r="P510">
        <f t="shared" si="39"/>
        <v>2022</v>
      </c>
    </row>
    <row r="511" spans="1:16" x14ac:dyDescent="0.2">
      <c r="A511" s="1">
        <v>44902</v>
      </c>
      <c r="B511" t="s">
        <v>81</v>
      </c>
      <c r="C511">
        <v>5</v>
      </c>
      <c r="D511" t="s">
        <v>103</v>
      </c>
      <c r="E511" t="s">
        <v>102</v>
      </c>
      <c r="F511" s="5">
        <v>0</v>
      </c>
      <c r="G511" t="str">
        <f>VLOOKUP($B511,PRODUCT_MASTER!$A:$F,MATCH('FINAL DATA'!G$1,PRODUCT_MASTER!$A$1:$F$1,0),0)</f>
        <v>Product38</v>
      </c>
      <c r="H511" t="str">
        <f>VLOOKUP($B511,PRODUCT_MASTER!$A:$F,MATCH('FINAL DATA'!H$1,PRODUCT_MASTER!$A$1:$F$1,0),0)</f>
        <v>Snacks</v>
      </c>
      <c r="I511" t="str">
        <f>VLOOKUP($B511,PRODUCT_MASTER!$A:$F,MATCH('FINAL DATA'!I$1,PRODUCT_MASTER!$A$1:$F$1,0),0)</f>
        <v>Kg</v>
      </c>
      <c r="J511" s="7">
        <f>VLOOKUP($B511,PRODUCT_MASTER!$A:$F,MATCH('FINAL DATA'!J$1,PRODUCT_MASTER!$A$1:$F$1,0),0)</f>
        <v>72</v>
      </c>
      <c r="K511" s="7">
        <f>VLOOKUP($B511,PRODUCT_MASTER!$A:$F,MATCH('FINAL DATA'!K$1,PRODUCT_MASTER!$A$1:$F$1,0),0)</f>
        <v>79.92</v>
      </c>
      <c r="L511" s="7">
        <f t="shared" si="35"/>
        <v>360</v>
      </c>
      <c r="M511" s="7">
        <f t="shared" si="36"/>
        <v>399.6</v>
      </c>
      <c r="N511">
        <f t="shared" si="37"/>
        <v>7</v>
      </c>
      <c r="O511" t="str">
        <f t="shared" si="38"/>
        <v>Dec</v>
      </c>
      <c r="P511">
        <f t="shared" si="39"/>
        <v>2022</v>
      </c>
    </row>
    <row r="512" spans="1:16" x14ac:dyDescent="0.2">
      <c r="A512" s="1">
        <v>44906</v>
      </c>
      <c r="B512" t="s">
        <v>59</v>
      </c>
      <c r="C512">
        <v>5</v>
      </c>
      <c r="D512" t="s">
        <v>103</v>
      </c>
      <c r="E512" t="s">
        <v>101</v>
      </c>
      <c r="F512" s="5">
        <v>0</v>
      </c>
      <c r="G512" t="str">
        <f>VLOOKUP($B512,PRODUCT_MASTER!$A:$F,MATCH('FINAL DATA'!G$1,PRODUCT_MASTER!$A$1:$F$1,0),0)</f>
        <v>Product27</v>
      </c>
      <c r="H512" t="str">
        <f>VLOOKUP($B512,PRODUCT_MASTER!$A:$F,MATCH('FINAL DATA'!H$1,PRODUCT_MASTER!$A$1:$F$1,0),0)</f>
        <v>Cheese And Dairy</v>
      </c>
      <c r="I512" t="str">
        <f>VLOOKUP($B512,PRODUCT_MASTER!$A:$F,MATCH('FINAL DATA'!I$1,PRODUCT_MASTER!$A$1:$F$1,0),0)</f>
        <v>Lt</v>
      </c>
      <c r="J512" s="7">
        <f>VLOOKUP($B512,PRODUCT_MASTER!$A:$F,MATCH('FINAL DATA'!J$1,PRODUCT_MASTER!$A$1:$F$1,0),0)</f>
        <v>48</v>
      </c>
      <c r="K512" s="7">
        <f>VLOOKUP($B512,PRODUCT_MASTER!$A:$F,MATCH('FINAL DATA'!K$1,PRODUCT_MASTER!$A$1:$F$1,0),0)</f>
        <v>57.120000000000005</v>
      </c>
      <c r="L512" s="7">
        <f t="shared" si="35"/>
        <v>240</v>
      </c>
      <c r="M512" s="7">
        <f t="shared" si="36"/>
        <v>285.60000000000002</v>
      </c>
      <c r="N512">
        <f t="shared" si="37"/>
        <v>11</v>
      </c>
      <c r="O512" t="str">
        <f t="shared" si="38"/>
        <v>Dec</v>
      </c>
      <c r="P512">
        <f t="shared" si="39"/>
        <v>2022</v>
      </c>
    </row>
    <row r="513" spans="1:16" x14ac:dyDescent="0.2">
      <c r="A513" s="1">
        <v>44906</v>
      </c>
      <c r="B513" t="s">
        <v>31</v>
      </c>
      <c r="C513">
        <v>9</v>
      </c>
      <c r="D513" t="s">
        <v>100</v>
      </c>
      <c r="E513" t="s">
        <v>101</v>
      </c>
      <c r="F513" s="5">
        <v>0</v>
      </c>
      <c r="G513" t="str">
        <f>VLOOKUP($B513,PRODUCT_MASTER!$A:$F,MATCH('FINAL DATA'!G$1,PRODUCT_MASTER!$A$1:$F$1,0),0)</f>
        <v>Product13</v>
      </c>
      <c r="H513" t="str">
        <f>VLOOKUP($B513,PRODUCT_MASTER!$A:$F,MATCH('FINAL DATA'!H$1,PRODUCT_MASTER!$A$1:$F$1,0),0)</f>
        <v>Meat</v>
      </c>
      <c r="I513" t="str">
        <f>VLOOKUP($B513,PRODUCT_MASTER!$A:$F,MATCH('FINAL DATA'!I$1,PRODUCT_MASTER!$A$1:$F$1,0),0)</f>
        <v>Kg</v>
      </c>
      <c r="J513" s="7">
        <f>VLOOKUP($B513,PRODUCT_MASTER!$A:$F,MATCH('FINAL DATA'!J$1,PRODUCT_MASTER!$A$1:$F$1,0),0)</f>
        <v>112</v>
      </c>
      <c r="K513" s="7">
        <f>VLOOKUP($B513,PRODUCT_MASTER!$A:$F,MATCH('FINAL DATA'!K$1,PRODUCT_MASTER!$A$1:$F$1,0),0)</f>
        <v>122.08</v>
      </c>
      <c r="L513" s="7">
        <f t="shared" si="35"/>
        <v>1008</v>
      </c>
      <c r="M513" s="7">
        <f t="shared" si="36"/>
        <v>1098.72</v>
      </c>
      <c r="N513">
        <f t="shared" si="37"/>
        <v>11</v>
      </c>
      <c r="O513" t="str">
        <f t="shared" si="38"/>
        <v>Dec</v>
      </c>
      <c r="P513">
        <f t="shared" si="39"/>
        <v>2022</v>
      </c>
    </row>
    <row r="514" spans="1:16" x14ac:dyDescent="0.2">
      <c r="A514" s="1">
        <v>44906</v>
      </c>
      <c r="B514" t="s">
        <v>33</v>
      </c>
      <c r="C514">
        <v>10</v>
      </c>
      <c r="D514" t="s">
        <v>101</v>
      </c>
      <c r="E514" t="s">
        <v>102</v>
      </c>
      <c r="F514" s="5">
        <v>0</v>
      </c>
      <c r="G514" t="str">
        <f>VLOOKUP($B514,PRODUCT_MASTER!$A:$F,MATCH('FINAL DATA'!G$1,PRODUCT_MASTER!$A$1:$F$1,0),0)</f>
        <v>Product14</v>
      </c>
      <c r="H514" t="str">
        <f>VLOOKUP($B514,PRODUCT_MASTER!$A:$F,MATCH('FINAL DATA'!H$1,PRODUCT_MASTER!$A$1:$F$1,0),0)</f>
        <v>Meat</v>
      </c>
      <c r="I514" t="str">
        <f>VLOOKUP($B514,PRODUCT_MASTER!$A:$F,MATCH('FINAL DATA'!I$1,PRODUCT_MASTER!$A$1:$F$1,0),0)</f>
        <v>Kg</v>
      </c>
      <c r="J514" s="7">
        <f>VLOOKUP($B514,PRODUCT_MASTER!$A:$F,MATCH('FINAL DATA'!J$1,PRODUCT_MASTER!$A$1:$F$1,0),0)</f>
        <v>112</v>
      </c>
      <c r="K514" s="7">
        <f>VLOOKUP($B514,PRODUCT_MASTER!$A:$F,MATCH('FINAL DATA'!K$1,PRODUCT_MASTER!$A$1:$F$1,0),0)</f>
        <v>146.72</v>
      </c>
      <c r="L514" s="7">
        <f t="shared" si="35"/>
        <v>1120</v>
      </c>
      <c r="M514" s="7">
        <f t="shared" si="36"/>
        <v>1467.2</v>
      </c>
      <c r="N514">
        <f t="shared" si="37"/>
        <v>11</v>
      </c>
      <c r="O514" t="str">
        <f t="shared" si="38"/>
        <v>Dec</v>
      </c>
      <c r="P514">
        <f t="shared" si="39"/>
        <v>2022</v>
      </c>
    </row>
    <row r="515" spans="1:16" x14ac:dyDescent="0.2">
      <c r="A515" s="1">
        <v>44907</v>
      </c>
      <c r="B515" t="s">
        <v>65</v>
      </c>
      <c r="C515">
        <v>9</v>
      </c>
      <c r="D515" t="s">
        <v>100</v>
      </c>
      <c r="E515" t="s">
        <v>102</v>
      </c>
      <c r="F515" s="5">
        <v>0</v>
      </c>
      <c r="G515" t="str">
        <f>VLOOKUP($B515,PRODUCT_MASTER!$A:$F,MATCH('FINAL DATA'!G$1,PRODUCT_MASTER!$A$1:$F$1,0),0)</f>
        <v>Product30</v>
      </c>
      <c r="H515" t="str">
        <f>VLOOKUP($B515,PRODUCT_MASTER!$A:$F,MATCH('FINAL DATA'!H$1,PRODUCT_MASTER!$A$1:$F$1,0),0)</f>
        <v>Cheese And Dairy</v>
      </c>
      <c r="I515" t="str">
        <f>VLOOKUP($B515,PRODUCT_MASTER!$A:$F,MATCH('FINAL DATA'!I$1,PRODUCT_MASTER!$A$1:$F$1,0),0)</f>
        <v>Ft</v>
      </c>
      <c r="J515" s="7">
        <f>VLOOKUP($B515,PRODUCT_MASTER!$A:$F,MATCH('FINAL DATA'!J$1,PRODUCT_MASTER!$A$1:$F$1,0),0)</f>
        <v>148</v>
      </c>
      <c r="K515" s="7">
        <f>VLOOKUP($B515,PRODUCT_MASTER!$A:$F,MATCH('FINAL DATA'!K$1,PRODUCT_MASTER!$A$1:$F$1,0),0)</f>
        <v>201.28</v>
      </c>
      <c r="L515" s="7">
        <f t="shared" ref="L515:L528" si="40">C515*J515</f>
        <v>1332</v>
      </c>
      <c r="M515" s="7">
        <f t="shared" ref="M515:M528" si="41">(K515-(K515*F515))*C515</f>
        <v>1811.52</v>
      </c>
      <c r="N515">
        <f t="shared" ref="N515:N528" si="42">DAY(A515)</f>
        <v>12</v>
      </c>
      <c r="O515" t="str">
        <f t="shared" ref="O515:O528" si="43">TEXT(A515,"MMM")</f>
        <v>Dec</v>
      </c>
      <c r="P515">
        <f t="shared" ref="P515:P528" si="44">YEAR(A515)</f>
        <v>2022</v>
      </c>
    </row>
    <row r="516" spans="1:16" x14ac:dyDescent="0.2">
      <c r="A516" s="1">
        <v>44907</v>
      </c>
      <c r="B516" t="s">
        <v>87</v>
      </c>
      <c r="C516">
        <v>10</v>
      </c>
      <c r="D516" t="s">
        <v>100</v>
      </c>
      <c r="E516" t="s">
        <v>101</v>
      </c>
      <c r="F516" s="5">
        <v>0</v>
      </c>
      <c r="G516" t="str">
        <f>VLOOKUP($B516,PRODUCT_MASTER!$A:$F,MATCH('FINAL DATA'!G$1,PRODUCT_MASTER!$A$1:$F$1,0),0)</f>
        <v>Product41</v>
      </c>
      <c r="H516" t="str">
        <f>VLOOKUP($B516,PRODUCT_MASTER!$A:$F,MATCH('FINAL DATA'!H$1,PRODUCT_MASTER!$A$1:$F$1,0),0)</f>
        <v>Snacks</v>
      </c>
      <c r="I516" t="str">
        <f>VLOOKUP($B516,PRODUCT_MASTER!$A:$F,MATCH('FINAL DATA'!I$1,PRODUCT_MASTER!$A$1:$F$1,0),0)</f>
        <v>Ft</v>
      </c>
      <c r="J516" s="7">
        <f>VLOOKUP($B516,PRODUCT_MASTER!$A:$F,MATCH('FINAL DATA'!J$1,PRODUCT_MASTER!$A$1:$F$1,0),0)</f>
        <v>138</v>
      </c>
      <c r="K516" s="7">
        <f>VLOOKUP($B516,PRODUCT_MASTER!$A:$F,MATCH('FINAL DATA'!K$1,PRODUCT_MASTER!$A$1:$F$1,0),0)</f>
        <v>173.88</v>
      </c>
      <c r="L516" s="7">
        <f t="shared" si="40"/>
        <v>1380</v>
      </c>
      <c r="M516" s="7">
        <f t="shared" si="41"/>
        <v>1738.8</v>
      </c>
      <c r="N516">
        <f t="shared" si="42"/>
        <v>12</v>
      </c>
      <c r="O516" t="str">
        <f t="shared" si="43"/>
        <v>Dec</v>
      </c>
      <c r="P516">
        <f t="shared" si="44"/>
        <v>2022</v>
      </c>
    </row>
    <row r="517" spans="1:16" x14ac:dyDescent="0.2">
      <c r="A517" s="1">
        <v>44909</v>
      </c>
      <c r="B517" t="s">
        <v>15</v>
      </c>
      <c r="C517">
        <v>4</v>
      </c>
      <c r="D517" t="s">
        <v>103</v>
      </c>
      <c r="E517" t="s">
        <v>102</v>
      </c>
      <c r="F517" s="5">
        <v>0</v>
      </c>
      <c r="G517" t="str">
        <f>VLOOKUP($B517,PRODUCT_MASTER!$A:$F,MATCH('FINAL DATA'!G$1,PRODUCT_MASTER!$A$1:$F$1,0),0)</f>
        <v>Product05</v>
      </c>
      <c r="H517" t="str">
        <f>VLOOKUP($B517,PRODUCT_MASTER!$A:$F,MATCH('FINAL DATA'!H$1,PRODUCT_MASTER!$A$1:$F$1,0),0)</f>
        <v>Organic</v>
      </c>
      <c r="I517" t="str">
        <f>VLOOKUP($B517,PRODUCT_MASTER!$A:$F,MATCH('FINAL DATA'!I$1,PRODUCT_MASTER!$A$1:$F$1,0),0)</f>
        <v>Ft</v>
      </c>
      <c r="J517" s="7">
        <f>VLOOKUP($B517,PRODUCT_MASTER!$A:$F,MATCH('FINAL DATA'!J$1,PRODUCT_MASTER!$A$1:$F$1,0),0)</f>
        <v>133</v>
      </c>
      <c r="K517" s="7">
        <f>VLOOKUP($B517,PRODUCT_MASTER!$A:$F,MATCH('FINAL DATA'!K$1,PRODUCT_MASTER!$A$1:$F$1,0),0)</f>
        <v>155.61000000000001</v>
      </c>
      <c r="L517" s="7">
        <f t="shared" si="40"/>
        <v>532</v>
      </c>
      <c r="M517" s="7">
        <f t="shared" si="41"/>
        <v>622.44000000000005</v>
      </c>
      <c r="N517">
        <f t="shared" si="42"/>
        <v>14</v>
      </c>
      <c r="O517" t="str">
        <f t="shared" si="43"/>
        <v>Dec</v>
      </c>
      <c r="P517">
        <f t="shared" si="44"/>
        <v>2022</v>
      </c>
    </row>
    <row r="518" spans="1:16" x14ac:dyDescent="0.2">
      <c r="A518" s="1">
        <v>44910</v>
      </c>
      <c r="B518" t="s">
        <v>23</v>
      </c>
      <c r="C518">
        <v>13</v>
      </c>
      <c r="D518" t="s">
        <v>103</v>
      </c>
      <c r="E518" t="s">
        <v>101</v>
      </c>
      <c r="F518" s="5">
        <v>0</v>
      </c>
      <c r="G518" t="str">
        <f>VLOOKUP($B518,PRODUCT_MASTER!$A:$F,MATCH('FINAL DATA'!G$1,PRODUCT_MASTER!$A$1:$F$1,0),0)</f>
        <v>Product09</v>
      </c>
      <c r="H518" t="str">
        <f>VLOOKUP($B518,PRODUCT_MASTER!$A:$F,MATCH('FINAL DATA'!H$1,PRODUCT_MASTER!$A$1:$F$1,0),0)</f>
        <v>Gourmet Foods</v>
      </c>
      <c r="I518" t="str">
        <f>VLOOKUP($B518,PRODUCT_MASTER!$A:$F,MATCH('FINAL DATA'!I$1,PRODUCT_MASTER!$A$1:$F$1,0),0)</f>
        <v>No.</v>
      </c>
      <c r="J518" s="7">
        <f>VLOOKUP($B518,PRODUCT_MASTER!$A:$F,MATCH('FINAL DATA'!J$1,PRODUCT_MASTER!$A$1:$F$1,0),0)</f>
        <v>6</v>
      </c>
      <c r="K518" s="7">
        <f>VLOOKUP($B518,PRODUCT_MASTER!$A:$F,MATCH('FINAL DATA'!K$1,PRODUCT_MASTER!$A$1:$F$1,0),0)</f>
        <v>7.8599999999999994</v>
      </c>
      <c r="L518" s="7">
        <f t="shared" si="40"/>
        <v>78</v>
      </c>
      <c r="M518" s="7">
        <f t="shared" si="41"/>
        <v>102.17999999999999</v>
      </c>
      <c r="N518">
        <f t="shared" si="42"/>
        <v>15</v>
      </c>
      <c r="O518" t="str">
        <f t="shared" si="43"/>
        <v>Dec</v>
      </c>
      <c r="P518">
        <f t="shared" si="44"/>
        <v>2022</v>
      </c>
    </row>
    <row r="519" spans="1:16" x14ac:dyDescent="0.2">
      <c r="A519" s="1">
        <v>44914</v>
      </c>
      <c r="B519" t="s">
        <v>93</v>
      </c>
      <c r="C519">
        <v>7</v>
      </c>
      <c r="D519" t="s">
        <v>103</v>
      </c>
      <c r="E519" t="s">
        <v>101</v>
      </c>
      <c r="F519" s="5">
        <v>0</v>
      </c>
      <c r="G519" t="str">
        <f>VLOOKUP($B519,PRODUCT_MASTER!$A:$F,MATCH('FINAL DATA'!G$1,PRODUCT_MASTER!$A$1:$F$1,0),0)</f>
        <v>Product44</v>
      </c>
      <c r="H519" t="str">
        <f>VLOOKUP($B519,PRODUCT_MASTER!$A:$F,MATCH('FINAL DATA'!H$1,PRODUCT_MASTER!$A$1:$F$1,0),0)</f>
        <v>Candy</v>
      </c>
      <c r="I519" t="str">
        <f>VLOOKUP($B519,PRODUCT_MASTER!$A:$F,MATCH('FINAL DATA'!I$1,PRODUCT_MASTER!$A$1:$F$1,0),0)</f>
        <v>Kg</v>
      </c>
      <c r="J519" s="7">
        <f>VLOOKUP($B519,PRODUCT_MASTER!$A:$F,MATCH('FINAL DATA'!J$1,PRODUCT_MASTER!$A$1:$F$1,0),0)</f>
        <v>76</v>
      </c>
      <c r="K519" s="7">
        <f>VLOOKUP($B519,PRODUCT_MASTER!$A:$F,MATCH('FINAL DATA'!K$1,PRODUCT_MASTER!$A$1:$F$1,0),0)</f>
        <v>82.08</v>
      </c>
      <c r="L519" s="7">
        <f t="shared" si="40"/>
        <v>532</v>
      </c>
      <c r="M519" s="7">
        <f t="shared" si="41"/>
        <v>574.55999999999995</v>
      </c>
      <c r="N519">
        <f t="shared" si="42"/>
        <v>19</v>
      </c>
      <c r="O519" t="str">
        <f t="shared" si="43"/>
        <v>Dec</v>
      </c>
      <c r="P519">
        <f t="shared" si="44"/>
        <v>2022</v>
      </c>
    </row>
    <row r="520" spans="1:16" x14ac:dyDescent="0.2">
      <c r="A520" s="1">
        <v>44914</v>
      </c>
      <c r="B520" t="s">
        <v>27</v>
      </c>
      <c r="C520">
        <v>14</v>
      </c>
      <c r="D520" t="s">
        <v>103</v>
      </c>
      <c r="E520" t="s">
        <v>102</v>
      </c>
      <c r="F520" s="5">
        <v>0</v>
      </c>
      <c r="G520" t="str">
        <f>VLOOKUP($B520,PRODUCT_MASTER!$A:$F,MATCH('FINAL DATA'!G$1,PRODUCT_MASTER!$A$1:$F$1,0),0)</f>
        <v>Product11</v>
      </c>
      <c r="H520" t="str">
        <f>VLOOKUP($B520,PRODUCT_MASTER!$A:$F,MATCH('FINAL DATA'!H$1,PRODUCT_MASTER!$A$1:$F$1,0),0)</f>
        <v>Gourmet Foods</v>
      </c>
      <c r="I520" t="str">
        <f>VLOOKUP($B520,PRODUCT_MASTER!$A:$F,MATCH('FINAL DATA'!I$1,PRODUCT_MASTER!$A$1:$F$1,0),0)</f>
        <v>Lt</v>
      </c>
      <c r="J520" s="7">
        <f>VLOOKUP($B520,PRODUCT_MASTER!$A:$F,MATCH('FINAL DATA'!J$1,PRODUCT_MASTER!$A$1:$F$1,0),0)</f>
        <v>44</v>
      </c>
      <c r="K520" s="7">
        <f>VLOOKUP($B520,PRODUCT_MASTER!$A:$F,MATCH('FINAL DATA'!K$1,PRODUCT_MASTER!$A$1:$F$1,0),0)</f>
        <v>48.4</v>
      </c>
      <c r="L520" s="7">
        <f t="shared" si="40"/>
        <v>616</v>
      </c>
      <c r="M520" s="7">
        <f t="shared" si="41"/>
        <v>677.6</v>
      </c>
      <c r="N520">
        <f t="shared" si="42"/>
        <v>19</v>
      </c>
      <c r="O520" t="str">
        <f t="shared" si="43"/>
        <v>Dec</v>
      </c>
      <c r="P520">
        <f t="shared" si="44"/>
        <v>2022</v>
      </c>
    </row>
    <row r="521" spans="1:16" x14ac:dyDescent="0.2">
      <c r="A521" s="1">
        <v>44914</v>
      </c>
      <c r="B521" t="s">
        <v>23</v>
      </c>
      <c r="C521">
        <v>11</v>
      </c>
      <c r="D521" t="s">
        <v>101</v>
      </c>
      <c r="E521" t="s">
        <v>101</v>
      </c>
      <c r="F521" s="5">
        <v>0</v>
      </c>
      <c r="G521" t="str">
        <f>VLOOKUP($B521,PRODUCT_MASTER!$A:$F,MATCH('FINAL DATA'!G$1,PRODUCT_MASTER!$A$1:$F$1,0),0)</f>
        <v>Product09</v>
      </c>
      <c r="H521" t="str">
        <f>VLOOKUP($B521,PRODUCT_MASTER!$A:$F,MATCH('FINAL DATA'!H$1,PRODUCT_MASTER!$A$1:$F$1,0),0)</f>
        <v>Gourmet Foods</v>
      </c>
      <c r="I521" t="str">
        <f>VLOOKUP($B521,PRODUCT_MASTER!$A:$F,MATCH('FINAL DATA'!I$1,PRODUCT_MASTER!$A$1:$F$1,0),0)</f>
        <v>No.</v>
      </c>
      <c r="J521" s="7">
        <f>VLOOKUP($B521,PRODUCT_MASTER!$A:$F,MATCH('FINAL DATA'!J$1,PRODUCT_MASTER!$A$1:$F$1,0),0)</f>
        <v>6</v>
      </c>
      <c r="K521" s="7">
        <f>VLOOKUP($B521,PRODUCT_MASTER!$A:$F,MATCH('FINAL DATA'!K$1,PRODUCT_MASTER!$A$1:$F$1,0),0)</f>
        <v>7.8599999999999994</v>
      </c>
      <c r="L521" s="7">
        <f t="shared" si="40"/>
        <v>66</v>
      </c>
      <c r="M521" s="7">
        <f t="shared" si="41"/>
        <v>86.46</v>
      </c>
      <c r="N521">
        <f t="shared" si="42"/>
        <v>19</v>
      </c>
      <c r="O521" t="str">
        <f t="shared" si="43"/>
        <v>Dec</v>
      </c>
      <c r="P521">
        <f t="shared" si="44"/>
        <v>2022</v>
      </c>
    </row>
    <row r="522" spans="1:16" x14ac:dyDescent="0.2">
      <c r="A522" s="1">
        <v>44916</v>
      </c>
      <c r="B522" t="s">
        <v>17</v>
      </c>
      <c r="C522">
        <v>10</v>
      </c>
      <c r="D522" t="s">
        <v>103</v>
      </c>
      <c r="E522" t="s">
        <v>101</v>
      </c>
      <c r="F522" s="5">
        <v>0</v>
      </c>
      <c r="G522" t="str">
        <f>VLOOKUP($B522,PRODUCT_MASTER!$A:$F,MATCH('FINAL DATA'!G$1,PRODUCT_MASTER!$A$1:$F$1,0),0)</f>
        <v>Product06</v>
      </c>
      <c r="H522" t="str">
        <f>VLOOKUP($B522,PRODUCT_MASTER!$A:$F,MATCH('FINAL DATA'!H$1,PRODUCT_MASTER!$A$1:$F$1,0),0)</f>
        <v>Gourmet Foods</v>
      </c>
      <c r="I522" t="str">
        <f>VLOOKUP($B522,PRODUCT_MASTER!$A:$F,MATCH('FINAL DATA'!I$1,PRODUCT_MASTER!$A$1:$F$1,0),0)</f>
        <v>Kg</v>
      </c>
      <c r="J522" s="7">
        <f>VLOOKUP($B522,PRODUCT_MASTER!$A:$F,MATCH('FINAL DATA'!J$1,PRODUCT_MASTER!$A$1:$F$1,0),0)</f>
        <v>75</v>
      </c>
      <c r="K522" s="7">
        <f>VLOOKUP($B522,PRODUCT_MASTER!$A:$F,MATCH('FINAL DATA'!K$1,PRODUCT_MASTER!$A$1:$F$1,0),0)</f>
        <v>85.5</v>
      </c>
      <c r="L522" s="7">
        <f t="shared" si="40"/>
        <v>750</v>
      </c>
      <c r="M522" s="7">
        <f t="shared" si="41"/>
        <v>855</v>
      </c>
      <c r="N522">
        <f t="shared" si="42"/>
        <v>21</v>
      </c>
      <c r="O522" t="str">
        <f t="shared" si="43"/>
        <v>Dec</v>
      </c>
      <c r="P522">
        <f t="shared" si="44"/>
        <v>2022</v>
      </c>
    </row>
    <row r="523" spans="1:16" x14ac:dyDescent="0.2">
      <c r="A523" s="1">
        <v>44924</v>
      </c>
      <c r="B523" t="s">
        <v>21</v>
      </c>
      <c r="C523">
        <v>15</v>
      </c>
      <c r="D523" t="s">
        <v>103</v>
      </c>
      <c r="E523" t="s">
        <v>101</v>
      </c>
      <c r="F523" s="5">
        <v>0</v>
      </c>
      <c r="G523" t="str">
        <f>VLOOKUP($B523,PRODUCT_MASTER!$A:$F,MATCH('FINAL DATA'!G$1,PRODUCT_MASTER!$A$1:$F$1,0),0)</f>
        <v>Product08</v>
      </c>
      <c r="H523" t="str">
        <f>VLOOKUP($B523,PRODUCT_MASTER!$A:$F,MATCH('FINAL DATA'!H$1,PRODUCT_MASTER!$A$1:$F$1,0),0)</f>
        <v>Gourmet Foods</v>
      </c>
      <c r="I523" t="str">
        <f>VLOOKUP($B523,PRODUCT_MASTER!$A:$F,MATCH('FINAL DATA'!I$1,PRODUCT_MASTER!$A$1:$F$1,0),0)</f>
        <v>Kg</v>
      </c>
      <c r="J523" s="7">
        <f>VLOOKUP($B523,PRODUCT_MASTER!$A:$F,MATCH('FINAL DATA'!J$1,PRODUCT_MASTER!$A$1:$F$1,0),0)</f>
        <v>83</v>
      </c>
      <c r="K523" s="7">
        <f>VLOOKUP($B523,PRODUCT_MASTER!$A:$F,MATCH('FINAL DATA'!K$1,PRODUCT_MASTER!$A$1:$F$1,0),0)</f>
        <v>94.62</v>
      </c>
      <c r="L523" s="7">
        <f t="shared" si="40"/>
        <v>1245</v>
      </c>
      <c r="M523" s="7">
        <f t="shared" si="41"/>
        <v>1419.3000000000002</v>
      </c>
      <c r="N523">
        <f t="shared" si="42"/>
        <v>29</v>
      </c>
      <c r="O523" t="str">
        <f t="shared" si="43"/>
        <v>Dec</v>
      </c>
      <c r="P523">
        <f t="shared" si="44"/>
        <v>2022</v>
      </c>
    </row>
    <row r="524" spans="1:16" x14ac:dyDescent="0.2">
      <c r="A524" s="1">
        <v>44924</v>
      </c>
      <c r="B524" t="s">
        <v>89</v>
      </c>
      <c r="C524">
        <v>1</v>
      </c>
      <c r="D524" t="s">
        <v>100</v>
      </c>
      <c r="E524" t="s">
        <v>102</v>
      </c>
      <c r="F524" s="5">
        <v>0</v>
      </c>
      <c r="G524" t="str">
        <f>VLOOKUP($B524,PRODUCT_MASTER!$A:$F,MATCH('FINAL DATA'!G$1,PRODUCT_MASTER!$A$1:$F$1,0),0)</f>
        <v>Product42</v>
      </c>
      <c r="H524" t="str">
        <f>VLOOKUP($B524,PRODUCT_MASTER!$A:$F,MATCH('FINAL DATA'!H$1,PRODUCT_MASTER!$A$1:$F$1,0),0)</f>
        <v>Candy</v>
      </c>
      <c r="I524" t="str">
        <f>VLOOKUP($B524,PRODUCT_MASTER!$A:$F,MATCH('FINAL DATA'!I$1,PRODUCT_MASTER!$A$1:$F$1,0),0)</f>
        <v>Ft</v>
      </c>
      <c r="J524" s="7">
        <f>VLOOKUP($B524,PRODUCT_MASTER!$A:$F,MATCH('FINAL DATA'!J$1,PRODUCT_MASTER!$A$1:$F$1,0),0)</f>
        <v>120</v>
      </c>
      <c r="K524" s="7">
        <f>VLOOKUP($B524,PRODUCT_MASTER!$A:$F,MATCH('FINAL DATA'!K$1,PRODUCT_MASTER!$A$1:$F$1,0),0)</f>
        <v>162</v>
      </c>
      <c r="L524" s="7">
        <f t="shared" si="40"/>
        <v>120</v>
      </c>
      <c r="M524" s="7">
        <f t="shared" si="41"/>
        <v>162</v>
      </c>
      <c r="N524">
        <f t="shared" si="42"/>
        <v>29</v>
      </c>
      <c r="O524" t="str">
        <f t="shared" si="43"/>
        <v>Dec</v>
      </c>
      <c r="P524">
        <f t="shared" si="44"/>
        <v>2022</v>
      </c>
    </row>
    <row r="525" spans="1:16" x14ac:dyDescent="0.2">
      <c r="A525" s="1">
        <v>44925</v>
      </c>
      <c r="B525" t="s">
        <v>87</v>
      </c>
      <c r="C525">
        <v>14</v>
      </c>
      <c r="D525" t="s">
        <v>103</v>
      </c>
      <c r="E525" t="s">
        <v>101</v>
      </c>
      <c r="F525" s="5">
        <v>0</v>
      </c>
      <c r="G525" t="str">
        <f>VLOOKUP($B525,PRODUCT_MASTER!$A:$F,MATCH('FINAL DATA'!G$1,PRODUCT_MASTER!$A$1:$F$1,0),0)</f>
        <v>Product41</v>
      </c>
      <c r="H525" t="str">
        <f>VLOOKUP($B525,PRODUCT_MASTER!$A:$F,MATCH('FINAL DATA'!H$1,PRODUCT_MASTER!$A$1:$F$1,0),0)</f>
        <v>Snacks</v>
      </c>
      <c r="I525" t="str">
        <f>VLOOKUP($B525,PRODUCT_MASTER!$A:$F,MATCH('FINAL DATA'!I$1,PRODUCT_MASTER!$A$1:$F$1,0),0)</f>
        <v>Ft</v>
      </c>
      <c r="J525" s="7">
        <f>VLOOKUP($B525,PRODUCT_MASTER!$A:$F,MATCH('FINAL DATA'!J$1,PRODUCT_MASTER!$A$1:$F$1,0),0)</f>
        <v>138</v>
      </c>
      <c r="K525" s="7">
        <f>VLOOKUP($B525,PRODUCT_MASTER!$A:$F,MATCH('FINAL DATA'!K$1,PRODUCT_MASTER!$A$1:$F$1,0),0)</f>
        <v>173.88</v>
      </c>
      <c r="L525" s="7">
        <f t="shared" si="40"/>
        <v>1932</v>
      </c>
      <c r="M525" s="7">
        <f t="shared" si="41"/>
        <v>2434.3199999999997</v>
      </c>
      <c r="N525">
        <f t="shared" si="42"/>
        <v>30</v>
      </c>
      <c r="O525" t="str">
        <f t="shared" si="43"/>
        <v>Dec</v>
      </c>
      <c r="P525">
        <f t="shared" si="44"/>
        <v>2022</v>
      </c>
    </row>
    <row r="526" spans="1:16" x14ac:dyDescent="0.2">
      <c r="A526" s="1">
        <v>44926</v>
      </c>
      <c r="B526" t="s">
        <v>71</v>
      </c>
      <c r="C526">
        <v>12</v>
      </c>
      <c r="D526" t="s">
        <v>101</v>
      </c>
      <c r="E526" t="s">
        <v>101</v>
      </c>
      <c r="F526" s="5">
        <v>0</v>
      </c>
      <c r="G526" t="str">
        <f>VLOOKUP($B526,PRODUCT_MASTER!$A:$F,MATCH('FINAL DATA'!G$1,PRODUCT_MASTER!$A$1:$F$1,0),0)</f>
        <v>Product33</v>
      </c>
      <c r="H526" t="str">
        <f>VLOOKUP($B526,PRODUCT_MASTER!$A:$F,MATCH('FINAL DATA'!H$1,PRODUCT_MASTER!$A$1:$F$1,0),0)</f>
        <v>Bakery And Desserts</v>
      </c>
      <c r="I526" t="str">
        <f>VLOOKUP($B526,PRODUCT_MASTER!$A:$F,MATCH('FINAL DATA'!I$1,PRODUCT_MASTER!$A$1:$F$1,0),0)</f>
        <v>Kg</v>
      </c>
      <c r="J526" s="7">
        <f>VLOOKUP($B526,PRODUCT_MASTER!$A:$F,MATCH('FINAL DATA'!J$1,PRODUCT_MASTER!$A$1:$F$1,0),0)</f>
        <v>95</v>
      </c>
      <c r="K526" s="7">
        <f>VLOOKUP($B526,PRODUCT_MASTER!$A:$F,MATCH('FINAL DATA'!K$1,PRODUCT_MASTER!$A$1:$F$1,0),0)</f>
        <v>119.7</v>
      </c>
      <c r="L526" s="7">
        <f t="shared" si="40"/>
        <v>1140</v>
      </c>
      <c r="M526" s="7">
        <f t="shared" si="41"/>
        <v>1436.4</v>
      </c>
      <c r="N526">
        <f t="shared" si="42"/>
        <v>31</v>
      </c>
      <c r="O526" t="str">
        <f t="shared" si="43"/>
        <v>Dec</v>
      </c>
      <c r="P526">
        <f t="shared" si="44"/>
        <v>2022</v>
      </c>
    </row>
    <row r="527" spans="1:16" x14ac:dyDescent="0.2">
      <c r="A527" s="1">
        <v>44926</v>
      </c>
      <c r="B527" t="s">
        <v>27</v>
      </c>
      <c r="C527">
        <v>6</v>
      </c>
      <c r="D527" t="s">
        <v>101</v>
      </c>
      <c r="E527" t="s">
        <v>101</v>
      </c>
      <c r="F527" s="5">
        <v>0</v>
      </c>
      <c r="G527" t="str">
        <f>VLOOKUP($B527,PRODUCT_MASTER!$A:$F,MATCH('FINAL DATA'!G$1,PRODUCT_MASTER!$A$1:$F$1,0),0)</f>
        <v>Product11</v>
      </c>
      <c r="H527" t="str">
        <f>VLOOKUP($B527,PRODUCT_MASTER!$A:$F,MATCH('FINAL DATA'!H$1,PRODUCT_MASTER!$A$1:$F$1,0),0)</f>
        <v>Gourmet Foods</v>
      </c>
      <c r="I527" t="str">
        <f>VLOOKUP($B527,PRODUCT_MASTER!$A:$F,MATCH('FINAL DATA'!I$1,PRODUCT_MASTER!$A$1:$F$1,0),0)</f>
        <v>Lt</v>
      </c>
      <c r="J527" s="7">
        <f>VLOOKUP($B527,PRODUCT_MASTER!$A:$F,MATCH('FINAL DATA'!J$1,PRODUCT_MASTER!$A$1:$F$1,0),0)</f>
        <v>44</v>
      </c>
      <c r="K527" s="7">
        <f>VLOOKUP($B527,PRODUCT_MASTER!$A:$F,MATCH('FINAL DATA'!K$1,PRODUCT_MASTER!$A$1:$F$1,0),0)</f>
        <v>48.4</v>
      </c>
      <c r="L527" s="7">
        <f t="shared" si="40"/>
        <v>264</v>
      </c>
      <c r="M527" s="7">
        <f t="shared" si="41"/>
        <v>290.39999999999998</v>
      </c>
      <c r="N527">
        <f t="shared" si="42"/>
        <v>31</v>
      </c>
      <c r="O527" t="str">
        <f t="shared" si="43"/>
        <v>Dec</v>
      </c>
      <c r="P527">
        <f t="shared" si="44"/>
        <v>2022</v>
      </c>
    </row>
    <row r="528" spans="1:16" x14ac:dyDescent="0.2">
      <c r="A528" s="1">
        <v>44926</v>
      </c>
      <c r="B528" t="s">
        <v>27</v>
      </c>
      <c r="C528">
        <v>3</v>
      </c>
      <c r="D528" t="s">
        <v>100</v>
      </c>
      <c r="E528" t="s">
        <v>102</v>
      </c>
      <c r="F528" s="5">
        <v>0</v>
      </c>
      <c r="G528" t="str">
        <f>VLOOKUP($B528,PRODUCT_MASTER!$A:$F,MATCH('FINAL DATA'!G$1,PRODUCT_MASTER!$A$1:$F$1,0),0)</f>
        <v>Product11</v>
      </c>
      <c r="H528" t="str">
        <f>VLOOKUP($B528,PRODUCT_MASTER!$A:$F,MATCH('FINAL DATA'!H$1,PRODUCT_MASTER!$A$1:$F$1,0),0)</f>
        <v>Gourmet Foods</v>
      </c>
      <c r="I528" t="str">
        <f>VLOOKUP($B528,PRODUCT_MASTER!$A:$F,MATCH('FINAL DATA'!I$1,PRODUCT_MASTER!$A$1:$F$1,0),0)</f>
        <v>Lt</v>
      </c>
      <c r="J528" s="7">
        <f>VLOOKUP($B528,PRODUCT_MASTER!$A:$F,MATCH('FINAL DATA'!J$1,PRODUCT_MASTER!$A$1:$F$1,0),0)</f>
        <v>44</v>
      </c>
      <c r="K528" s="7">
        <f>VLOOKUP($B528,PRODUCT_MASTER!$A:$F,MATCH('FINAL DATA'!K$1,PRODUCT_MASTER!$A$1:$F$1,0),0)</f>
        <v>48.4</v>
      </c>
      <c r="L528" s="7">
        <f t="shared" si="40"/>
        <v>132</v>
      </c>
      <c r="M528" s="7">
        <f t="shared" si="41"/>
        <v>145.19999999999999</v>
      </c>
      <c r="N528">
        <f t="shared" si="42"/>
        <v>31</v>
      </c>
      <c r="O528" t="str">
        <f t="shared" si="43"/>
        <v>Dec</v>
      </c>
      <c r="P528">
        <f t="shared" si="44"/>
        <v>2022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F43A4-EDB6-4C19-8EC6-E1FAF5ECB4A5}">
  <sheetPr codeName="Sheet6">
    <tabColor rgb="FF7030A0"/>
  </sheetPr>
  <dimension ref="A1:R528"/>
  <sheetViews>
    <sheetView workbookViewId="0">
      <selection activeCell="P2" sqref="P2"/>
    </sheetView>
  </sheetViews>
  <sheetFormatPr baseColWidth="10" defaultColWidth="8.83203125" defaultRowHeight="15" x14ac:dyDescent="0.2"/>
  <cols>
    <col min="1" max="1" width="10.33203125" bestFit="1" customWidth="1"/>
    <col min="2" max="2" width="11.33203125" bestFit="1" customWidth="1"/>
    <col min="3" max="4" width="11.33203125" customWidth="1"/>
    <col min="5" max="5" width="5.33203125" bestFit="1" customWidth="1"/>
    <col min="6" max="6" width="11.33203125" customWidth="1"/>
    <col min="7" max="7" width="13.1640625" bestFit="1" customWidth="1"/>
    <col min="8" max="8" width="9.6640625" bestFit="1" customWidth="1"/>
    <col min="11" max="11" width="11.6640625" bestFit="1" customWidth="1"/>
    <col min="12" max="14" width="9.5" style="15" bestFit="1" customWidth="1"/>
  </cols>
  <sheetData>
    <row r="1" spans="1:18" x14ac:dyDescent="0.2">
      <c r="A1" s="1" t="s">
        <v>95</v>
      </c>
      <c r="B1" t="s">
        <v>0</v>
      </c>
      <c r="C1" t="s">
        <v>1</v>
      </c>
      <c r="D1" t="s">
        <v>2</v>
      </c>
      <c r="E1" t="s">
        <v>3</v>
      </c>
      <c r="F1" t="s">
        <v>4</v>
      </c>
      <c r="G1" t="s">
        <v>5</v>
      </c>
      <c r="H1" t="s">
        <v>96</v>
      </c>
      <c r="I1" t="s">
        <v>97</v>
      </c>
      <c r="J1" t="s">
        <v>98</v>
      </c>
      <c r="K1" t="s">
        <v>99</v>
      </c>
      <c r="L1" s="15" t="s">
        <v>141</v>
      </c>
      <c r="M1" s="15" t="s">
        <v>142</v>
      </c>
      <c r="N1" s="15" t="s">
        <v>143</v>
      </c>
      <c r="O1" t="s">
        <v>144</v>
      </c>
      <c r="P1" s="15" t="s">
        <v>111</v>
      </c>
      <c r="Q1" s="15" t="s">
        <v>112</v>
      </c>
      <c r="R1" s="15" t="s">
        <v>113</v>
      </c>
    </row>
    <row r="2" spans="1:18" x14ac:dyDescent="0.2">
      <c r="A2" s="1">
        <v>44197</v>
      </c>
      <c r="B2" t="s">
        <v>53</v>
      </c>
      <c r="C2" t="str">
        <f>_xlfn.XLOOKUP(B2,PRODUCT_MASTER!$A:$A,PRODUCT_MASTER!$B:$B,2,0)</f>
        <v>Product24</v>
      </c>
      <c r="D2" t="str">
        <f>_xlfn.XLOOKUP(B2,PRODUCT_MASTER!$A:$A,PRODUCT_MASTER!$C:$C,2,0)</f>
        <v>Seafood</v>
      </c>
      <c r="E2" t="str">
        <f>_xlfn.XLOOKUP(B2,PRODUCT_MASTER!$A:$A,PRODUCT_MASTER!$D:$D,2,0)</f>
        <v>Ft</v>
      </c>
      <c r="F2">
        <f>_xlfn.XLOOKUP(B2,PRODUCT_MASTER!$A:$A,PRODUCT_MASTER!$E:$E,2,0)</f>
        <v>144</v>
      </c>
      <c r="G2">
        <f>_xlfn.XLOOKUP(B2,PRODUCT_MASTER!$A:$A,PRODUCT_MASTER!$F:$F,2,0)</f>
        <v>156.96</v>
      </c>
      <c r="H2">
        <v>9</v>
      </c>
      <c r="I2" t="s">
        <v>100</v>
      </c>
      <c r="J2" t="s">
        <v>101</v>
      </c>
      <c r="K2">
        <v>0</v>
      </c>
      <c r="L2" s="15">
        <f>F2*H2</f>
        <v>1296</v>
      </c>
      <c r="M2" s="15">
        <f>G2*H2</f>
        <v>1412.64</v>
      </c>
      <c r="N2" s="15">
        <f>M2-L2</f>
        <v>116.6400000000001</v>
      </c>
      <c r="O2" s="10">
        <f>N2/L2</f>
        <v>9.000000000000008E-2</v>
      </c>
      <c r="P2" t="str">
        <f>TEXT(A2,"DD")</f>
        <v>01</v>
      </c>
      <c r="Q2" t="str">
        <f>TEXT(A2,"MMM")</f>
        <v>Jan</v>
      </c>
      <c r="R2" t="str">
        <f>TEXT(A2,"YYYY")</f>
        <v>2021</v>
      </c>
    </row>
    <row r="3" spans="1:18" x14ac:dyDescent="0.2">
      <c r="A3" s="1">
        <v>44198</v>
      </c>
      <c r="B3" t="s">
        <v>81</v>
      </c>
      <c r="C3" t="str">
        <f>_xlfn.XLOOKUP(B3,PRODUCT_MASTER!$A:$A,PRODUCT_MASTER!$B:$B,2,0)</f>
        <v>Product38</v>
      </c>
      <c r="D3" t="str">
        <f>_xlfn.XLOOKUP(B3,PRODUCT_MASTER!$A:$A,PRODUCT_MASTER!$C:$C,2,0)</f>
        <v>Snacks</v>
      </c>
      <c r="E3" t="str">
        <f>_xlfn.XLOOKUP(B3,PRODUCT_MASTER!$A:$A,PRODUCT_MASTER!$D:$D,2,0)</f>
        <v>Kg</v>
      </c>
      <c r="F3">
        <f>_xlfn.XLOOKUP(B3,PRODUCT_MASTER!$A:$A,PRODUCT_MASTER!$E:$E,2,0)</f>
        <v>72</v>
      </c>
      <c r="G3">
        <f>_xlfn.XLOOKUP(B3,PRODUCT_MASTER!$A:$A,PRODUCT_MASTER!$F:$F,2,0)</f>
        <v>79.92</v>
      </c>
      <c r="H3">
        <v>15</v>
      </c>
      <c r="I3" t="s">
        <v>101</v>
      </c>
      <c r="J3" t="s">
        <v>102</v>
      </c>
      <c r="K3">
        <v>0</v>
      </c>
      <c r="L3" s="15">
        <f t="shared" ref="L3:L66" si="0">F3*H3</f>
        <v>1080</v>
      </c>
      <c r="M3" s="15">
        <f t="shared" ref="M3:M66" si="1">G3*H3</f>
        <v>1198.8</v>
      </c>
      <c r="N3" s="15">
        <f t="shared" ref="N3:N66" si="2">M3-L3</f>
        <v>118.79999999999995</v>
      </c>
      <c r="O3" s="10">
        <f t="shared" ref="O3:O66" si="3">N3/L3</f>
        <v>0.10999999999999996</v>
      </c>
      <c r="P3" t="str">
        <f t="shared" ref="P3:P66" si="4">TEXT(A3,"DD")</f>
        <v>02</v>
      </c>
      <c r="Q3" t="str">
        <f t="shared" ref="Q3:Q66" si="5">TEXT(A3,"MMM")</f>
        <v>Jan</v>
      </c>
      <c r="R3" t="str">
        <f t="shared" ref="R3:R66" si="6">TEXT(A3,"YYYY")</f>
        <v>2021</v>
      </c>
    </row>
    <row r="4" spans="1:18" x14ac:dyDescent="0.2">
      <c r="A4" s="1">
        <v>44198</v>
      </c>
      <c r="B4" t="s">
        <v>31</v>
      </c>
      <c r="C4" t="str">
        <f>_xlfn.XLOOKUP(B4,PRODUCT_MASTER!$A:$A,PRODUCT_MASTER!$B:$B,2,0)</f>
        <v>Product13</v>
      </c>
      <c r="D4" t="str">
        <f>_xlfn.XLOOKUP(B4,PRODUCT_MASTER!$A:$A,PRODUCT_MASTER!$C:$C,2,0)</f>
        <v>Meat</v>
      </c>
      <c r="E4" t="str">
        <f>_xlfn.XLOOKUP(B4,PRODUCT_MASTER!$A:$A,PRODUCT_MASTER!$D:$D,2,0)</f>
        <v>Kg</v>
      </c>
      <c r="F4">
        <f>_xlfn.XLOOKUP(B4,PRODUCT_MASTER!$A:$A,PRODUCT_MASTER!$E:$E,2,0)</f>
        <v>112</v>
      </c>
      <c r="G4">
        <f>_xlfn.XLOOKUP(B4,PRODUCT_MASTER!$A:$A,PRODUCT_MASTER!$F:$F,2,0)</f>
        <v>122.08</v>
      </c>
      <c r="H4">
        <v>6</v>
      </c>
      <c r="I4" t="s">
        <v>103</v>
      </c>
      <c r="J4" t="s">
        <v>102</v>
      </c>
      <c r="K4">
        <v>0</v>
      </c>
      <c r="L4" s="15">
        <f t="shared" si="0"/>
        <v>672</v>
      </c>
      <c r="M4" s="15">
        <f t="shared" si="1"/>
        <v>732.48</v>
      </c>
      <c r="N4" s="15">
        <f t="shared" si="2"/>
        <v>60.480000000000018</v>
      </c>
      <c r="O4" s="10">
        <f t="shared" si="3"/>
        <v>9.0000000000000024E-2</v>
      </c>
      <c r="P4" t="str">
        <f t="shared" si="4"/>
        <v>02</v>
      </c>
      <c r="Q4" t="str">
        <f t="shared" si="5"/>
        <v>Jan</v>
      </c>
      <c r="R4" t="str">
        <f t="shared" si="6"/>
        <v>2021</v>
      </c>
    </row>
    <row r="5" spans="1:18" x14ac:dyDescent="0.2">
      <c r="A5" s="1">
        <v>44199</v>
      </c>
      <c r="B5" t="s">
        <v>13</v>
      </c>
      <c r="C5" t="str">
        <f>_xlfn.XLOOKUP(B5,PRODUCT_MASTER!$A:$A,PRODUCT_MASTER!$B:$B,2,0)</f>
        <v>Product04</v>
      </c>
      <c r="D5" t="str">
        <f>_xlfn.XLOOKUP(B5,PRODUCT_MASTER!$A:$A,PRODUCT_MASTER!$C:$C,2,0)</f>
        <v>Organic</v>
      </c>
      <c r="E5" t="str">
        <f>_xlfn.XLOOKUP(B5,PRODUCT_MASTER!$A:$A,PRODUCT_MASTER!$D:$D,2,0)</f>
        <v>Lt</v>
      </c>
      <c r="F5">
        <f>_xlfn.XLOOKUP(B5,PRODUCT_MASTER!$A:$A,PRODUCT_MASTER!$E:$E,2,0)</f>
        <v>44</v>
      </c>
      <c r="G5">
        <f>_xlfn.XLOOKUP(B5,PRODUCT_MASTER!$A:$A,PRODUCT_MASTER!$F:$F,2,0)</f>
        <v>48.84</v>
      </c>
      <c r="H5">
        <v>5</v>
      </c>
      <c r="I5" t="s">
        <v>103</v>
      </c>
      <c r="J5" t="s">
        <v>101</v>
      </c>
      <c r="K5">
        <v>0</v>
      </c>
      <c r="L5" s="15">
        <f t="shared" si="0"/>
        <v>220</v>
      </c>
      <c r="M5" s="15">
        <f t="shared" si="1"/>
        <v>244.20000000000002</v>
      </c>
      <c r="N5" s="15">
        <f t="shared" si="2"/>
        <v>24.200000000000017</v>
      </c>
      <c r="O5" s="10">
        <f t="shared" si="3"/>
        <v>0.11000000000000008</v>
      </c>
      <c r="P5" t="str">
        <f t="shared" si="4"/>
        <v>03</v>
      </c>
      <c r="Q5" t="str">
        <f t="shared" si="5"/>
        <v>Jan</v>
      </c>
      <c r="R5" t="str">
        <f t="shared" si="6"/>
        <v>2021</v>
      </c>
    </row>
    <row r="6" spans="1:18" x14ac:dyDescent="0.2">
      <c r="A6" s="1">
        <v>44200</v>
      </c>
      <c r="B6" t="s">
        <v>75</v>
      </c>
      <c r="C6" t="str">
        <f>_xlfn.XLOOKUP(B6,PRODUCT_MASTER!$A:$A,PRODUCT_MASTER!$B:$B,2,0)</f>
        <v>Product35</v>
      </c>
      <c r="D6" t="str">
        <f>_xlfn.XLOOKUP(B6,PRODUCT_MASTER!$A:$A,PRODUCT_MASTER!$C:$C,2,0)</f>
        <v>Bakery And Desserts</v>
      </c>
      <c r="E6" t="str">
        <f>_xlfn.XLOOKUP(B6,PRODUCT_MASTER!$A:$A,PRODUCT_MASTER!$D:$D,2,0)</f>
        <v>No.</v>
      </c>
      <c r="F6">
        <f>_xlfn.XLOOKUP(B6,PRODUCT_MASTER!$A:$A,PRODUCT_MASTER!$E:$E,2,0)</f>
        <v>5</v>
      </c>
      <c r="G6">
        <f>_xlfn.XLOOKUP(B6,PRODUCT_MASTER!$A:$A,PRODUCT_MASTER!$F:$F,2,0)</f>
        <v>6.7</v>
      </c>
      <c r="H6">
        <v>12</v>
      </c>
      <c r="I6" t="s">
        <v>101</v>
      </c>
      <c r="J6" t="s">
        <v>101</v>
      </c>
      <c r="K6">
        <v>0</v>
      </c>
      <c r="L6" s="15">
        <f t="shared" si="0"/>
        <v>60</v>
      </c>
      <c r="M6" s="15">
        <f t="shared" si="1"/>
        <v>80.400000000000006</v>
      </c>
      <c r="N6" s="15">
        <f t="shared" si="2"/>
        <v>20.400000000000006</v>
      </c>
      <c r="O6" s="10">
        <f t="shared" si="3"/>
        <v>0.34000000000000008</v>
      </c>
      <c r="P6" t="str">
        <f t="shared" si="4"/>
        <v>04</v>
      </c>
      <c r="Q6" t="str">
        <f t="shared" si="5"/>
        <v>Jan</v>
      </c>
      <c r="R6" t="str">
        <f t="shared" si="6"/>
        <v>2021</v>
      </c>
    </row>
    <row r="7" spans="1:18" x14ac:dyDescent="0.2">
      <c r="A7" s="1">
        <v>44205</v>
      </c>
      <c r="B7" t="s">
        <v>67</v>
      </c>
      <c r="C7" t="str">
        <f>_xlfn.XLOOKUP(B7,PRODUCT_MASTER!$A:$A,PRODUCT_MASTER!$B:$B,2,0)</f>
        <v>Product31</v>
      </c>
      <c r="D7" t="str">
        <f>_xlfn.XLOOKUP(B7,PRODUCT_MASTER!$A:$A,PRODUCT_MASTER!$C:$C,2,0)</f>
        <v>Cheese And Dairy</v>
      </c>
      <c r="E7" t="str">
        <f>_xlfn.XLOOKUP(B7,PRODUCT_MASTER!$A:$A,PRODUCT_MASTER!$D:$D,2,0)</f>
        <v>Kg</v>
      </c>
      <c r="F7">
        <f>_xlfn.XLOOKUP(B7,PRODUCT_MASTER!$A:$A,PRODUCT_MASTER!$E:$E,2,0)</f>
        <v>93</v>
      </c>
      <c r="G7">
        <f>_xlfn.XLOOKUP(B7,PRODUCT_MASTER!$A:$A,PRODUCT_MASTER!$F:$F,2,0)</f>
        <v>104.16</v>
      </c>
      <c r="H7">
        <v>1</v>
      </c>
      <c r="I7" t="s">
        <v>103</v>
      </c>
      <c r="J7" t="s">
        <v>102</v>
      </c>
      <c r="K7">
        <v>0</v>
      </c>
      <c r="L7" s="15">
        <f t="shared" si="0"/>
        <v>93</v>
      </c>
      <c r="M7" s="15">
        <f t="shared" si="1"/>
        <v>104.16</v>
      </c>
      <c r="N7" s="15">
        <f t="shared" si="2"/>
        <v>11.159999999999997</v>
      </c>
      <c r="O7" s="10">
        <f t="shared" si="3"/>
        <v>0.11999999999999997</v>
      </c>
      <c r="P7" t="str">
        <f t="shared" si="4"/>
        <v>09</v>
      </c>
      <c r="Q7" t="str">
        <f t="shared" si="5"/>
        <v>Jan</v>
      </c>
      <c r="R7" t="str">
        <f t="shared" si="6"/>
        <v>2021</v>
      </c>
    </row>
    <row r="8" spans="1:18" x14ac:dyDescent="0.2">
      <c r="A8" s="1">
        <v>44205</v>
      </c>
      <c r="B8" t="s">
        <v>11</v>
      </c>
      <c r="C8" t="str">
        <f>_xlfn.XLOOKUP(B8,PRODUCT_MASTER!$A:$A,PRODUCT_MASTER!$B:$B,2,0)</f>
        <v>Product03</v>
      </c>
      <c r="D8" t="str">
        <f>_xlfn.XLOOKUP(B8,PRODUCT_MASTER!$A:$A,PRODUCT_MASTER!$C:$C,2,0)</f>
        <v>Organic</v>
      </c>
      <c r="E8" t="str">
        <f>_xlfn.XLOOKUP(B8,PRODUCT_MASTER!$A:$A,PRODUCT_MASTER!$D:$D,2,0)</f>
        <v>Kg</v>
      </c>
      <c r="F8">
        <f>_xlfn.XLOOKUP(B8,PRODUCT_MASTER!$A:$A,PRODUCT_MASTER!$E:$E,2,0)</f>
        <v>71</v>
      </c>
      <c r="G8">
        <f>_xlfn.XLOOKUP(B8,PRODUCT_MASTER!$A:$A,PRODUCT_MASTER!$F:$F,2,0)</f>
        <v>80.94</v>
      </c>
      <c r="H8">
        <v>8</v>
      </c>
      <c r="I8" t="s">
        <v>103</v>
      </c>
      <c r="J8" t="s">
        <v>102</v>
      </c>
      <c r="K8">
        <v>0</v>
      </c>
      <c r="L8" s="15">
        <f t="shared" si="0"/>
        <v>568</v>
      </c>
      <c r="M8" s="15">
        <f t="shared" si="1"/>
        <v>647.52</v>
      </c>
      <c r="N8" s="15">
        <f t="shared" si="2"/>
        <v>79.519999999999982</v>
      </c>
      <c r="O8" s="10">
        <f t="shared" si="3"/>
        <v>0.13999999999999996</v>
      </c>
      <c r="P8" t="str">
        <f t="shared" si="4"/>
        <v>09</v>
      </c>
      <c r="Q8" t="str">
        <f t="shared" si="5"/>
        <v>Jan</v>
      </c>
      <c r="R8" t="str">
        <f t="shared" si="6"/>
        <v>2021</v>
      </c>
    </row>
    <row r="9" spans="1:18" x14ac:dyDescent="0.2">
      <c r="A9" s="1">
        <v>44205</v>
      </c>
      <c r="B9" t="s">
        <v>55</v>
      </c>
      <c r="C9" t="str">
        <f>_xlfn.XLOOKUP(B9,PRODUCT_MASTER!$A:$A,PRODUCT_MASTER!$B:$B,2,0)</f>
        <v>Product25</v>
      </c>
      <c r="D9" t="str">
        <f>_xlfn.XLOOKUP(B9,PRODUCT_MASTER!$A:$A,PRODUCT_MASTER!$C:$C,2,0)</f>
        <v>Seafood</v>
      </c>
      <c r="E9" t="str">
        <f>_xlfn.XLOOKUP(B9,PRODUCT_MASTER!$A:$A,PRODUCT_MASTER!$D:$D,2,0)</f>
        <v>No.</v>
      </c>
      <c r="F9">
        <f>_xlfn.XLOOKUP(B9,PRODUCT_MASTER!$A:$A,PRODUCT_MASTER!$E:$E,2,0)</f>
        <v>7</v>
      </c>
      <c r="G9">
        <f>_xlfn.XLOOKUP(B9,PRODUCT_MASTER!$A:$A,PRODUCT_MASTER!$F:$F,2,0)</f>
        <v>8.33</v>
      </c>
      <c r="H9">
        <v>4</v>
      </c>
      <c r="I9" t="s">
        <v>103</v>
      </c>
      <c r="J9" t="s">
        <v>101</v>
      </c>
      <c r="K9">
        <v>0</v>
      </c>
      <c r="L9" s="15">
        <f t="shared" si="0"/>
        <v>28</v>
      </c>
      <c r="M9" s="15">
        <f t="shared" si="1"/>
        <v>33.32</v>
      </c>
      <c r="N9" s="15">
        <f t="shared" si="2"/>
        <v>5.32</v>
      </c>
      <c r="O9" s="10">
        <f t="shared" si="3"/>
        <v>0.19</v>
      </c>
      <c r="P9" t="str">
        <f t="shared" si="4"/>
        <v>09</v>
      </c>
      <c r="Q9" t="str">
        <f t="shared" si="5"/>
        <v>Jan</v>
      </c>
      <c r="R9" t="str">
        <f t="shared" si="6"/>
        <v>2021</v>
      </c>
    </row>
    <row r="10" spans="1:18" x14ac:dyDescent="0.2">
      <c r="A10" s="1">
        <v>44207</v>
      </c>
      <c r="B10" t="s">
        <v>79</v>
      </c>
      <c r="C10" t="str">
        <f>_xlfn.XLOOKUP(B10,PRODUCT_MASTER!$A:$A,PRODUCT_MASTER!$B:$B,2,0)</f>
        <v>Product37</v>
      </c>
      <c r="D10" t="str">
        <f>_xlfn.XLOOKUP(B10,PRODUCT_MASTER!$A:$A,PRODUCT_MASTER!$C:$C,2,0)</f>
        <v>Snacks</v>
      </c>
      <c r="E10" t="str">
        <f>_xlfn.XLOOKUP(B10,PRODUCT_MASTER!$A:$A,PRODUCT_MASTER!$D:$D,2,0)</f>
        <v>Kg</v>
      </c>
      <c r="F10">
        <f>_xlfn.XLOOKUP(B10,PRODUCT_MASTER!$A:$A,PRODUCT_MASTER!$E:$E,2,0)</f>
        <v>67</v>
      </c>
      <c r="G10">
        <f>_xlfn.XLOOKUP(B10,PRODUCT_MASTER!$A:$A,PRODUCT_MASTER!$F:$F,2,0)</f>
        <v>85.76</v>
      </c>
      <c r="H10">
        <v>3</v>
      </c>
      <c r="I10" t="s">
        <v>103</v>
      </c>
      <c r="J10" t="s">
        <v>102</v>
      </c>
      <c r="K10">
        <v>0</v>
      </c>
      <c r="L10" s="15">
        <f t="shared" si="0"/>
        <v>201</v>
      </c>
      <c r="M10" s="15">
        <f t="shared" si="1"/>
        <v>257.28000000000003</v>
      </c>
      <c r="N10" s="15">
        <f t="shared" si="2"/>
        <v>56.28000000000003</v>
      </c>
      <c r="O10" s="10">
        <f t="shared" si="3"/>
        <v>0.28000000000000014</v>
      </c>
      <c r="P10" t="str">
        <f t="shared" si="4"/>
        <v>11</v>
      </c>
      <c r="Q10" t="str">
        <f t="shared" si="5"/>
        <v>Jan</v>
      </c>
      <c r="R10" t="str">
        <f t="shared" si="6"/>
        <v>2021</v>
      </c>
    </row>
    <row r="11" spans="1:18" x14ac:dyDescent="0.2">
      <c r="A11" s="1">
        <v>44207</v>
      </c>
      <c r="B11" t="s">
        <v>33</v>
      </c>
      <c r="C11" t="str">
        <f>_xlfn.XLOOKUP(B11,PRODUCT_MASTER!$A:$A,PRODUCT_MASTER!$B:$B,2,0)</f>
        <v>Product14</v>
      </c>
      <c r="D11" t="str">
        <f>_xlfn.XLOOKUP(B11,PRODUCT_MASTER!$A:$A,PRODUCT_MASTER!$C:$C,2,0)</f>
        <v>Meat</v>
      </c>
      <c r="E11" t="str">
        <f>_xlfn.XLOOKUP(B11,PRODUCT_MASTER!$A:$A,PRODUCT_MASTER!$D:$D,2,0)</f>
        <v>Kg</v>
      </c>
      <c r="F11">
        <f>_xlfn.XLOOKUP(B11,PRODUCT_MASTER!$A:$A,PRODUCT_MASTER!$E:$E,2,0)</f>
        <v>112</v>
      </c>
      <c r="G11">
        <f>_xlfn.XLOOKUP(B11,PRODUCT_MASTER!$A:$A,PRODUCT_MASTER!$F:$F,2,0)</f>
        <v>146.72</v>
      </c>
      <c r="H11">
        <v>4</v>
      </c>
      <c r="I11" t="s">
        <v>100</v>
      </c>
      <c r="J11" t="s">
        <v>101</v>
      </c>
      <c r="K11">
        <v>0</v>
      </c>
      <c r="L11" s="15">
        <f t="shared" si="0"/>
        <v>448</v>
      </c>
      <c r="M11" s="15">
        <f t="shared" si="1"/>
        <v>586.88</v>
      </c>
      <c r="N11" s="15">
        <f t="shared" si="2"/>
        <v>138.88</v>
      </c>
      <c r="O11" s="10">
        <f t="shared" si="3"/>
        <v>0.31</v>
      </c>
      <c r="P11" t="str">
        <f t="shared" si="4"/>
        <v>11</v>
      </c>
      <c r="Q11" t="str">
        <f t="shared" si="5"/>
        <v>Jan</v>
      </c>
      <c r="R11" t="str">
        <f t="shared" si="6"/>
        <v>2021</v>
      </c>
    </row>
    <row r="12" spans="1:18" x14ac:dyDescent="0.2">
      <c r="A12" s="1">
        <v>44207</v>
      </c>
      <c r="B12" t="s">
        <v>89</v>
      </c>
      <c r="C12" t="str">
        <f>_xlfn.XLOOKUP(B12,PRODUCT_MASTER!$A:$A,PRODUCT_MASTER!$B:$B,2,0)</f>
        <v>Product42</v>
      </c>
      <c r="D12" t="str">
        <f>_xlfn.XLOOKUP(B12,PRODUCT_MASTER!$A:$A,PRODUCT_MASTER!$C:$C,2,0)</f>
        <v>Candy</v>
      </c>
      <c r="E12" t="str">
        <f>_xlfn.XLOOKUP(B12,PRODUCT_MASTER!$A:$A,PRODUCT_MASTER!$D:$D,2,0)</f>
        <v>Ft</v>
      </c>
      <c r="F12">
        <f>_xlfn.XLOOKUP(B12,PRODUCT_MASTER!$A:$A,PRODUCT_MASTER!$E:$E,2,0)</f>
        <v>120</v>
      </c>
      <c r="G12">
        <f>_xlfn.XLOOKUP(B12,PRODUCT_MASTER!$A:$A,PRODUCT_MASTER!$F:$F,2,0)</f>
        <v>162</v>
      </c>
      <c r="H12">
        <v>4</v>
      </c>
      <c r="I12" t="s">
        <v>103</v>
      </c>
      <c r="J12" t="s">
        <v>101</v>
      </c>
      <c r="K12">
        <v>0</v>
      </c>
      <c r="L12" s="15">
        <f t="shared" si="0"/>
        <v>480</v>
      </c>
      <c r="M12" s="15">
        <f t="shared" si="1"/>
        <v>648</v>
      </c>
      <c r="N12" s="15">
        <f t="shared" si="2"/>
        <v>168</v>
      </c>
      <c r="O12" s="10">
        <f t="shared" si="3"/>
        <v>0.35</v>
      </c>
      <c r="P12" t="str">
        <f t="shared" si="4"/>
        <v>11</v>
      </c>
      <c r="Q12" t="str">
        <f t="shared" si="5"/>
        <v>Jan</v>
      </c>
      <c r="R12" t="str">
        <f t="shared" si="6"/>
        <v>2021</v>
      </c>
    </row>
    <row r="13" spans="1:18" x14ac:dyDescent="0.2">
      <c r="A13" s="1">
        <v>44208</v>
      </c>
      <c r="B13" t="s">
        <v>89</v>
      </c>
      <c r="C13" t="str">
        <f>_xlfn.XLOOKUP(B13,PRODUCT_MASTER!$A:$A,PRODUCT_MASTER!$B:$B,2,0)</f>
        <v>Product42</v>
      </c>
      <c r="D13" t="str">
        <f>_xlfn.XLOOKUP(B13,PRODUCT_MASTER!$A:$A,PRODUCT_MASTER!$C:$C,2,0)</f>
        <v>Candy</v>
      </c>
      <c r="E13" t="str">
        <f>_xlfn.XLOOKUP(B13,PRODUCT_MASTER!$A:$A,PRODUCT_MASTER!$D:$D,2,0)</f>
        <v>Ft</v>
      </c>
      <c r="F13">
        <f>_xlfn.XLOOKUP(B13,PRODUCT_MASTER!$A:$A,PRODUCT_MASTER!$E:$E,2,0)</f>
        <v>120</v>
      </c>
      <c r="G13">
        <f>_xlfn.XLOOKUP(B13,PRODUCT_MASTER!$A:$A,PRODUCT_MASTER!$F:$F,2,0)</f>
        <v>162</v>
      </c>
      <c r="H13">
        <v>10</v>
      </c>
      <c r="I13" t="s">
        <v>101</v>
      </c>
      <c r="J13" t="s">
        <v>102</v>
      </c>
      <c r="K13">
        <v>0</v>
      </c>
      <c r="L13" s="15">
        <f t="shared" si="0"/>
        <v>1200</v>
      </c>
      <c r="M13" s="15">
        <f t="shared" si="1"/>
        <v>1620</v>
      </c>
      <c r="N13" s="15">
        <f t="shared" si="2"/>
        <v>420</v>
      </c>
      <c r="O13" s="10">
        <f t="shared" si="3"/>
        <v>0.35</v>
      </c>
      <c r="P13" t="str">
        <f t="shared" si="4"/>
        <v>12</v>
      </c>
      <c r="Q13" t="str">
        <f t="shared" si="5"/>
        <v>Jan</v>
      </c>
      <c r="R13" t="str">
        <f t="shared" si="6"/>
        <v>2021</v>
      </c>
    </row>
    <row r="14" spans="1:18" x14ac:dyDescent="0.2">
      <c r="A14" s="1">
        <v>44214</v>
      </c>
      <c r="B14" t="s">
        <v>93</v>
      </c>
      <c r="C14" t="str">
        <f>_xlfn.XLOOKUP(B14,PRODUCT_MASTER!$A:$A,PRODUCT_MASTER!$B:$B,2,0)</f>
        <v>Product44</v>
      </c>
      <c r="D14" t="str">
        <f>_xlfn.XLOOKUP(B14,PRODUCT_MASTER!$A:$A,PRODUCT_MASTER!$C:$C,2,0)</f>
        <v>Candy</v>
      </c>
      <c r="E14" t="str">
        <f>_xlfn.XLOOKUP(B14,PRODUCT_MASTER!$A:$A,PRODUCT_MASTER!$D:$D,2,0)</f>
        <v>Kg</v>
      </c>
      <c r="F14">
        <f>_xlfn.XLOOKUP(B14,PRODUCT_MASTER!$A:$A,PRODUCT_MASTER!$E:$E,2,0)</f>
        <v>76</v>
      </c>
      <c r="G14">
        <f>_xlfn.XLOOKUP(B14,PRODUCT_MASTER!$A:$A,PRODUCT_MASTER!$F:$F,2,0)</f>
        <v>82.08</v>
      </c>
      <c r="H14">
        <v>13</v>
      </c>
      <c r="I14" t="s">
        <v>103</v>
      </c>
      <c r="J14" t="s">
        <v>101</v>
      </c>
      <c r="K14">
        <v>0</v>
      </c>
      <c r="L14" s="15">
        <f t="shared" si="0"/>
        <v>988</v>
      </c>
      <c r="M14" s="15">
        <f t="shared" si="1"/>
        <v>1067.04</v>
      </c>
      <c r="N14" s="15">
        <f t="shared" si="2"/>
        <v>79.039999999999964</v>
      </c>
      <c r="O14" s="10">
        <f t="shared" si="3"/>
        <v>7.999999999999996E-2</v>
      </c>
      <c r="P14" t="str">
        <f t="shared" si="4"/>
        <v>18</v>
      </c>
      <c r="Q14" t="str">
        <f t="shared" si="5"/>
        <v>Jan</v>
      </c>
      <c r="R14" t="str">
        <f t="shared" si="6"/>
        <v>2021</v>
      </c>
    </row>
    <row r="15" spans="1:18" x14ac:dyDescent="0.2">
      <c r="A15" s="1">
        <v>44214</v>
      </c>
      <c r="B15" t="s">
        <v>51</v>
      </c>
      <c r="C15" t="str">
        <f>_xlfn.XLOOKUP(B15,PRODUCT_MASTER!$A:$A,PRODUCT_MASTER!$B:$B,2,0)</f>
        <v>Product23</v>
      </c>
      <c r="D15" t="str">
        <f>_xlfn.XLOOKUP(B15,PRODUCT_MASTER!$A:$A,PRODUCT_MASTER!$C:$C,2,0)</f>
        <v>Seafood</v>
      </c>
      <c r="E15" t="str">
        <f>_xlfn.XLOOKUP(B15,PRODUCT_MASTER!$A:$A,PRODUCT_MASTER!$D:$D,2,0)</f>
        <v>Ft</v>
      </c>
      <c r="F15">
        <f>_xlfn.XLOOKUP(B15,PRODUCT_MASTER!$A:$A,PRODUCT_MASTER!$E:$E,2,0)</f>
        <v>141</v>
      </c>
      <c r="G15">
        <f>_xlfn.XLOOKUP(B15,PRODUCT_MASTER!$A:$A,PRODUCT_MASTER!$F:$F,2,0)</f>
        <v>149.46</v>
      </c>
      <c r="H15">
        <v>3</v>
      </c>
      <c r="I15" t="s">
        <v>101</v>
      </c>
      <c r="J15" t="s">
        <v>102</v>
      </c>
      <c r="K15">
        <v>0</v>
      </c>
      <c r="L15" s="15">
        <f t="shared" si="0"/>
        <v>423</v>
      </c>
      <c r="M15" s="15">
        <f t="shared" si="1"/>
        <v>448.38</v>
      </c>
      <c r="N15" s="15">
        <f t="shared" si="2"/>
        <v>25.379999999999995</v>
      </c>
      <c r="O15" s="10">
        <f t="shared" si="3"/>
        <v>5.9999999999999991E-2</v>
      </c>
      <c r="P15" t="str">
        <f t="shared" si="4"/>
        <v>18</v>
      </c>
      <c r="Q15" t="str">
        <f t="shared" si="5"/>
        <v>Jan</v>
      </c>
      <c r="R15" t="str">
        <f t="shared" si="6"/>
        <v>2021</v>
      </c>
    </row>
    <row r="16" spans="1:18" x14ac:dyDescent="0.2">
      <c r="A16" s="1">
        <v>44215</v>
      </c>
      <c r="B16" t="s">
        <v>75</v>
      </c>
      <c r="C16" t="str">
        <f>_xlfn.XLOOKUP(B16,PRODUCT_MASTER!$A:$A,PRODUCT_MASTER!$B:$B,2,0)</f>
        <v>Product35</v>
      </c>
      <c r="D16" t="str">
        <f>_xlfn.XLOOKUP(B16,PRODUCT_MASTER!$A:$A,PRODUCT_MASTER!$C:$C,2,0)</f>
        <v>Bakery And Desserts</v>
      </c>
      <c r="E16" t="str">
        <f>_xlfn.XLOOKUP(B16,PRODUCT_MASTER!$A:$A,PRODUCT_MASTER!$D:$D,2,0)</f>
        <v>No.</v>
      </c>
      <c r="F16">
        <f>_xlfn.XLOOKUP(B16,PRODUCT_MASTER!$A:$A,PRODUCT_MASTER!$E:$E,2,0)</f>
        <v>5</v>
      </c>
      <c r="G16">
        <f>_xlfn.XLOOKUP(B16,PRODUCT_MASTER!$A:$A,PRODUCT_MASTER!$F:$F,2,0)</f>
        <v>6.7</v>
      </c>
      <c r="H16">
        <v>6</v>
      </c>
      <c r="I16" t="s">
        <v>103</v>
      </c>
      <c r="J16" t="s">
        <v>102</v>
      </c>
      <c r="K16">
        <v>0</v>
      </c>
      <c r="L16" s="15">
        <f t="shared" si="0"/>
        <v>30</v>
      </c>
      <c r="M16" s="15">
        <f t="shared" si="1"/>
        <v>40.200000000000003</v>
      </c>
      <c r="N16" s="15">
        <f t="shared" si="2"/>
        <v>10.200000000000003</v>
      </c>
      <c r="O16" s="10">
        <f t="shared" si="3"/>
        <v>0.34000000000000008</v>
      </c>
      <c r="P16" t="str">
        <f t="shared" si="4"/>
        <v>19</v>
      </c>
      <c r="Q16" t="str">
        <f t="shared" si="5"/>
        <v>Jan</v>
      </c>
      <c r="R16" t="str">
        <f t="shared" si="6"/>
        <v>2021</v>
      </c>
    </row>
    <row r="17" spans="1:18" x14ac:dyDescent="0.2">
      <c r="A17" s="1">
        <v>44216</v>
      </c>
      <c r="B17" t="s">
        <v>73</v>
      </c>
      <c r="C17" t="str">
        <f>_xlfn.XLOOKUP(B17,PRODUCT_MASTER!$A:$A,PRODUCT_MASTER!$B:$B,2,0)</f>
        <v>Product34</v>
      </c>
      <c r="D17" t="str">
        <f>_xlfn.XLOOKUP(B17,PRODUCT_MASTER!$A:$A,PRODUCT_MASTER!$C:$C,2,0)</f>
        <v>Bakery And Desserts</v>
      </c>
      <c r="E17" t="str">
        <f>_xlfn.XLOOKUP(B17,PRODUCT_MASTER!$A:$A,PRODUCT_MASTER!$D:$D,2,0)</f>
        <v>Lt</v>
      </c>
      <c r="F17">
        <f>_xlfn.XLOOKUP(B17,PRODUCT_MASTER!$A:$A,PRODUCT_MASTER!$E:$E,2,0)</f>
        <v>55</v>
      </c>
      <c r="G17">
        <f>_xlfn.XLOOKUP(B17,PRODUCT_MASTER!$A:$A,PRODUCT_MASTER!$F:$F,2,0)</f>
        <v>58.3</v>
      </c>
      <c r="H17">
        <v>4</v>
      </c>
      <c r="I17" t="s">
        <v>103</v>
      </c>
      <c r="J17" t="s">
        <v>102</v>
      </c>
      <c r="K17">
        <v>0</v>
      </c>
      <c r="L17" s="15">
        <f t="shared" si="0"/>
        <v>220</v>
      </c>
      <c r="M17" s="15">
        <f t="shared" si="1"/>
        <v>233.2</v>
      </c>
      <c r="N17" s="15">
        <f t="shared" si="2"/>
        <v>13.199999999999989</v>
      </c>
      <c r="O17" s="10">
        <f t="shared" si="3"/>
        <v>5.9999999999999949E-2</v>
      </c>
      <c r="P17" t="str">
        <f t="shared" si="4"/>
        <v>20</v>
      </c>
      <c r="Q17" t="str">
        <f t="shared" si="5"/>
        <v>Jan</v>
      </c>
      <c r="R17" t="str">
        <f t="shared" si="6"/>
        <v>2021</v>
      </c>
    </row>
    <row r="18" spans="1:18" x14ac:dyDescent="0.2">
      <c r="A18" s="1">
        <v>44216</v>
      </c>
      <c r="B18" t="s">
        <v>45</v>
      </c>
      <c r="C18" t="str">
        <f>_xlfn.XLOOKUP(B18,PRODUCT_MASTER!$A:$A,PRODUCT_MASTER!$B:$B,2,0)</f>
        <v>Product20</v>
      </c>
      <c r="D18" t="str">
        <f>_xlfn.XLOOKUP(B18,PRODUCT_MASTER!$A:$A,PRODUCT_MASTER!$C:$C,2,0)</f>
        <v>Poultry</v>
      </c>
      <c r="E18" t="str">
        <f>_xlfn.XLOOKUP(B18,PRODUCT_MASTER!$A:$A,PRODUCT_MASTER!$D:$D,2,0)</f>
        <v>Lt</v>
      </c>
      <c r="F18">
        <f>_xlfn.XLOOKUP(B18,PRODUCT_MASTER!$A:$A,PRODUCT_MASTER!$E:$E,2,0)</f>
        <v>61</v>
      </c>
      <c r="G18">
        <f>_xlfn.XLOOKUP(B18,PRODUCT_MASTER!$A:$A,PRODUCT_MASTER!$F:$F,2,0)</f>
        <v>76.25</v>
      </c>
      <c r="H18">
        <v>4</v>
      </c>
      <c r="I18" t="s">
        <v>103</v>
      </c>
      <c r="J18" t="s">
        <v>102</v>
      </c>
      <c r="K18">
        <v>0</v>
      </c>
      <c r="L18" s="15">
        <f t="shared" si="0"/>
        <v>244</v>
      </c>
      <c r="M18" s="15">
        <f t="shared" si="1"/>
        <v>305</v>
      </c>
      <c r="N18" s="15">
        <f t="shared" si="2"/>
        <v>61</v>
      </c>
      <c r="O18" s="10">
        <f t="shared" si="3"/>
        <v>0.25</v>
      </c>
      <c r="P18" t="str">
        <f t="shared" si="4"/>
        <v>20</v>
      </c>
      <c r="Q18" t="str">
        <f t="shared" si="5"/>
        <v>Jan</v>
      </c>
      <c r="R18" t="str">
        <f t="shared" si="6"/>
        <v>2021</v>
      </c>
    </row>
    <row r="19" spans="1:18" x14ac:dyDescent="0.2">
      <c r="A19" s="1">
        <v>44217</v>
      </c>
      <c r="B19" t="s">
        <v>13</v>
      </c>
      <c r="C19" t="str">
        <f>_xlfn.XLOOKUP(B19,PRODUCT_MASTER!$A:$A,PRODUCT_MASTER!$B:$B,2,0)</f>
        <v>Product04</v>
      </c>
      <c r="D19" t="str">
        <f>_xlfn.XLOOKUP(B19,PRODUCT_MASTER!$A:$A,PRODUCT_MASTER!$C:$C,2,0)</f>
        <v>Organic</v>
      </c>
      <c r="E19" t="str">
        <f>_xlfn.XLOOKUP(B19,PRODUCT_MASTER!$A:$A,PRODUCT_MASTER!$D:$D,2,0)</f>
        <v>Lt</v>
      </c>
      <c r="F19">
        <f>_xlfn.XLOOKUP(B19,PRODUCT_MASTER!$A:$A,PRODUCT_MASTER!$E:$E,2,0)</f>
        <v>44</v>
      </c>
      <c r="G19">
        <f>_xlfn.XLOOKUP(B19,PRODUCT_MASTER!$A:$A,PRODUCT_MASTER!$F:$F,2,0)</f>
        <v>48.84</v>
      </c>
      <c r="H19">
        <v>15</v>
      </c>
      <c r="I19" t="s">
        <v>100</v>
      </c>
      <c r="J19" t="s">
        <v>102</v>
      </c>
      <c r="K19">
        <v>0</v>
      </c>
      <c r="L19" s="15">
        <f t="shared" si="0"/>
        <v>660</v>
      </c>
      <c r="M19" s="15">
        <f t="shared" si="1"/>
        <v>732.6</v>
      </c>
      <c r="N19" s="15">
        <f t="shared" si="2"/>
        <v>72.600000000000023</v>
      </c>
      <c r="O19" s="10">
        <f t="shared" si="3"/>
        <v>0.11000000000000003</v>
      </c>
      <c r="P19" t="str">
        <f t="shared" si="4"/>
        <v>21</v>
      </c>
      <c r="Q19" t="str">
        <f t="shared" si="5"/>
        <v>Jan</v>
      </c>
      <c r="R19" t="str">
        <f t="shared" si="6"/>
        <v>2021</v>
      </c>
    </row>
    <row r="20" spans="1:18" x14ac:dyDescent="0.2">
      <c r="A20" s="1">
        <v>44217</v>
      </c>
      <c r="B20" t="s">
        <v>11</v>
      </c>
      <c r="C20" t="str">
        <f>_xlfn.XLOOKUP(B20,PRODUCT_MASTER!$A:$A,PRODUCT_MASTER!$B:$B,2,0)</f>
        <v>Product03</v>
      </c>
      <c r="D20" t="str">
        <f>_xlfn.XLOOKUP(B20,PRODUCT_MASTER!$A:$A,PRODUCT_MASTER!$C:$C,2,0)</f>
        <v>Organic</v>
      </c>
      <c r="E20" t="str">
        <f>_xlfn.XLOOKUP(B20,PRODUCT_MASTER!$A:$A,PRODUCT_MASTER!$D:$D,2,0)</f>
        <v>Kg</v>
      </c>
      <c r="F20">
        <f>_xlfn.XLOOKUP(B20,PRODUCT_MASTER!$A:$A,PRODUCT_MASTER!$E:$E,2,0)</f>
        <v>71</v>
      </c>
      <c r="G20">
        <f>_xlfn.XLOOKUP(B20,PRODUCT_MASTER!$A:$A,PRODUCT_MASTER!$F:$F,2,0)</f>
        <v>80.94</v>
      </c>
      <c r="H20">
        <v>9</v>
      </c>
      <c r="I20" t="s">
        <v>103</v>
      </c>
      <c r="J20" t="s">
        <v>101</v>
      </c>
      <c r="K20">
        <v>0</v>
      </c>
      <c r="L20" s="15">
        <f t="shared" si="0"/>
        <v>639</v>
      </c>
      <c r="M20" s="15">
        <f t="shared" si="1"/>
        <v>728.46</v>
      </c>
      <c r="N20" s="15">
        <f t="shared" si="2"/>
        <v>89.460000000000036</v>
      </c>
      <c r="O20" s="10">
        <f t="shared" si="3"/>
        <v>0.14000000000000007</v>
      </c>
      <c r="P20" t="str">
        <f t="shared" si="4"/>
        <v>21</v>
      </c>
      <c r="Q20" t="str">
        <f t="shared" si="5"/>
        <v>Jan</v>
      </c>
      <c r="R20" t="str">
        <f t="shared" si="6"/>
        <v>2021</v>
      </c>
    </row>
    <row r="21" spans="1:18" x14ac:dyDescent="0.2">
      <c r="A21" s="1">
        <v>44217</v>
      </c>
      <c r="B21" t="s">
        <v>89</v>
      </c>
      <c r="C21" t="str">
        <f>_xlfn.XLOOKUP(B21,PRODUCT_MASTER!$A:$A,PRODUCT_MASTER!$B:$B,2,0)</f>
        <v>Product42</v>
      </c>
      <c r="D21" t="str">
        <f>_xlfn.XLOOKUP(B21,PRODUCT_MASTER!$A:$A,PRODUCT_MASTER!$C:$C,2,0)</f>
        <v>Candy</v>
      </c>
      <c r="E21" t="str">
        <f>_xlfn.XLOOKUP(B21,PRODUCT_MASTER!$A:$A,PRODUCT_MASTER!$D:$D,2,0)</f>
        <v>Ft</v>
      </c>
      <c r="F21">
        <f>_xlfn.XLOOKUP(B21,PRODUCT_MASTER!$A:$A,PRODUCT_MASTER!$E:$E,2,0)</f>
        <v>120</v>
      </c>
      <c r="G21">
        <f>_xlfn.XLOOKUP(B21,PRODUCT_MASTER!$A:$A,PRODUCT_MASTER!$F:$F,2,0)</f>
        <v>162</v>
      </c>
      <c r="H21">
        <v>6</v>
      </c>
      <c r="I21" t="s">
        <v>103</v>
      </c>
      <c r="J21" t="s">
        <v>101</v>
      </c>
      <c r="K21">
        <v>0</v>
      </c>
      <c r="L21" s="15">
        <f t="shared" si="0"/>
        <v>720</v>
      </c>
      <c r="M21" s="15">
        <f t="shared" si="1"/>
        <v>972</v>
      </c>
      <c r="N21" s="15">
        <f t="shared" si="2"/>
        <v>252</v>
      </c>
      <c r="O21" s="10">
        <f t="shared" si="3"/>
        <v>0.35</v>
      </c>
      <c r="P21" t="str">
        <f t="shared" si="4"/>
        <v>21</v>
      </c>
      <c r="Q21" t="str">
        <f t="shared" si="5"/>
        <v>Jan</v>
      </c>
      <c r="R21" t="str">
        <f t="shared" si="6"/>
        <v>2021</v>
      </c>
    </row>
    <row r="22" spans="1:18" x14ac:dyDescent="0.2">
      <c r="A22" s="1">
        <v>44221</v>
      </c>
      <c r="B22" t="s">
        <v>73</v>
      </c>
      <c r="C22" t="str">
        <f>_xlfn.XLOOKUP(B22,PRODUCT_MASTER!$A:$A,PRODUCT_MASTER!$B:$B,2,0)</f>
        <v>Product34</v>
      </c>
      <c r="D22" t="str">
        <f>_xlfn.XLOOKUP(B22,PRODUCT_MASTER!$A:$A,PRODUCT_MASTER!$C:$C,2,0)</f>
        <v>Bakery And Desserts</v>
      </c>
      <c r="E22" t="str">
        <f>_xlfn.XLOOKUP(B22,PRODUCT_MASTER!$A:$A,PRODUCT_MASTER!$D:$D,2,0)</f>
        <v>Lt</v>
      </c>
      <c r="F22">
        <f>_xlfn.XLOOKUP(B22,PRODUCT_MASTER!$A:$A,PRODUCT_MASTER!$E:$E,2,0)</f>
        <v>55</v>
      </c>
      <c r="G22">
        <f>_xlfn.XLOOKUP(B22,PRODUCT_MASTER!$A:$A,PRODUCT_MASTER!$F:$F,2,0)</f>
        <v>58.3</v>
      </c>
      <c r="H22">
        <v>6</v>
      </c>
      <c r="I22" t="s">
        <v>103</v>
      </c>
      <c r="J22" t="s">
        <v>102</v>
      </c>
      <c r="K22">
        <v>0</v>
      </c>
      <c r="L22" s="15">
        <f t="shared" si="0"/>
        <v>330</v>
      </c>
      <c r="M22" s="15">
        <f t="shared" si="1"/>
        <v>349.79999999999995</v>
      </c>
      <c r="N22" s="15">
        <f t="shared" si="2"/>
        <v>19.799999999999955</v>
      </c>
      <c r="O22" s="10">
        <f t="shared" si="3"/>
        <v>5.9999999999999859E-2</v>
      </c>
      <c r="P22" t="str">
        <f t="shared" si="4"/>
        <v>25</v>
      </c>
      <c r="Q22" t="str">
        <f t="shared" si="5"/>
        <v>Jan</v>
      </c>
      <c r="R22" t="str">
        <f t="shared" si="6"/>
        <v>2021</v>
      </c>
    </row>
    <row r="23" spans="1:18" x14ac:dyDescent="0.2">
      <c r="A23" s="1">
        <v>44221</v>
      </c>
      <c r="B23" t="s">
        <v>75</v>
      </c>
      <c r="C23" t="str">
        <f>_xlfn.XLOOKUP(B23,PRODUCT_MASTER!$A:$A,PRODUCT_MASTER!$B:$B,2,0)</f>
        <v>Product35</v>
      </c>
      <c r="D23" t="str">
        <f>_xlfn.XLOOKUP(B23,PRODUCT_MASTER!$A:$A,PRODUCT_MASTER!$C:$C,2,0)</f>
        <v>Bakery And Desserts</v>
      </c>
      <c r="E23" t="str">
        <f>_xlfn.XLOOKUP(B23,PRODUCT_MASTER!$A:$A,PRODUCT_MASTER!$D:$D,2,0)</f>
        <v>No.</v>
      </c>
      <c r="F23">
        <f>_xlfn.XLOOKUP(B23,PRODUCT_MASTER!$A:$A,PRODUCT_MASTER!$E:$E,2,0)</f>
        <v>5</v>
      </c>
      <c r="G23">
        <f>_xlfn.XLOOKUP(B23,PRODUCT_MASTER!$A:$A,PRODUCT_MASTER!$F:$F,2,0)</f>
        <v>6.7</v>
      </c>
      <c r="H23">
        <v>7</v>
      </c>
      <c r="I23" t="s">
        <v>103</v>
      </c>
      <c r="J23" t="s">
        <v>101</v>
      </c>
      <c r="K23">
        <v>0</v>
      </c>
      <c r="L23" s="15">
        <f t="shared" si="0"/>
        <v>35</v>
      </c>
      <c r="M23" s="15">
        <f t="shared" si="1"/>
        <v>46.9</v>
      </c>
      <c r="N23" s="15">
        <f t="shared" si="2"/>
        <v>11.899999999999999</v>
      </c>
      <c r="O23" s="10">
        <f t="shared" si="3"/>
        <v>0.33999999999999997</v>
      </c>
      <c r="P23" t="str">
        <f t="shared" si="4"/>
        <v>25</v>
      </c>
      <c r="Q23" t="str">
        <f t="shared" si="5"/>
        <v>Jan</v>
      </c>
      <c r="R23" t="str">
        <f t="shared" si="6"/>
        <v>2021</v>
      </c>
    </row>
    <row r="24" spans="1:18" x14ac:dyDescent="0.2">
      <c r="A24" s="1">
        <v>44221</v>
      </c>
      <c r="B24" t="s">
        <v>67</v>
      </c>
      <c r="C24" t="str">
        <f>_xlfn.XLOOKUP(B24,PRODUCT_MASTER!$A:$A,PRODUCT_MASTER!$B:$B,2,0)</f>
        <v>Product31</v>
      </c>
      <c r="D24" t="str">
        <f>_xlfn.XLOOKUP(B24,PRODUCT_MASTER!$A:$A,PRODUCT_MASTER!$C:$C,2,0)</f>
        <v>Cheese And Dairy</v>
      </c>
      <c r="E24" t="str">
        <f>_xlfn.XLOOKUP(B24,PRODUCT_MASTER!$A:$A,PRODUCT_MASTER!$D:$D,2,0)</f>
        <v>Kg</v>
      </c>
      <c r="F24">
        <f>_xlfn.XLOOKUP(B24,PRODUCT_MASTER!$A:$A,PRODUCT_MASTER!$E:$E,2,0)</f>
        <v>93</v>
      </c>
      <c r="G24">
        <f>_xlfn.XLOOKUP(B24,PRODUCT_MASTER!$A:$A,PRODUCT_MASTER!$F:$F,2,0)</f>
        <v>104.16</v>
      </c>
      <c r="H24">
        <v>14</v>
      </c>
      <c r="I24" t="s">
        <v>103</v>
      </c>
      <c r="J24" t="s">
        <v>101</v>
      </c>
      <c r="K24">
        <v>0</v>
      </c>
      <c r="L24" s="15">
        <f t="shared" si="0"/>
        <v>1302</v>
      </c>
      <c r="M24" s="15">
        <f t="shared" si="1"/>
        <v>1458.24</v>
      </c>
      <c r="N24" s="15">
        <f t="shared" si="2"/>
        <v>156.24</v>
      </c>
      <c r="O24" s="10">
        <f t="shared" si="3"/>
        <v>0.12000000000000001</v>
      </c>
      <c r="P24" t="str">
        <f t="shared" si="4"/>
        <v>25</v>
      </c>
      <c r="Q24" t="str">
        <f t="shared" si="5"/>
        <v>Jan</v>
      </c>
      <c r="R24" t="str">
        <f t="shared" si="6"/>
        <v>2021</v>
      </c>
    </row>
    <row r="25" spans="1:18" x14ac:dyDescent="0.2">
      <c r="A25" s="1">
        <v>44222</v>
      </c>
      <c r="B25" t="s">
        <v>93</v>
      </c>
      <c r="C25" t="str">
        <f>_xlfn.XLOOKUP(B25,PRODUCT_MASTER!$A:$A,PRODUCT_MASTER!$B:$B,2,0)</f>
        <v>Product44</v>
      </c>
      <c r="D25" t="str">
        <f>_xlfn.XLOOKUP(B25,PRODUCT_MASTER!$A:$A,PRODUCT_MASTER!$C:$C,2,0)</f>
        <v>Candy</v>
      </c>
      <c r="E25" t="str">
        <f>_xlfn.XLOOKUP(B25,PRODUCT_MASTER!$A:$A,PRODUCT_MASTER!$D:$D,2,0)</f>
        <v>Kg</v>
      </c>
      <c r="F25">
        <f>_xlfn.XLOOKUP(B25,PRODUCT_MASTER!$A:$A,PRODUCT_MASTER!$E:$E,2,0)</f>
        <v>76</v>
      </c>
      <c r="G25">
        <f>_xlfn.XLOOKUP(B25,PRODUCT_MASTER!$A:$A,PRODUCT_MASTER!$F:$F,2,0)</f>
        <v>82.08</v>
      </c>
      <c r="H25">
        <v>9</v>
      </c>
      <c r="I25" t="s">
        <v>100</v>
      </c>
      <c r="J25" t="s">
        <v>102</v>
      </c>
      <c r="K25">
        <v>0</v>
      </c>
      <c r="L25" s="15">
        <f t="shared" si="0"/>
        <v>684</v>
      </c>
      <c r="M25" s="15">
        <f t="shared" si="1"/>
        <v>738.72</v>
      </c>
      <c r="N25" s="15">
        <f t="shared" si="2"/>
        <v>54.720000000000027</v>
      </c>
      <c r="O25" s="10">
        <f t="shared" si="3"/>
        <v>8.0000000000000043E-2</v>
      </c>
      <c r="P25" t="str">
        <f t="shared" si="4"/>
        <v>26</v>
      </c>
      <c r="Q25" t="str">
        <f t="shared" si="5"/>
        <v>Jan</v>
      </c>
      <c r="R25" t="str">
        <f t="shared" si="6"/>
        <v>2021</v>
      </c>
    </row>
    <row r="26" spans="1:18" x14ac:dyDescent="0.2">
      <c r="A26" s="1">
        <v>44222</v>
      </c>
      <c r="B26" t="s">
        <v>17</v>
      </c>
      <c r="C26" t="str">
        <f>_xlfn.XLOOKUP(B26,PRODUCT_MASTER!$A:$A,PRODUCT_MASTER!$B:$B,2,0)</f>
        <v>Product06</v>
      </c>
      <c r="D26" t="str">
        <f>_xlfn.XLOOKUP(B26,PRODUCT_MASTER!$A:$A,PRODUCT_MASTER!$C:$C,2,0)</f>
        <v>Gourmet Foods</v>
      </c>
      <c r="E26" t="str">
        <f>_xlfn.XLOOKUP(B26,PRODUCT_MASTER!$A:$A,PRODUCT_MASTER!$D:$D,2,0)</f>
        <v>Kg</v>
      </c>
      <c r="F26">
        <f>_xlfn.XLOOKUP(B26,PRODUCT_MASTER!$A:$A,PRODUCT_MASTER!$E:$E,2,0)</f>
        <v>75</v>
      </c>
      <c r="G26">
        <f>_xlfn.XLOOKUP(B26,PRODUCT_MASTER!$A:$A,PRODUCT_MASTER!$F:$F,2,0)</f>
        <v>85.5</v>
      </c>
      <c r="H26">
        <v>7</v>
      </c>
      <c r="I26" t="s">
        <v>101</v>
      </c>
      <c r="J26" t="s">
        <v>102</v>
      </c>
      <c r="K26">
        <v>0</v>
      </c>
      <c r="L26" s="15">
        <f t="shared" si="0"/>
        <v>525</v>
      </c>
      <c r="M26" s="15">
        <f t="shared" si="1"/>
        <v>598.5</v>
      </c>
      <c r="N26" s="15">
        <f t="shared" si="2"/>
        <v>73.5</v>
      </c>
      <c r="O26" s="10">
        <f t="shared" si="3"/>
        <v>0.14000000000000001</v>
      </c>
      <c r="P26" t="str">
        <f t="shared" si="4"/>
        <v>26</v>
      </c>
      <c r="Q26" t="str">
        <f t="shared" si="5"/>
        <v>Jan</v>
      </c>
      <c r="R26" t="str">
        <f t="shared" si="6"/>
        <v>2021</v>
      </c>
    </row>
    <row r="27" spans="1:18" x14ac:dyDescent="0.2">
      <c r="A27" s="1">
        <v>44222</v>
      </c>
      <c r="B27" t="s">
        <v>6</v>
      </c>
      <c r="C27" t="str">
        <f>_xlfn.XLOOKUP(B27,PRODUCT_MASTER!$A:$A,PRODUCT_MASTER!$B:$B,2,0)</f>
        <v>Product01</v>
      </c>
      <c r="D27" t="str">
        <f>_xlfn.XLOOKUP(B27,PRODUCT_MASTER!$A:$A,PRODUCT_MASTER!$C:$C,2,0)</f>
        <v>Organic</v>
      </c>
      <c r="E27" t="str">
        <f>_xlfn.XLOOKUP(B27,PRODUCT_MASTER!$A:$A,PRODUCT_MASTER!$D:$D,2,0)</f>
        <v>Kg</v>
      </c>
      <c r="F27">
        <f>_xlfn.XLOOKUP(B27,PRODUCT_MASTER!$A:$A,PRODUCT_MASTER!$E:$E,2,0)</f>
        <v>98</v>
      </c>
      <c r="G27">
        <f>_xlfn.XLOOKUP(B27,PRODUCT_MASTER!$A:$A,PRODUCT_MASTER!$F:$F,2,0)</f>
        <v>103.88</v>
      </c>
      <c r="H27">
        <v>7</v>
      </c>
      <c r="I27" t="s">
        <v>101</v>
      </c>
      <c r="J27" t="s">
        <v>101</v>
      </c>
      <c r="K27">
        <v>0</v>
      </c>
      <c r="L27" s="15">
        <f t="shared" si="0"/>
        <v>686</v>
      </c>
      <c r="M27" s="15">
        <f t="shared" si="1"/>
        <v>727.16</v>
      </c>
      <c r="N27" s="15">
        <f t="shared" si="2"/>
        <v>41.159999999999968</v>
      </c>
      <c r="O27" s="10">
        <f t="shared" si="3"/>
        <v>5.9999999999999956E-2</v>
      </c>
      <c r="P27" t="str">
        <f t="shared" si="4"/>
        <v>26</v>
      </c>
      <c r="Q27" t="str">
        <f t="shared" si="5"/>
        <v>Jan</v>
      </c>
      <c r="R27" t="str">
        <f t="shared" si="6"/>
        <v>2021</v>
      </c>
    </row>
    <row r="28" spans="1:18" x14ac:dyDescent="0.2">
      <c r="A28" s="1">
        <v>44223</v>
      </c>
      <c r="B28" t="s">
        <v>85</v>
      </c>
      <c r="C28" t="str">
        <f>_xlfn.XLOOKUP(B28,PRODUCT_MASTER!$A:$A,PRODUCT_MASTER!$B:$B,2,0)</f>
        <v>Product40</v>
      </c>
      <c r="D28" t="str">
        <f>_xlfn.XLOOKUP(B28,PRODUCT_MASTER!$A:$A,PRODUCT_MASTER!$C:$C,2,0)</f>
        <v>Snacks</v>
      </c>
      <c r="E28" t="str">
        <f>_xlfn.XLOOKUP(B28,PRODUCT_MASTER!$A:$A,PRODUCT_MASTER!$D:$D,2,0)</f>
        <v>Kg</v>
      </c>
      <c r="F28">
        <f>_xlfn.XLOOKUP(B28,PRODUCT_MASTER!$A:$A,PRODUCT_MASTER!$E:$E,2,0)</f>
        <v>90</v>
      </c>
      <c r="G28">
        <f>_xlfn.XLOOKUP(B28,PRODUCT_MASTER!$A:$A,PRODUCT_MASTER!$F:$F,2,0)</f>
        <v>115.2</v>
      </c>
      <c r="H28">
        <v>7</v>
      </c>
      <c r="I28" t="s">
        <v>100</v>
      </c>
      <c r="J28" t="s">
        <v>101</v>
      </c>
      <c r="K28">
        <v>0</v>
      </c>
      <c r="L28" s="15">
        <f t="shared" si="0"/>
        <v>630</v>
      </c>
      <c r="M28" s="15">
        <f t="shared" si="1"/>
        <v>806.4</v>
      </c>
      <c r="N28" s="15">
        <f t="shared" si="2"/>
        <v>176.39999999999998</v>
      </c>
      <c r="O28" s="10">
        <f t="shared" si="3"/>
        <v>0.27999999999999997</v>
      </c>
      <c r="P28" t="str">
        <f t="shared" si="4"/>
        <v>27</v>
      </c>
      <c r="Q28" t="str">
        <f t="shared" si="5"/>
        <v>Jan</v>
      </c>
      <c r="R28" t="str">
        <f t="shared" si="6"/>
        <v>2021</v>
      </c>
    </row>
    <row r="29" spans="1:18" x14ac:dyDescent="0.2">
      <c r="A29" s="1">
        <v>44223</v>
      </c>
      <c r="B29" t="s">
        <v>69</v>
      </c>
      <c r="C29" t="str">
        <f>_xlfn.XLOOKUP(B29,PRODUCT_MASTER!$A:$A,PRODUCT_MASTER!$B:$B,2,0)</f>
        <v>Product32</v>
      </c>
      <c r="D29" t="str">
        <f>_xlfn.XLOOKUP(B29,PRODUCT_MASTER!$A:$A,PRODUCT_MASTER!$C:$C,2,0)</f>
        <v>Bakery And Desserts</v>
      </c>
      <c r="E29" t="str">
        <f>_xlfn.XLOOKUP(B29,PRODUCT_MASTER!$A:$A,PRODUCT_MASTER!$D:$D,2,0)</f>
        <v>Kg</v>
      </c>
      <c r="F29">
        <f>_xlfn.XLOOKUP(B29,PRODUCT_MASTER!$A:$A,PRODUCT_MASTER!$E:$E,2,0)</f>
        <v>89</v>
      </c>
      <c r="G29">
        <f>_xlfn.XLOOKUP(B29,PRODUCT_MASTER!$A:$A,PRODUCT_MASTER!$F:$F,2,0)</f>
        <v>117.48</v>
      </c>
      <c r="H29">
        <v>3</v>
      </c>
      <c r="I29" t="s">
        <v>100</v>
      </c>
      <c r="J29" t="s">
        <v>101</v>
      </c>
      <c r="K29">
        <v>0</v>
      </c>
      <c r="L29" s="15">
        <f t="shared" si="0"/>
        <v>267</v>
      </c>
      <c r="M29" s="15">
        <f t="shared" si="1"/>
        <v>352.44</v>
      </c>
      <c r="N29" s="15">
        <f t="shared" si="2"/>
        <v>85.44</v>
      </c>
      <c r="O29" s="10">
        <f t="shared" si="3"/>
        <v>0.32</v>
      </c>
      <c r="P29" t="str">
        <f t="shared" si="4"/>
        <v>27</v>
      </c>
      <c r="Q29" t="str">
        <f t="shared" si="5"/>
        <v>Jan</v>
      </c>
      <c r="R29" t="str">
        <f t="shared" si="6"/>
        <v>2021</v>
      </c>
    </row>
    <row r="30" spans="1:18" x14ac:dyDescent="0.2">
      <c r="A30" s="1">
        <v>44224</v>
      </c>
      <c r="B30" t="s">
        <v>13</v>
      </c>
      <c r="C30" t="str">
        <f>_xlfn.XLOOKUP(B30,PRODUCT_MASTER!$A:$A,PRODUCT_MASTER!$B:$B,2,0)</f>
        <v>Product04</v>
      </c>
      <c r="D30" t="str">
        <f>_xlfn.XLOOKUP(B30,PRODUCT_MASTER!$A:$A,PRODUCT_MASTER!$C:$C,2,0)</f>
        <v>Organic</v>
      </c>
      <c r="E30" t="str">
        <f>_xlfn.XLOOKUP(B30,PRODUCT_MASTER!$A:$A,PRODUCT_MASTER!$D:$D,2,0)</f>
        <v>Lt</v>
      </c>
      <c r="F30">
        <f>_xlfn.XLOOKUP(B30,PRODUCT_MASTER!$A:$A,PRODUCT_MASTER!$E:$E,2,0)</f>
        <v>44</v>
      </c>
      <c r="G30">
        <f>_xlfn.XLOOKUP(B30,PRODUCT_MASTER!$A:$A,PRODUCT_MASTER!$F:$F,2,0)</f>
        <v>48.84</v>
      </c>
      <c r="H30">
        <v>10</v>
      </c>
      <c r="I30" t="s">
        <v>101</v>
      </c>
      <c r="J30" t="s">
        <v>102</v>
      </c>
      <c r="K30">
        <v>0</v>
      </c>
      <c r="L30" s="15">
        <f t="shared" si="0"/>
        <v>440</v>
      </c>
      <c r="M30" s="15">
        <f t="shared" si="1"/>
        <v>488.40000000000003</v>
      </c>
      <c r="N30" s="15">
        <f t="shared" si="2"/>
        <v>48.400000000000034</v>
      </c>
      <c r="O30" s="10">
        <f t="shared" si="3"/>
        <v>0.11000000000000008</v>
      </c>
      <c r="P30" t="str">
        <f t="shared" si="4"/>
        <v>28</v>
      </c>
      <c r="Q30" t="str">
        <f t="shared" si="5"/>
        <v>Jan</v>
      </c>
      <c r="R30" t="str">
        <f t="shared" si="6"/>
        <v>2021</v>
      </c>
    </row>
    <row r="31" spans="1:18" x14ac:dyDescent="0.2">
      <c r="A31" s="1">
        <v>44224</v>
      </c>
      <c r="B31" t="s">
        <v>63</v>
      </c>
      <c r="C31" t="str">
        <f>_xlfn.XLOOKUP(B31,PRODUCT_MASTER!$A:$A,PRODUCT_MASTER!$B:$B,2,0)</f>
        <v>Product29</v>
      </c>
      <c r="D31" t="str">
        <f>_xlfn.XLOOKUP(B31,PRODUCT_MASTER!$A:$A,PRODUCT_MASTER!$C:$C,2,0)</f>
        <v>Cheese And Dairy</v>
      </c>
      <c r="E31" t="str">
        <f>_xlfn.XLOOKUP(B31,PRODUCT_MASTER!$A:$A,PRODUCT_MASTER!$D:$D,2,0)</f>
        <v>Lt</v>
      </c>
      <c r="F31">
        <f>_xlfn.XLOOKUP(B31,PRODUCT_MASTER!$A:$A,PRODUCT_MASTER!$E:$E,2,0)</f>
        <v>47</v>
      </c>
      <c r="G31">
        <f>_xlfn.XLOOKUP(B31,PRODUCT_MASTER!$A:$A,PRODUCT_MASTER!$F:$F,2,0)</f>
        <v>53.11</v>
      </c>
      <c r="H31">
        <v>2</v>
      </c>
      <c r="I31" t="s">
        <v>103</v>
      </c>
      <c r="J31" t="s">
        <v>102</v>
      </c>
      <c r="K31">
        <v>0</v>
      </c>
      <c r="L31" s="15">
        <f t="shared" si="0"/>
        <v>94</v>
      </c>
      <c r="M31" s="15">
        <f t="shared" si="1"/>
        <v>106.22</v>
      </c>
      <c r="N31" s="15">
        <f t="shared" si="2"/>
        <v>12.219999999999999</v>
      </c>
      <c r="O31" s="10">
        <f t="shared" si="3"/>
        <v>0.12999999999999998</v>
      </c>
      <c r="P31" t="str">
        <f t="shared" si="4"/>
        <v>28</v>
      </c>
      <c r="Q31" t="str">
        <f t="shared" si="5"/>
        <v>Jan</v>
      </c>
      <c r="R31" t="str">
        <f t="shared" si="6"/>
        <v>2021</v>
      </c>
    </row>
    <row r="32" spans="1:18" x14ac:dyDescent="0.2">
      <c r="A32" s="1">
        <v>44229</v>
      </c>
      <c r="B32" t="s">
        <v>25</v>
      </c>
      <c r="C32" t="str">
        <f>_xlfn.XLOOKUP(B32,PRODUCT_MASTER!$A:$A,PRODUCT_MASTER!$B:$B,2,0)</f>
        <v>Product10</v>
      </c>
      <c r="D32" t="str">
        <f>_xlfn.XLOOKUP(B32,PRODUCT_MASTER!$A:$A,PRODUCT_MASTER!$C:$C,2,0)</f>
        <v>Gourmet Foods</v>
      </c>
      <c r="E32" t="str">
        <f>_xlfn.XLOOKUP(B32,PRODUCT_MASTER!$A:$A,PRODUCT_MASTER!$D:$D,2,0)</f>
        <v>Ft</v>
      </c>
      <c r="F32">
        <f>_xlfn.XLOOKUP(B32,PRODUCT_MASTER!$A:$A,PRODUCT_MASTER!$E:$E,2,0)</f>
        <v>148</v>
      </c>
      <c r="G32">
        <f>_xlfn.XLOOKUP(B32,PRODUCT_MASTER!$A:$A,PRODUCT_MASTER!$F:$F,2,0)</f>
        <v>164.28</v>
      </c>
      <c r="H32">
        <v>7</v>
      </c>
      <c r="I32" t="s">
        <v>101</v>
      </c>
      <c r="J32" t="s">
        <v>101</v>
      </c>
      <c r="K32">
        <v>0</v>
      </c>
      <c r="L32" s="15">
        <f t="shared" si="0"/>
        <v>1036</v>
      </c>
      <c r="M32" s="15">
        <f t="shared" si="1"/>
        <v>1149.96</v>
      </c>
      <c r="N32" s="15">
        <f t="shared" si="2"/>
        <v>113.96000000000004</v>
      </c>
      <c r="O32" s="10">
        <f t="shared" si="3"/>
        <v>0.11000000000000003</v>
      </c>
      <c r="P32" t="str">
        <f t="shared" si="4"/>
        <v>02</v>
      </c>
      <c r="Q32" t="str">
        <f t="shared" si="5"/>
        <v>Feb</v>
      </c>
      <c r="R32" t="str">
        <f t="shared" si="6"/>
        <v>2021</v>
      </c>
    </row>
    <row r="33" spans="1:18" x14ac:dyDescent="0.2">
      <c r="A33" s="1">
        <v>44230</v>
      </c>
      <c r="B33" t="s">
        <v>37</v>
      </c>
      <c r="C33" t="str">
        <f>_xlfn.XLOOKUP(B33,PRODUCT_MASTER!$A:$A,PRODUCT_MASTER!$B:$B,2,0)</f>
        <v>Product16</v>
      </c>
      <c r="D33" t="str">
        <f>_xlfn.XLOOKUP(B33,PRODUCT_MASTER!$A:$A,PRODUCT_MASTER!$C:$C,2,0)</f>
        <v>Meat</v>
      </c>
      <c r="E33" t="str">
        <f>_xlfn.XLOOKUP(B33,PRODUCT_MASTER!$A:$A,PRODUCT_MASTER!$D:$D,2,0)</f>
        <v>No.</v>
      </c>
      <c r="F33">
        <f>_xlfn.XLOOKUP(B33,PRODUCT_MASTER!$A:$A,PRODUCT_MASTER!$E:$E,2,0)</f>
        <v>13</v>
      </c>
      <c r="G33">
        <f>_xlfn.XLOOKUP(B33,PRODUCT_MASTER!$A:$A,PRODUCT_MASTER!$F:$F,2,0)</f>
        <v>16.64</v>
      </c>
      <c r="H33">
        <v>13</v>
      </c>
      <c r="I33" t="s">
        <v>103</v>
      </c>
      <c r="J33" t="s">
        <v>101</v>
      </c>
      <c r="K33">
        <v>0</v>
      </c>
      <c r="L33" s="15">
        <f t="shared" si="0"/>
        <v>169</v>
      </c>
      <c r="M33" s="15">
        <f t="shared" si="1"/>
        <v>216.32</v>
      </c>
      <c r="N33" s="15">
        <f t="shared" si="2"/>
        <v>47.319999999999993</v>
      </c>
      <c r="O33" s="10">
        <f t="shared" si="3"/>
        <v>0.27999999999999997</v>
      </c>
      <c r="P33" t="str">
        <f t="shared" si="4"/>
        <v>03</v>
      </c>
      <c r="Q33" t="str">
        <f t="shared" si="5"/>
        <v>Feb</v>
      </c>
      <c r="R33" t="str">
        <f t="shared" si="6"/>
        <v>2021</v>
      </c>
    </row>
    <row r="34" spans="1:18" x14ac:dyDescent="0.2">
      <c r="A34" s="1">
        <v>44230</v>
      </c>
      <c r="B34" t="s">
        <v>49</v>
      </c>
      <c r="C34" t="str">
        <f>_xlfn.XLOOKUP(B34,PRODUCT_MASTER!$A:$A,PRODUCT_MASTER!$B:$B,2,0)</f>
        <v>Product22</v>
      </c>
      <c r="D34" t="str">
        <f>_xlfn.XLOOKUP(B34,PRODUCT_MASTER!$A:$A,PRODUCT_MASTER!$C:$C,2,0)</f>
        <v>Seafood</v>
      </c>
      <c r="E34" t="str">
        <f>_xlfn.XLOOKUP(B34,PRODUCT_MASTER!$A:$A,PRODUCT_MASTER!$D:$D,2,0)</f>
        <v>Ft</v>
      </c>
      <c r="F34">
        <f>_xlfn.XLOOKUP(B34,PRODUCT_MASTER!$A:$A,PRODUCT_MASTER!$E:$E,2,0)</f>
        <v>121</v>
      </c>
      <c r="G34">
        <f>_xlfn.XLOOKUP(B34,PRODUCT_MASTER!$A:$A,PRODUCT_MASTER!$F:$F,2,0)</f>
        <v>141.57</v>
      </c>
      <c r="H34">
        <v>2</v>
      </c>
      <c r="I34" t="s">
        <v>100</v>
      </c>
      <c r="J34" t="s">
        <v>102</v>
      </c>
      <c r="K34">
        <v>0</v>
      </c>
      <c r="L34" s="15">
        <f t="shared" si="0"/>
        <v>242</v>
      </c>
      <c r="M34" s="15">
        <f t="shared" si="1"/>
        <v>283.14</v>
      </c>
      <c r="N34" s="15">
        <f t="shared" si="2"/>
        <v>41.139999999999986</v>
      </c>
      <c r="O34" s="10">
        <f t="shared" si="3"/>
        <v>0.16999999999999996</v>
      </c>
      <c r="P34" t="str">
        <f t="shared" si="4"/>
        <v>03</v>
      </c>
      <c r="Q34" t="str">
        <f t="shared" si="5"/>
        <v>Feb</v>
      </c>
      <c r="R34" t="str">
        <f t="shared" si="6"/>
        <v>2021</v>
      </c>
    </row>
    <row r="35" spans="1:18" x14ac:dyDescent="0.2">
      <c r="A35" s="1">
        <v>44231</v>
      </c>
      <c r="B35" t="s">
        <v>79</v>
      </c>
      <c r="C35" t="str">
        <f>_xlfn.XLOOKUP(B35,PRODUCT_MASTER!$A:$A,PRODUCT_MASTER!$B:$B,2,0)</f>
        <v>Product37</v>
      </c>
      <c r="D35" t="str">
        <f>_xlfn.XLOOKUP(B35,PRODUCT_MASTER!$A:$A,PRODUCT_MASTER!$C:$C,2,0)</f>
        <v>Snacks</v>
      </c>
      <c r="E35" t="str">
        <f>_xlfn.XLOOKUP(B35,PRODUCT_MASTER!$A:$A,PRODUCT_MASTER!$D:$D,2,0)</f>
        <v>Kg</v>
      </c>
      <c r="F35">
        <f>_xlfn.XLOOKUP(B35,PRODUCT_MASTER!$A:$A,PRODUCT_MASTER!$E:$E,2,0)</f>
        <v>67</v>
      </c>
      <c r="G35">
        <f>_xlfn.XLOOKUP(B35,PRODUCT_MASTER!$A:$A,PRODUCT_MASTER!$F:$F,2,0)</f>
        <v>85.76</v>
      </c>
      <c r="H35">
        <v>4</v>
      </c>
      <c r="I35" t="s">
        <v>101</v>
      </c>
      <c r="J35" t="s">
        <v>101</v>
      </c>
      <c r="K35">
        <v>0</v>
      </c>
      <c r="L35" s="15">
        <f t="shared" si="0"/>
        <v>268</v>
      </c>
      <c r="M35" s="15">
        <f t="shared" si="1"/>
        <v>343.04</v>
      </c>
      <c r="N35" s="15">
        <f t="shared" si="2"/>
        <v>75.04000000000002</v>
      </c>
      <c r="O35" s="10">
        <f t="shared" si="3"/>
        <v>0.28000000000000008</v>
      </c>
      <c r="P35" t="str">
        <f t="shared" si="4"/>
        <v>04</v>
      </c>
      <c r="Q35" t="str">
        <f t="shared" si="5"/>
        <v>Feb</v>
      </c>
      <c r="R35" t="str">
        <f t="shared" si="6"/>
        <v>2021</v>
      </c>
    </row>
    <row r="36" spans="1:18" x14ac:dyDescent="0.2">
      <c r="A36" s="1">
        <v>44232</v>
      </c>
      <c r="B36" t="s">
        <v>91</v>
      </c>
      <c r="C36" t="str">
        <f>_xlfn.XLOOKUP(B36,PRODUCT_MASTER!$A:$A,PRODUCT_MASTER!$B:$B,2,0)</f>
        <v>Product43</v>
      </c>
      <c r="D36" t="str">
        <f>_xlfn.XLOOKUP(B36,PRODUCT_MASTER!$A:$A,PRODUCT_MASTER!$C:$C,2,0)</f>
        <v>Candy</v>
      </c>
      <c r="E36" t="str">
        <f>_xlfn.XLOOKUP(B36,PRODUCT_MASTER!$A:$A,PRODUCT_MASTER!$D:$D,2,0)</f>
        <v>Kg</v>
      </c>
      <c r="F36">
        <f>_xlfn.XLOOKUP(B36,PRODUCT_MASTER!$A:$A,PRODUCT_MASTER!$E:$E,2,0)</f>
        <v>67</v>
      </c>
      <c r="G36">
        <f>_xlfn.XLOOKUP(B36,PRODUCT_MASTER!$A:$A,PRODUCT_MASTER!$F:$F,2,0)</f>
        <v>83.08</v>
      </c>
      <c r="H36">
        <v>7</v>
      </c>
      <c r="I36" t="s">
        <v>101</v>
      </c>
      <c r="J36" t="s">
        <v>102</v>
      </c>
      <c r="K36">
        <v>0</v>
      </c>
      <c r="L36" s="15">
        <f t="shared" si="0"/>
        <v>469</v>
      </c>
      <c r="M36" s="15">
        <f t="shared" si="1"/>
        <v>581.55999999999995</v>
      </c>
      <c r="N36" s="15">
        <f t="shared" si="2"/>
        <v>112.55999999999995</v>
      </c>
      <c r="O36" s="10">
        <f t="shared" si="3"/>
        <v>0.23999999999999988</v>
      </c>
      <c r="P36" t="str">
        <f t="shared" si="4"/>
        <v>05</v>
      </c>
      <c r="Q36" t="str">
        <f t="shared" si="5"/>
        <v>Feb</v>
      </c>
      <c r="R36" t="str">
        <f t="shared" si="6"/>
        <v>2021</v>
      </c>
    </row>
    <row r="37" spans="1:18" x14ac:dyDescent="0.2">
      <c r="A37" s="1">
        <v>44232</v>
      </c>
      <c r="B37" t="s">
        <v>15</v>
      </c>
      <c r="C37" t="str">
        <f>_xlfn.XLOOKUP(B37,PRODUCT_MASTER!$A:$A,PRODUCT_MASTER!$B:$B,2,0)</f>
        <v>Product05</v>
      </c>
      <c r="D37" t="str">
        <f>_xlfn.XLOOKUP(B37,PRODUCT_MASTER!$A:$A,PRODUCT_MASTER!$C:$C,2,0)</f>
        <v>Organic</v>
      </c>
      <c r="E37" t="str">
        <f>_xlfn.XLOOKUP(B37,PRODUCT_MASTER!$A:$A,PRODUCT_MASTER!$D:$D,2,0)</f>
        <v>Ft</v>
      </c>
      <c r="F37">
        <f>_xlfn.XLOOKUP(B37,PRODUCT_MASTER!$A:$A,PRODUCT_MASTER!$E:$E,2,0)</f>
        <v>133</v>
      </c>
      <c r="G37">
        <f>_xlfn.XLOOKUP(B37,PRODUCT_MASTER!$A:$A,PRODUCT_MASTER!$F:$F,2,0)</f>
        <v>155.61000000000001</v>
      </c>
      <c r="H37">
        <v>1</v>
      </c>
      <c r="I37" t="s">
        <v>103</v>
      </c>
      <c r="J37" t="s">
        <v>102</v>
      </c>
      <c r="K37">
        <v>0</v>
      </c>
      <c r="L37" s="15">
        <f t="shared" si="0"/>
        <v>133</v>
      </c>
      <c r="M37" s="15">
        <f t="shared" si="1"/>
        <v>155.61000000000001</v>
      </c>
      <c r="N37" s="15">
        <f t="shared" si="2"/>
        <v>22.610000000000014</v>
      </c>
      <c r="O37" s="10">
        <f t="shared" si="3"/>
        <v>0.1700000000000001</v>
      </c>
      <c r="P37" t="str">
        <f t="shared" si="4"/>
        <v>05</v>
      </c>
      <c r="Q37" t="str">
        <f t="shared" si="5"/>
        <v>Feb</v>
      </c>
      <c r="R37" t="str">
        <f t="shared" si="6"/>
        <v>2021</v>
      </c>
    </row>
    <row r="38" spans="1:18" x14ac:dyDescent="0.2">
      <c r="A38" s="1">
        <v>44232</v>
      </c>
      <c r="B38" t="s">
        <v>91</v>
      </c>
      <c r="C38" t="str">
        <f>_xlfn.XLOOKUP(B38,PRODUCT_MASTER!$A:$A,PRODUCT_MASTER!$B:$B,2,0)</f>
        <v>Product43</v>
      </c>
      <c r="D38" t="str">
        <f>_xlfn.XLOOKUP(B38,PRODUCT_MASTER!$A:$A,PRODUCT_MASTER!$C:$C,2,0)</f>
        <v>Candy</v>
      </c>
      <c r="E38" t="str">
        <f>_xlfn.XLOOKUP(B38,PRODUCT_MASTER!$A:$A,PRODUCT_MASTER!$D:$D,2,0)</f>
        <v>Kg</v>
      </c>
      <c r="F38">
        <f>_xlfn.XLOOKUP(B38,PRODUCT_MASTER!$A:$A,PRODUCT_MASTER!$E:$E,2,0)</f>
        <v>67</v>
      </c>
      <c r="G38">
        <f>_xlfn.XLOOKUP(B38,PRODUCT_MASTER!$A:$A,PRODUCT_MASTER!$F:$F,2,0)</f>
        <v>83.08</v>
      </c>
      <c r="H38">
        <v>9</v>
      </c>
      <c r="I38" t="s">
        <v>103</v>
      </c>
      <c r="J38" t="s">
        <v>102</v>
      </c>
      <c r="K38">
        <v>0</v>
      </c>
      <c r="L38" s="15">
        <f t="shared" si="0"/>
        <v>603</v>
      </c>
      <c r="M38" s="15">
        <f t="shared" si="1"/>
        <v>747.72</v>
      </c>
      <c r="N38" s="15">
        <f t="shared" si="2"/>
        <v>144.72000000000003</v>
      </c>
      <c r="O38" s="10">
        <f t="shared" si="3"/>
        <v>0.24000000000000005</v>
      </c>
      <c r="P38" t="str">
        <f t="shared" si="4"/>
        <v>05</v>
      </c>
      <c r="Q38" t="str">
        <f t="shared" si="5"/>
        <v>Feb</v>
      </c>
      <c r="R38" t="str">
        <f t="shared" si="6"/>
        <v>2021</v>
      </c>
    </row>
    <row r="39" spans="1:18" x14ac:dyDescent="0.2">
      <c r="A39" s="1">
        <v>44233</v>
      </c>
      <c r="B39" t="s">
        <v>75</v>
      </c>
      <c r="C39" t="str">
        <f>_xlfn.XLOOKUP(B39,PRODUCT_MASTER!$A:$A,PRODUCT_MASTER!$B:$B,2,0)</f>
        <v>Product35</v>
      </c>
      <c r="D39" t="str">
        <f>_xlfn.XLOOKUP(B39,PRODUCT_MASTER!$A:$A,PRODUCT_MASTER!$C:$C,2,0)</f>
        <v>Bakery And Desserts</v>
      </c>
      <c r="E39" t="str">
        <f>_xlfn.XLOOKUP(B39,PRODUCT_MASTER!$A:$A,PRODUCT_MASTER!$D:$D,2,0)</f>
        <v>No.</v>
      </c>
      <c r="F39">
        <f>_xlfn.XLOOKUP(B39,PRODUCT_MASTER!$A:$A,PRODUCT_MASTER!$E:$E,2,0)</f>
        <v>5</v>
      </c>
      <c r="G39">
        <f>_xlfn.XLOOKUP(B39,PRODUCT_MASTER!$A:$A,PRODUCT_MASTER!$F:$F,2,0)</f>
        <v>6.7</v>
      </c>
      <c r="H39">
        <v>1</v>
      </c>
      <c r="I39" t="s">
        <v>103</v>
      </c>
      <c r="J39" t="s">
        <v>102</v>
      </c>
      <c r="K39">
        <v>0</v>
      </c>
      <c r="L39" s="15">
        <f t="shared" si="0"/>
        <v>5</v>
      </c>
      <c r="M39" s="15">
        <f t="shared" si="1"/>
        <v>6.7</v>
      </c>
      <c r="N39" s="15">
        <f t="shared" si="2"/>
        <v>1.7000000000000002</v>
      </c>
      <c r="O39" s="10">
        <f t="shared" si="3"/>
        <v>0.34</v>
      </c>
      <c r="P39" t="str">
        <f t="shared" si="4"/>
        <v>06</v>
      </c>
      <c r="Q39" t="str">
        <f t="shared" si="5"/>
        <v>Feb</v>
      </c>
      <c r="R39" t="str">
        <f t="shared" si="6"/>
        <v>2021</v>
      </c>
    </row>
    <row r="40" spans="1:18" x14ac:dyDescent="0.2">
      <c r="A40" s="1">
        <v>44236</v>
      </c>
      <c r="B40" t="s">
        <v>73</v>
      </c>
      <c r="C40" t="str">
        <f>_xlfn.XLOOKUP(B40,PRODUCT_MASTER!$A:$A,PRODUCT_MASTER!$B:$B,2,0)</f>
        <v>Product34</v>
      </c>
      <c r="D40" t="str">
        <f>_xlfn.XLOOKUP(B40,PRODUCT_MASTER!$A:$A,PRODUCT_MASTER!$C:$C,2,0)</f>
        <v>Bakery And Desserts</v>
      </c>
      <c r="E40" t="str">
        <f>_xlfn.XLOOKUP(B40,PRODUCT_MASTER!$A:$A,PRODUCT_MASTER!$D:$D,2,0)</f>
        <v>Lt</v>
      </c>
      <c r="F40">
        <f>_xlfn.XLOOKUP(B40,PRODUCT_MASTER!$A:$A,PRODUCT_MASTER!$E:$E,2,0)</f>
        <v>55</v>
      </c>
      <c r="G40">
        <f>_xlfn.XLOOKUP(B40,PRODUCT_MASTER!$A:$A,PRODUCT_MASTER!$F:$F,2,0)</f>
        <v>58.3</v>
      </c>
      <c r="H40">
        <v>14</v>
      </c>
      <c r="I40" t="s">
        <v>103</v>
      </c>
      <c r="J40" t="s">
        <v>101</v>
      </c>
      <c r="K40">
        <v>0</v>
      </c>
      <c r="L40" s="15">
        <f t="shared" si="0"/>
        <v>770</v>
      </c>
      <c r="M40" s="15">
        <f t="shared" si="1"/>
        <v>816.19999999999993</v>
      </c>
      <c r="N40" s="15">
        <f t="shared" si="2"/>
        <v>46.199999999999932</v>
      </c>
      <c r="O40" s="10">
        <f t="shared" si="3"/>
        <v>5.9999999999999915E-2</v>
      </c>
      <c r="P40" t="str">
        <f t="shared" si="4"/>
        <v>09</v>
      </c>
      <c r="Q40" t="str">
        <f t="shared" si="5"/>
        <v>Feb</v>
      </c>
      <c r="R40" t="str">
        <f t="shared" si="6"/>
        <v>2021</v>
      </c>
    </row>
    <row r="41" spans="1:18" x14ac:dyDescent="0.2">
      <c r="A41" s="1">
        <v>44239</v>
      </c>
      <c r="B41" t="s">
        <v>21</v>
      </c>
      <c r="C41" t="str">
        <f>_xlfn.XLOOKUP(B41,PRODUCT_MASTER!$A:$A,PRODUCT_MASTER!$B:$B,2,0)</f>
        <v>Product08</v>
      </c>
      <c r="D41" t="str">
        <f>_xlfn.XLOOKUP(B41,PRODUCT_MASTER!$A:$A,PRODUCT_MASTER!$C:$C,2,0)</f>
        <v>Gourmet Foods</v>
      </c>
      <c r="E41" t="str">
        <f>_xlfn.XLOOKUP(B41,PRODUCT_MASTER!$A:$A,PRODUCT_MASTER!$D:$D,2,0)</f>
        <v>Kg</v>
      </c>
      <c r="F41">
        <f>_xlfn.XLOOKUP(B41,PRODUCT_MASTER!$A:$A,PRODUCT_MASTER!$E:$E,2,0)</f>
        <v>83</v>
      </c>
      <c r="G41">
        <f>_xlfn.XLOOKUP(B41,PRODUCT_MASTER!$A:$A,PRODUCT_MASTER!$F:$F,2,0)</f>
        <v>94.62</v>
      </c>
      <c r="H41">
        <v>7</v>
      </c>
      <c r="I41" t="s">
        <v>103</v>
      </c>
      <c r="J41" t="s">
        <v>102</v>
      </c>
      <c r="K41">
        <v>0</v>
      </c>
      <c r="L41" s="15">
        <f t="shared" si="0"/>
        <v>581</v>
      </c>
      <c r="M41" s="15">
        <f t="shared" si="1"/>
        <v>662.34</v>
      </c>
      <c r="N41" s="15">
        <f t="shared" si="2"/>
        <v>81.340000000000032</v>
      </c>
      <c r="O41" s="10">
        <f t="shared" si="3"/>
        <v>0.14000000000000004</v>
      </c>
      <c r="P41" t="str">
        <f t="shared" si="4"/>
        <v>12</v>
      </c>
      <c r="Q41" t="str">
        <f t="shared" si="5"/>
        <v>Feb</v>
      </c>
      <c r="R41" t="str">
        <f t="shared" si="6"/>
        <v>2021</v>
      </c>
    </row>
    <row r="42" spans="1:18" x14ac:dyDescent="0.2">
      <c r="A42" s="1">
        <v>44239</v>
      </c>
      <c r="B42" t="s">
        <v>51</v>
      </c>
      <c r="C42" t="str">
        <f>_xlfn.XLOOKUP(B42,PRODUCT_MASTER!$A:$A,PRODUCT_MASTER!$B:$B,2,0)</f>
        <v>Product23</v>
      </c>
      <c r="D42" t="str">
        <f>_xlfn.XLOOKUP(B42,PRODUCT_MASTER!$A:$A,PRODUCT_MASTER!$C:$C,2,0)</f>
        <v>Seafood</v>
      </c>
      <c r="E42" t="str">
        <f>_xlfn.XLOOKUP(B42,PRODUCT_MASTER!$A:$A,PRODUCT_MASTER!$D:$D,2,0)</f>
        <v>Ft</v>
      </c>
      <c r="F42">
        <f>_xlfn.XLOOKUP(B42,PRODUCT_MASTER!$A:$A,PRODUCT_MASTER!$E:$E,2,0)</f>
        <v>141</v>
      </c>
      <c r="G42">
        <f>_xlfn.XLOOKUP(B42,PRODUCT_MASTER!$A:$A,PRODUCT_MASTER!$F:$F,2,0)</f>
        <v>149.46</v>
      </c>
      <c r="H42">
        <v>9</v>
      </c>
      <c r="I42" t="s">
        <v>101</v>
      </c>
      <c r="J42" t="s">
        <v>102</v>
      </c>
      <c r="K42">
        <v>0</v>
      </c>
      <c r="L42" s="15">
        <f t="shared" si="0"/>
        <v>1269</v>
      </c>
      <c r="M42" s="15">
        <f t="shared" si="1"/>
        <v>1345.14</v>
      </c>
      <c r="N42" s="15">
        <f t="shared" si="2"/>
        <v>76.1400000000001</v>
      </c>
      <c r="O42" s="10">
        <f t="shared" si="3"/>
        <v>6.0000000000000081E-2</v>
      </c>
      <c r="P42" t="str">
        <f t="shared" si="4"/>
        <v>12</v>
      </c>
      <c r="Q42" t="str">
        <f t="shared" si="5"/>
        <v>Feb</v>
      </c>
      <c r="R42" t="str">
        <f t="shared" si="6"/>
        <v>2021</v>
      </c>
    </row>
    <row r="43" spans="1:18" x14ac:dyDescent="0.2">
      <c r="A43" s="1">
        <v>44242</v>
      </c>
      <c r="B43" t="s">
        <v>59</v>
      </c>
      <c r="C43" t="str">
        <f>_xlfn.XLOOKUP(B43,PRODUCT_MASTER!$A:$A,PRODUCT_MASTER!$B:$B,2,0)</f>
        <v>Product27</v>
      </c>
      <c r="D43" t="str">
        <f>_xlfn.XLOOKUP(B43,PRODUCT_MASTER!$A:$A,PRODUCT_MASTER!$C:$C,2,0)</f>
        <v>Cheese And Dairy</v>
      </c>
      <c r="E43" t="str">
        <f>_xlfn.XLOOKUP(B43,PRODUCT_MASTER!$A:$A,PRODUCT_MASTER!$D:$D,2,0)</f>
        <v>Lt</v>
      </c>
      <c r="F43">
        <f>_xlfn.XLOOKUP(B43,PRODUCT_MASTER!$A:$A,PRODUCT_MASTER!$E:$E,2,0)</f>
        <v>48</v>
      </c>
      <c r="G43">
        <f>_xlfn.XLOOKUP(B43,PRODUCT_MASTER!$A:$A,PRODUCT_MASTER!$F:$F,2,0)</f>
        <v>57.120000000000005</v>
      </c>
      <c r="H43">
        <v>4</v>
      </c>
      <c r="I43" t="s">
        <v>103</v>
      </c>
      <c r="J43" t="s">
        <v>101</v>
      </c>
      <c r="K43">
        <v>0</v>
      </c>
      <c r="L43" s="15">
        <f t="shared" si="0"/>
        <v>192</v>
      </c>
      <c r="M43" s="15">
        <f t="shared" si="1"/>
        <v>228.48000000000002</v>
      </c>
      <c r="N43" s="15">
        <f t="shared" si="2"/>
        <v>36.480000000000018</v>
      </c>
      <c r="O43" s="10">
        <f t="shared" si="3"/>
        <v>0.19000000000000009</v>
      </c>
      <c r="P43" t="str">
        <f t="shared" si="4"/>
        <v>15</v>
      </c>
      <c r="Q43" t="str">
        <f t="shared" si="5"/>
        <v>Feb</v>
      </c>
      <c r="R43" t="str">
        <f t="shared" si="6"/>
        <v>2021</v>
      </c>
    </row>
    <row r="44" spans="1:18" x14ac:dyDescent="0.2">
      <c r="A44" s="1">
        <v>44245</v>
      </c>
      <c r="B44" t="s">
        <v>35</v>
      </c>
      <c r="C44" t="str">
        <f>_xlfn.XLOOKUP(B44,PRODUCT_MASTER!$A:$A,PRODUCT_MASTER!$B:$B,2,0)</f>
        <v>Product15</v>
      </c>
      <c r="D44" t="str">
        <f>_xlfn.XLOOKUP(B44,PRODUCT_MASTER!$A:$A,PRODUCT_MASTER!$C:$C,2,0)</f>
        <v>Meat</v>
      </c>
      <c r="E44" t="str">
        <f>_xlfn.XLOOKUP(B44,PRODUCT_MASTER!$A:$A,PRODUCT_MASTER!$D:$D,2,0)</f>
        <v>No.</v>
      </c>
      <c r="F44">
        <f>_xlfn.XLOOKUP(B44,PRODUCT_MASTER!$A:$A,PRODUCT_MASTER!$E:$E,2,0)</f>
        <v>12</v>
      </c>
      <c r="G44">
        <f>_xlfn.XLOOKUP(B44,PRODUCT_MASTER!$A:$A,PRODUCT_MASTER!$F:$F,2,0)</f>
        <v>15.719999999999999</v>
      </c>
      <c r="H44">
        <v>6</v>
      </c>
      <c r="I44" t="s">
        <v>101</v>
      </c>
      <c r="J44" t="s">
        <v>102</v>
      </c>
      <c r="K44">
        <v>0</v>
      </c>
      <c r="L44" s="15">
        <f t="shared" si="0"/>
        <v>72</v>
      </c>
      <c r="M44" s="15">
        <f t="shared" si="1"/>
        <v>94.32</v>
      </c>
      <c r="N44" s="15">
        <f t="shared" si="2"/>
        <v>22.319999999999993</v>
      </c>
      <c r="O44" s="10">
        <f t="shared" si="3"/>
        <v>0.30999999999999989</v>
      </c>
      <c r="P44" t="str">
        <f t="shared" si="4"/>
        <v>18</v>
      </c>
      <c r="Q44" t="str">
        <f t="shared" si="5"/>
        <v>Feb</v>
      </c>
      <c r="R44" t="str">
        <f t="shared" si="6"/>
        <v>2021</v>
      </c>
    </row>
    <row r="45" spans="1:18" x14ac:dyDescent="0.2">
      <c r="A45" s="1">
        <v>44247</v>
      </c>
      <c r="B45" t="s">
        <v>65</v>
      </c>
      <c r="C45" t="str">
        <f>_xlfn.XLOOKUP(B45,PRODUCT_MASTER!$A:$A,PRODUCT_MASTER!$B:$B,2,0)</f>
        <v>Product30</v>
      </c>
      <c r="D45" t="str">
        <f>_xlfn.XLOOKUP(B45,PRODUCT_MASTER!$A:$A,PRODUCT_MASTER!$C:$C,2,0)</f>
        <v>Cheese And Dairy</v>
      </c>
      <c r="E45" t="str">
        <f>_xlfn.XLOOKUP(B45,PRODUCT_MASTER!$A:$A,PRODUCT_MASTER!$D:$D,2,0)</f>
        <v>Ft</v>
      </c>
      <c r="F45">
        <f>_xlfn.XLOOKUP(B45,PRODUCT_MASTER!$A:$A,PRODUCT_MASTER!$E:$E,2,0)</f>
        <v>148</v>
      </c>
      <c r="G45">
        <f>_xlfn.XLOOKUP(B45,PRODUCT_MASTER!$A:$A,PRODUCT_MASTER!$F:$F,2,0)</f>
        <v>201.28</v>
      </c>
      <c r="H45">
        <v>11</v>
      </c>
      <c r="I45" t="s">
        <v>101</v>
      </c>
      <c r="J45" t="s">
        <v>102</v>
      </c>
      <c r="K45">
        <v>0</v>
      </c>
      <c r="L45" s="15">
        <f t="shared" si="0"/>
        <v>1628</v>
      </c>
      <c r="M45" s="15">
        <f t="shared" si="1"/>
        <v>2214.08</v>
      </c>
      <c r="N45" s="15">
        <f t="shared" si="2"/>
        <v>586.07999999999993</v>
      </c>
      <c r="O45" s="10">
        <f t="shared" si="3"/>
        <v>0.35999999999999993</v>
      </c>
      <c r="P45" t="str">
        <f t="shared" si="4"/>
        <v>20</v>
      </c>
      <c r="Q45" t="str">
        <f t="shared" si="5"/>
        <v>Feb</v>
      </c>
      <c r="R45" t="str">
        <f t="shared" si="6"/>
        <v>2021</v>
      </c>
    </row>
    <row r="46" spans="1:18" x14ac:dyDescent="0.2">
      <c r="A46" s="1">
        <v>44249</v>
      </c>
      <c r="B46" t="s">
        <v>31</v>
      </c>
      <c r="C46" t="str">
        <f>_xlfn.XLOOKUP(B46,PRODUCT_MASTER!$A:$A,PRODUCT_MASTER!$B:$B,2,0)</f>
        <v>Product13</v>
      </c>
      <c r="D46" t="str">
        <f>_xlfn.XLOOKUP(B46,PRODUCT_MASTER!$A:$A,PRODUCT_MASTER!$C:$C,2,0)</f>
        <v>Meat</v>
      </c>
      <c r="E46" t="str">
        <f>_xlfn.XLOOKUP(B46,PRODUCT_MASTER!$A:$A,PRODUCT_MASTER!$D:$D,2,0)</f>
        <v>Kg</v>
      </c>
      <c r="F46">
        <f>_xlfn.XLOOKUP(B46,PRODUCT_MASTER!$A:$A,PRODUCT_MASTER!$E:$E,2,0)</f>
        <v>112</v>
      </c>
      <c r="G46">
        <f>_xlfn.XLOOKUP(B46,PRODUCT_MASTER!$A:$A,PRODUCT_MASTER!$F:$F,2,0)</f>
        <v>122.08</v>
      </c>
      <c r="H46">
        <v>5</v>
      </c>
      <c r="I46" t="s">
        <v>101</v>
      </c>
      <c r="J46" t="s">
        <v>102</v>
      </c>
      <c r="K46">
        <v>0</v>
      </c>
      <c r="L46" s="15">
        <f t="shared" si="0"/>
        <v>560</v>
      </c>
      <c r="M46" s="15">
        <f t="shared" si="1"/>
        <v>610.4</v>
      </c>
      <c r="N46" s="15">
        <f t="shared" si="2"/>
        <v>50.399999999999977</v>
      </c>
      <c r="O46" s="10">
        <f t="shared" si="3"/>
        <v>8.9999999999999955E-2</v>
      </c>
      <c r="P46" t="str">
        <f t="shared" si="4"/>
        <v>22</v>
      </c>
      <c r="Q46" t="str">
        <f t="shared" si="5"/>
        <v>Feb</v>
      </c>
      <c r="R46" t="str">
        <f t="shared" si="6"/>
        <v>2021</v>
      </c>
    </row>
    <row r="47" spans="1:18" x14ac:dyDescent="0.2">
      <c r="A47" s="1">
        <v>44250</v>
      </c>
      <c r="B47" t="s">
        <v>55</v>
      </c>
      <c r="C47" t="str">
        <f>_xlfn.XLOOKUP(B47,PRODUCT_MASTER!$A:$A,PRODUCT_MASTER!$B:$B,2,0)</f>
        <v>Product25</v>
      </c>
      <c r="D47" t="str">
        <f>_xlfn.XLOOKUP(B47,PRODUCT_MASTER!$A:$A,PRODUCT_MASTER!$C:$C,2,0)</f>
        <v>Seafood</v>
      </c>
      <c r="E47" t="str">
        <f>_xlfn.XLOOKUP(B47,PRODUCT_MASTER!$A:$A,PRODUCT_MASTER!$D:$D,2,0)</f>
        <v>No.</v>
      </c>
      <c r="F47">
        <f>_xlfn.XLOOKUP(B47,PRODUCT_MASTER!$A:$A,PRODUCT_MASTER!$E:$E,2,0)</f>
        <v>7</v>
      </c>
      <c r="G47">
        <f>_xlfn.XLOOKUP(B47,PRODUCT_MASTER!$A:$A,PRODUCT_MASTER!$F:$F,2,0)</f>
        <v>8.33</v>
      </c>
      <c r="H47">
        <v>3</v>
      </c>
      <c r="I47" t="s">
        <v>103</v>
      </c>
      <c r="J47" t="s">
        <v>102</v>
      </c>
      <c r="K47">
        <v>0</v>
      </c>
      <c r="L47" s="15">
        <f t="shared" si="0"/>
        <v>21</v>
      </c>
      <c r="M47" s="15">
        <f t="shared" si="1"/>
        <v>24.990000000000002</v>
      </c>
      <c r="N47" s="15">
        <f t="shared" si="2"/>
        <v>3.990000000000002</v>
      </c>
      <c r="O47" s="10">
        <f t="shared" si="3"/>
        <v>0.19000000000000009</v>
      </c>
      <c r="P47" t="str">
        <f t="shared" si="4"/>
        <v>23</v>
      </c>
      <c r="Q47" t="str">
        <f t="shared" si="5"/>
        <v>Feb</v>
      </c>
      <c r="R47" t="str">
        <f t="shared" si="6"/>
        <v>2021</v>
      </c>
    </row>
    <row r="48" spans="1:18" x14ac:dyDescent="0.2">
      <c r="A48" s="1">
        <v>44250</v>
      </c>
      <c r="B48" t="s">
        <v>15</v>
      </c>
      <c r="C48" t="str">
        <f>_xlfn.XLOOKUP(B48,PRODUCT_MASTER!$A:$A,PRODUCT_MASTER!$B:$B,2,0)</f>
        <v>Product05</v>
      </c>
      <c r="D48" t="str">
        <f>_xlfn.XLOOKUP(B48,PRODUCT_MASTER!$A:$A,PRODUCT_MASTER!$C:$C,2,0)</f>
        <v>Organic</v>
      </c>
      <c r="E48" t="str">
        <f>_xlfn.XLOOKUP(B48,PRODUCT_MASTER!$A:$A,PRODUCT_MASTER!$D:$D,2,0)</f>
        <v>Ft</v>
      </c>
      <c r="F48">
        <f>_xlfn.XLOOKUP(B48,PRODUCT_MASTER!$A:$A,PRODUCT_MASTER!$E:$E,2,0)</f>
        <v>133</v>
      </c>
      <c r="G48">
        <f>_xlfn.XLOOKUP(B48,PRODUCT_MASTER!$A:$A,PRODUCT_MASTER!$F:$F,2,0)</f>
        <v>155.61000000000001</v>
      </c>
      <c r="H48">
        <v>2</v>
      </c>
      <c r="I48" t="s">
        <v>103</v>
      </c>
      <c r="J48" t="s">
        <v>101</v>
      </c>
      <c r="K48">
        <v>0</v>
      </c>
      <c r="L48" s="15">
        <f t="shared" si="0"/>
        <v>266</v>
      </c>
      <c r="M48" s="15">
        <f t="shared" si="1"/>
        <v>311.22000000000003</v>
      </c>
      <c r="N48" s="15">
        <f t="shared" si="2"/>
        <v>45.220000000000027</v>
      </c>
      <c r="O48" s="10">
        <f t="shared" si="3"/>
        <v>0.1700000000000001</v>
      </c>
      <c r="P48" t="str">
        <f t="shared" si="4"/>
        <v>23</v>
      </c>
      <c r="Q48" t="str">
        <f t="shared" si="5"/>
        <v>Feb</v>
      </c>
      <c r="R48" t="str">
        <f t="shared" si="6"/>
        <v>2021</v>
      </c>
    </row>
    <row r="49" spans="1:18" x14ac:dyDescent="0.2">
      <c r="A49" s="1">
        <v>44252</v>
      </c>
      <c r="B49" t="s">
        <v>9</v>
      </c>
      <c r="C49" t="str">
        <f>_xlfn.XLOOKUP(B49,PRODUCT_MASTER!$A:$A,PRODUCT_MASTER!$B:$B,2,0)</f>
        <v>Product02</v>
      </c>
      <c r="D49" t="str">
        <f>_xlfn.XLOOKUP(B49,PRODUCT_MASTER!$A:$A,PRODUCT_MASTER!$C:$C,2,0)</f>
        <v>Organic</v>
      </c>
      <c r="E49" t="str">
        <f>_xlfn.XLOOKUP(B49,PRODUCT_MASTER!$A:$A,PRODUCT_MASTER!$D:$D,2,0)</f>
        <v>Kg</v>
      </c>
      <c r="F49">
        <f>_xlfn.XLOOKUP(B49,PRODUCT_MASTER!$A:$A,PRODUCT_MASTER!$E:$E,2,0)</f>
        <v>105</v>
      </c>
      <c r="G49">
        <f>_xlfn.XLOOKUP(B49,PRODUCT_MASTER!$A:$A,PRODUCT_MASTER!$F:$F,2,0)</f>
        <v>142.80000000000001</v>
      </c>
      <c r="H49">
        <v>4</v>
      </c>
      <c r="I49" t="s">
        <v>100</v>
      </c>
      <c r="J49" t="s">
        <v>101</v>
      </c>
      <c r="K49">
        <v>0</v>
      </c>
      <c r="L49" s="15">
        <f t="shared" si="0"/>
        <v>420</v>
      </c>
      <c r="M49" s="15">
        <f t="shared" si="1"/>
        <v>571.20000000000005</v>
      </c>
      <c r="N49" s="15">
        <f t="shared" si="2"/>
        <v>151.20000000000005</v>
      </c>
      <c r="O49" s="10">
        <f t="shared" si="3"/>
        <v>0.3600000000000001</v>
      </c>
      <c r="P49" t="str">
        <f t="shared" si="4"/>
        <v>25</v>
      </c>
      <c r="Q49" t="str">
        <f t="shared" si="5"/>
        <v>Feb</v>
      </c>
      <c r="R49" t="str">
        <f t="shared" si="6"/>
        <v>2021</v>
      </c>
    </row>
    <row r="50" spans="1:18" x14ac:dyDescent="0.2">
      <c r="A50" s="1">
        <v>44252</v>
      </c>
      <c r="B50" t="s">
        <v>69</v>
      </c>
      <c r="C50" t="str">
        <f>_xlfn.XLOOKUP(B50,PRODUCT_MASTER!$A:$A,PRODUCT_MASTER!$B:$B,2,0)</f>
        <v>Product32</v>
      </c>
      <c r="D50" t="str">
        <f>_xlfn.XLOOKUP(B50,PRODUCT_MASTER!$A:$A,PRODUCT_MASTER!$C:$C,2,0)</f>
        <v>Bakery And Desserts</v>
      </c>
      <c r="E50" t="str">
        <f>_xlfn.XLOOKUP(B50,PRODUCT_MASTER!$A:$A,PRODUCT_MASTER!$D:$D,2,0)</f>
        <v>Kg</v>
      </c>
      <c r="F50">
        <f>_xlfn.XLOOKUP(B50,PRODUCT_MASTER!$A:$A,PRODUCT_MASTER!$E:$E,2,0)</f>
        <v>89</v>
      </c>
      <c r="G50">
        <f>_xlfn.XLOOKUP(B50,PRODUCT_MASTER!$A:$A,PRODUCT_MASTER!$F:$F,2,0)</f>
        <v>117.48</v>
      </c>
      <c r="H50">
        <v>11</v>
      </c>
      <c r="I50" t="s">
        <v>101</v>
      </c>
      <c r="J50" t="s">
        <v>102</v>
      </c>
      <c r="K50">
        <v>0</v>
      </c>
      <c r="L50" s="15">
        <f t="shared" si="0"/>
        <v>979</v>
      </c>
      <c r="M50" s="15">
        <f t="shared" si="1"/>
        <v>1292.28</v>
      </c>
      <c r="N50" s="15">
        <f t="shared" si="2"/>
        <v>313.27999999999997</v>
      </c>
      <c r="O50" s="10">
        <f t="shared" si="3"/>
        <v>0.31999999999999995</v>
      </c>
      <c r="P50" t="str">
        <f t="shared" si="4"/>
        <v>25</v>
      </c>
      <c r="Q50" t="str">
        <f t="shared" si="5"/>
        <v>Feb</v>
      </c>
      <c r="R50" t="str">
        <f t="shared" si="6"/>
        <v>2021</v>
      </c>
    </row>
    <row r="51" spans="1:18" x14ac:dyDescent="0.2">
      <c r="A51" s="1">
        <v>44252</v>
      </c>
      <c r="B51" t="s">
        <v>65</v>
      </c>
      <c r="C51" t="str">
        <f>_xlfn.XLOOKUP(B51,PRODUCT_MASTER!$A:$A,PRODUCT_MASTER!$B:$B,2,0)</f>
        <v>Product30</v>
      </c>
      <c r="D51" t="str">
        <f>_xlfn.XLOOKUP(B51,PRODUCT_MASTER!$A:$A,PRODUCT_MASTER!$C:$C,2,0)</f>
        <v>Cheese And Dairy</v>
      </c>
      <c r="E51" t="str">
        <f>_xlfn.XLOOKUP(B51,PRODUCT_MASTER!$A:$A,PRODUCT_MASTER!$D:$D,2,0)</f>
        <v>Ft</v>
      </c>
      <c r="F51">
        <f>_xlfn.XLOOKUP(B51,PRODUCT_MASTER!$A:$A,PRODUCT_MASTER!$E:$E,2,0)</f>
        <v>148</v>
      </c>
      <c r="G51">
        <f>_xlfn.XLOOKUP(B51,PRODUCT_MASTER!$A:$A,PRODUCT_MASTER!$F:$F,2,0)</f>
        <v>201.28</v>
      </c>
      <c r="H51">
        <v>2</v>
      </c>
      <c r="I51" t="s">
        <v>103</v>
      </c>
      <c r="J51" t="s">
        <v>101</v>
      </c>
      <c r="K51">
        <v>0</v>
      </c>
      <c r="L51" s="15">
        <f t="shared" si="0"/>
        <v>296</v>
      </c>
      <c r="M51" s="15">
        <f t="shared" si="1"/>
        <v>402.56</v>
      </c>
      <c r="N51" s="15">
        <f t="shared" si="2"/>
        <v>106.56</v>
      </c>
      <c r="O51" s="10">
        <f t="shared" si="3"/>
        <v>0.36</v>
      </c>
      <c r="P51" t="str">
        <f t="shared" si="4"/>
        <v>25</v>
      </c>
      <c r="Q51" t="str">
        <f t="shared" si="5"/>
        <v>Feb</v>
      </c>
      <c r="R51" t="str">
        <f t="shared" si="6"/>
        <v>2021</v>
      </c>
    </row>
    <row r="52" spans="1:18" x14ac:dyDescent="0.2">
      <c r="A52" s="1">
        <v>44254</v>
      </c>
      <c r="B52" t="s">
        <v>41</v>
      </c>
      <c r="C52" t="str">
        <f>_xlfn.XLOOKUP(B52,PRODUCT_MASTER!$A:$A,PRODUCT_MASTER!$B:$B,2,0)</f>
        <v>Product18</v>
      </c>
      <c r="D52" t="str">
        <f>_xlfn.XLOOKUP(B52,PRODUCT_MASTER!$A:$A,PRODUCT_MASTER!$C:$C,2,0)</f>
        <v>Poultry</v>
      </c>
      <c r="E52" t="str">
        <f>_xlfn.XLOOKUP(B52,PRODUCT_MASTER!$A:$A,PRODUCT_MASTER!$D:$D,2,0)</f>
        <v>No.</v>
      </c>
      <c r="F52">
        <f>_xlfn.XLOOKUP(B52,PRODUCT_MASTER!$A:$A,PRODUCT_MASTER!$E:$E,2,0)</f>
        <v>37</v>
      </c>
      <c r="G52">
        <f>_xlfn.XLOOKUP(B52,PRODUCT_MASTER!$A:$A,PRODUCT_MASTER!$F:$F,2,0)</f>
        <v>49.21</v>
      </c>
      <c r="H52">
        <v>11</v>
      </c>
      <c r="I52" t="s">
        <v>100</v>
      </c>
      <c r="J52" t="s">
        <v>101</v>
      </c>
      <c r="K52">
        <v>0</v>
      </c>
      <c r="L52" s="15">
        <f t="shared" si="0"/>
        <v>407</v>
      </c>
      <c r="M52" s="15">
        <f t="shared" si="1"/>
        <v>541.31000000000006</v>
      </c>
      <c r="N52" s="15">
        <f t="shared" si="2"/>
        <v>134.31000000000006</v>
      </c>
      <c r="O52" s="10">
        <f t="shared" si="3"/>
        <v>0.33000000000000013</v>
      </c>
      <c r="P52" t="str">
        <f t="shared" si="4"/>
        <v>27</v>
      </c>
      <c r="Q52" t="str">
        <f t="shared" si="5"/>
        <v>Feb</v>
      </c>
      <c r="R52" t="str">
        <f t="shared" si="6"/>
        <v>2021</v>
      </c>
    </row>
    <row r="53" spans="1:18" x14ac:dyDescent="0.2">
      <c r="A53" s="1">
        <v>44258</v>
      </c>
      <c r="B53" t="s">
        <v>27</v>
      </c>
      <c r="C53" t="str">
        <f>_xlfn.XLOOKUP(B53,PRODUCT_MASTER!$A:$A,PRODUCT_MASTER!$B:$B,2,0)</f>
        <v>Product11</v>
      </c>
      <c r="D53" t="str">
        <f>_xlfn.XLOOKUP(B53,PRODUCT_MASTER!$A:$A,PRODUCT_MASTER!$C:$C,2,0)</f>
        <v>Gourmet Foods</v>
      </c>
      <c r="E53" t="str">
        <f>_xlfn.XLOOKUP(B53,PRODUCT_MASTER!$A:$A,PRODUCT_MASTER!$D:$D,2,0)</f>
        <v>Lt</v>
      </c>
      <c r="F53">
        <f>_xlfn.XLOOKUP(B53,PRODUCT_MASTER!$A:$A,PRODUCT_MASTER!$E:$E,2,0)</f>
        <v>44</v>
      </c>
      <c r="G53">
        <f>_xlfn.XLOOKUP(B53,PRODUCT_MASTER!$A:$A,PRODUCT_MASTER!$F:$F,2,0)</f>
        <v>48.4</v>
      </c>
      <c r="H53">
        <v>1</v>
      </c>
      <c r="I53" t="s">
        <v>103</v>
      </c>
      <c r="J53" t="s">
        <v>101</v>
      </c>
      <c r="K53">
        <v>0</v>
      </c>
      <c r="L53" s="15">
        <f t="shared" si="0"/>
        <v>44</v>
      </c>
      <c r="M53" s="15">
        <f t="shared" si="1"/>
        <v>48.4</v>
      </c>
      <c r="N53" s="15">
        <f t="shared" si="2"/>
        <v>4.3999999999999986</v>
      </c>
      <c r="O53" s="10">
        <f t="shared" si="3"/>
        <v>9.9999999999999964E-2</v>
      </c>
      <c r="P53" t="str">
        <f t="shared" si="4"/>
        <v>03</v>
      </c>
      <c r="Q53" t="str">
        <f t="shared" si="5"/>
        <v>Mar</v>
      </c>
      <c r="R53" t="str">
        <f t="shared" si="6"/>
        <v>2021</v>
      </c>
    </row>
    <row r="54" spans="1:18" x14ac:dyDescent="0.2">
      <c r="A54" s="1">
        <v>44262</v>
      </c>
      <c r="B54" t="s">
        <v>47</v>
      </c>
      <c r="C54" t="str">
        <f>_xlfn.XLOOKUP(B54,PRODUCT_MASTER!$A:$A,PRODUCT_MASTER!$B:$B,2,0)</f>
        <v>Product21</v>
      </c>
      <c r="D54" t="str">
        <f>_xlfn.XLOOKUP(B54,PRODUCT_MASTER!$A:$A,PRODUCT_MASTER!$C:$C,2,0)</f>
        <v>Poultry</v>
      </c>
      <c r="E54" t="str">
        <f>_xlfn.XLOOKUP(B54,PRODUCT_MASTER!$A:$A,PRODUCT_MASTER!$D:$D,2,0)</f>
        <v>Ft</v>
      </c>
      <c r="F54">
        <f>_xlfn.XLOOKUP(B54,PRODUCT_MASTER!$A:$A,PRODUCT_MASTER!$E:$E,2,0)</f>
        <v>126</v>
      </c>
      <c r="G54">
        <f>_xlfn.XLOOKUP(B54,PRODUCT_MASTER!$A:$A,PRODUCT_MASTER!$F:$F,2,0)</f>
        <v>162.54</v>
      </c>
      <c r="H54">
        <v>9</v>
      </c>
      <c r="I54" t="s">
        <v>103</v>
      </c>
      <c r="J54" t="s">
        <v>102</v>
      </c>
      <c r="K54">
        <v>0</v>
      </c>
      <c r="L54" s="15">
        <f t="shared" si="0"/>
        <v>1134</v>
      </c>
      <c r="M54" s="15">
        <f t="shared" si="1"/>
        <v>1462.86</v>
      </c>
      <c r="N54" s="15">
        <f t="shared" si="2"/>
        <v>328.8599999999999</v>
      </c>
      <c r="O54" s="10">
        <f t="shared" si="3"/>
        <v>0.28999999999999992</v>
      </c>
      <c r="P54" t="str">
        <f t="shared" si="4"/>
        <v>07</v>
      </c>
      <c r="Q54" t="str">
        <f t="shared" si="5"/>
        <v>Mar</v>
      </c>
      <c r="R54" t="str">
        <f t="shared" si="6"/>
        <v>2021</v>
      </c>
    </row>
    <row r="55" spans="1:18" x14ac:dyDescent="0.2">
      <c r="A55" s="1">
        <v>44263</v>
      </c>
      <c r="B55" t="s">
        <v>59</v>
      </c>
      <c r="C55" t="str">
        <f>_xlfn.XLOOKUP(B55,PRODUCT_MASTER!$A:$A,PRODUCT_MASTER!$B:$B,2,0)</f>
        <v>Product27</v>
      </c>
      <c r="D55" t="str">
        <f>_xlfn.XLOOKUP(B55,PRODUCT_MASTER!$A:$A,PRODUCT_MASTER!$C:$C,2,0)</f>
        <v>Cheese And Dairy</v>
      </c>
      <c r="E55" t="str">
        <f>_xlfn.XLOOKUP(B55,PRODUCT_MASTER!$A:$A,PRODUCT_MASTER!$D:$D,2,0)</f>
        <v>Lt</v>
      </c>
      <c r="F55">
        <f>_xlfn.XLOOKUP(B55,PRODUCT_MASTER!$A:$A,PRODUCT_MASTER!$E:$E,2,0)</f>
        <v>48</v>
      </c>
      <c r="G55">
        <f>_xlfn.XLOOKUP(B55,PRODUCT_MASTER!$A:$A,PRODUCT_MASTER!$F:$F,2,0)</f>
        <v>57.120000000000005</v>
      </c>
      <c r="H55">
        <v>6</v>
      </c>
      <c r="I55" t="s">
        <v>101</v>
      </c>
      <c r="J55" t="s">
        <v>102</v>
      </c>
      <c r="K55">
        <v>0</v>
      </c>
      <c r="L55" s="15">
        <f t="shared" si="0"/>
        <v>288</v>
      </c>
      <c r="M55" s="15">
        <f t="shared" si="1"/>
        <v>342.72</v>
      </c>
      <c r="N55" s="15">
        <f t="shared" si="2"/>
        <v>54.720000000000027</v>
      </c>
      <c r="O55" s="10">
        <f t="shared" si="3"/>
        <v>0.19000000000000009</v>
      </c>
      <c r="P55" t="str">
        <f t="shared" si="4"/>
        <v>08</v>
      </c>
      <c r="Q55" t="str">
        <f t="shared" si="5"/>
        <v>Mar</v>
      </c>
      <c r="R55" t="str">
        <f t="shared" si="6"/>
        <v>2021</v>
      </c>
    </row>
    <row r="56" spans="1:18" x14ac:dyDescent="0.2">
      <c r="A56" s="1">
        <v>44263</v>
      </c>
      <c r="B56" t="s">
        <v>93</v>
      </c>
      <c r="C56" t="str">
        <f>_xlfn.XLOOKUP(B56,PRODUCT_MASTER!$A:$A,PRODUCT_MASTER!$B:$B,2,0)</f>
        <v>Product44</v>
      </c>
      <c r="D56" t="str">
        <f>_xlfn.XLOOKUP(B56,PRODUCT_MASTER!$A:$A,PRODUCT_MASTER!$C:$C,2,0)</f>
        <v>Candy</v>
      </c>
      <c r="E56" t="str">
        <f>_xlfn.XLOOKUP(B56,PRODUCT_MASTER!$A:$A,PRODUCT_MASTER!$D:$D,2,0)</f>
        <v>Kg</v>
      </c>
      <c r="F56">
        <f>_xlfn.XLOOKUP(B56,PRODUCT_MASTER!$A:$A,PRODUCT_MASTER!$E:$E,2,0)</f>
        <v>76</v>
      </c>
      <c r="G56">
        <f>_xlfn.XLOOKUP(B56,PRODUCT_MASTER!$A:$A,PRODUCT_MASTER!$F:$F,2,0)</f>
        <v>82.08</v>
      </c>
      <c r="H56">
        <v>9</v>
      </c>
      <c r="I56" t="s">
        <v>101</v>
      </c>
      <c r="J56" t="s">
        <v>101</v>
      </c>
      <c r="K56">
        <v>0</v>
      </c>
      <c r="L56" s="15">
        <f t="shared" si="0"/>
        <v>684</v>
      </c>
      <c r="M56" s="15">
        <f t="shared" si="1"/>
        <v>738.72</v>
      </c>
      <c r="N56" s="15">
        <f t="shared" si="2"/>
        <v>54.720000000000027</v>
      </c>
      <c r="O56" s="10">
        <f t="shared" si="3"/>
        <v>8.0000000000000043E-2</v>
      </c>
      <c r="P56" t="str">
        <f t="shared" si="4"/>
        <v>08</v>
      </c>
      <c r="Q56" t="str">
        <f t="shared" si="5"/>
        <v>Mar</v>
      </c>
      <c r="R56" t="str">
        <f t="shared" si="6"/>
        <v>2021</v>
      </c>
    </row>
    <row r="57" spans="1:18" x14ac:dyDescent="0.2">
      <c r="A57" s="1">
        <v>44264</v>
      </c>
      <c r="B57" t="s">
        <v>63</v>
      </c>
      <c r="C57" t="str">
        <f>_xlfn.XLOOKUP(B57,PRODUCT_MASTER!$A:$A,PRODUCT_MASTER!$B:$B,2,0)</f>
        <v>Product29</v>
      </c>
      <c r="D57" t="str">
        <f>_xlfn.XLOOKUP(B57,PRODUCT_MASTER!$A:$A,PRODUCT_MASTER!$C:$C,2,0)</f>
        <v>Cheese And Dairy</v>
      </c>
      <c r="E57" t="str">
        <f>_xlfn.XLOOKUP(B57,PRODUCT_MASTER!$A:$A,PRODUCT_MASTER!$D:$D,2,0)</f>
        <v>Lt</v>
      </c>
      <c r="F57">
        <f>_xlfn.XLOOKUP(B57,PRODUCT_MASTER!$A:$A,PRODUCT_MASTER!$E:$E,2,0)</f>
        <v>47</v>
      </c>
      <c r="G57">
        <f>_xlfn.XLOOKUP(B57,PRODUCT_MASTER!$A:$A,PRODUCT_MASTER!$F:$F,2,0)</f>
        <v>53.11</v>
      </c>
      <c r="H57">
        <v>6</v>
      </c>
      <c r="I57" t="s">
        <v>100</v>
      </c>
      <c r="J57" t="s">
        <v>101</v>
      </c>
      <c r="K57">
        <v>0</v>
      </c>
      <c r="L57" s="15">
        <f t="shared" si="0"/>
        <v>282</v>
      </c>
      <c r="M57" s="15">
        <f t="shared" si="1"/>
        <v>318.65999999999997</v>
      </c>
      <c r="N57" s="15">
        <f t="shared" si="2"/>
        <v>36.659999999999968</v>
      </c>
      <c r="O57" s="10">
        <f t="shared" si="3"/>
        <v>0.12999999999999989</v>
      </c>
      <c r="P57" t="str">
        <f t="shared" si="4"/>
        <v>09</v>
      </c>
      <c r="Q57" t="str">
        <f t="shared" si="5"/>
        <v>Mar</v>
      </c>
      <c r="R57" t="str">
        <f t="shared" si="6"/>
        <v>2021</v>
      </c>
    </row>
    <row r="58" spans="1:18" x14ac:dyDescent="0.2">
      <c r="A58" s="1">
        <v>44266</v>
      </c>
      <c r="B58" t="s">
        <v>55</v>
      </c>
      <c r="C58" t="str">
        <f>_xlfn.XLOOKUP(B58,PRODUCT_MASTER!$A:$A,PRODUCT_MASTER!$B:$B,2,0)</f>
        <v>Product25</v>
      </c>
      <c r="D58" t="str">
        <f>_xlfn.XLOOKUP(B58,PRODUCT_MASTER!$A:$A,PRODUCT_MASTER!$C:$C,2,0)</f>
        <v>Seafood</v>
      </c>
      <c r="E58" t="str">
        <f>_xlfn.XLOOKUP(B58,PRODUCT_MASTER!$A:$A,PRODUCT_MASTER!$D:$D,2,0)</f>
        <v>No.</v>
      </c>
      <c r="F58">
        <f>_xlfn.XLOOKUP(B58,PRODUCT_MASTER!$A:$A,PRODUCT_MASTER!$E:$E,2,0)</f>
        <v>7</v>
      </c>
      <c r="G58">
        <f>_xlfn.XLOOKUP(B58,PRODUCT_MASTER!$A:$A,PRODUCT_MASTER!$F:$F,2,0)</f>
        <v>8.33</v>
      </c>
      <c r="H58">
        <v>11</v>
      </c>
      <c r="I58" t="s">
        <v>103</v>
      </c>
      <c r="J58" t="s">
        <v>102</v>
      </c>
      <c r="K58">
        <v>0</v>
      </c>
      <c r="L58" s="15">
        <f t="shared" si="0"/>
        <v>77</v>
      </c>
      <c r="M58" s="15">
        <f t="shared" si="1"/>
        <v>91.63</v>
      </c>
      <c r="N58" s="15">
        <f t="shared" si="2"/>
        <v>14.629999999999995</v>
      </c>
      <c r="O58" s="10">
        <f t="shared" si="3"/>
        <v>0.18999999999999995</v>
      </c>
      <c r="P58" t="str">
        <f t="shared" si="4"/>
        <v>11</v>
      </c>
      <c r="Q58" t="str">
        <f t="shared" si="5"/>
        <v>Mar</v>
      </c>
      <c r="R58" t="str">
        <f t="shared" si="6"/>
        <v>2021</v>
      </c>
    </row>
    <row r="59" spans="1:18" x14ac:dyDescent="0.2">
      <c r="A59" s="1">
        <v>44268</v>
      </c>
      <c r="B59" t="s">
        <v>61</v>
      </c>
      <c r="C59" t="str">
        <f>_xlfn.XLOOKUP(B59,PRODUCT_MASTER!$A:$A,PRODUCT_MASTER!$B:$B,2,0)</f>
        <v>Product28</v>
      </c>
      <c r="D59" t="str">
        <f>_xlfn.XLOOKUP(B59,PRODUCT_MASTER!$A:$A,PRODUCT_MASTER!$C:$C,2,0)</f>
        <v>Cheese And Dairy</v>
      </c>
      <c r="E59" t="str">
        <f>_xlfn.XLOOKUP(B59,PRODUCT_MASTER!$A:$A,PRODUCT_MASTER!$D:$D,2,0)</f>
        <v>No.</v>
      </c>
      <c r="F59">
        <f>_xlfn.XLOOKUP(B59,PRODUCT_MASTER!$A:$A,PRODUCT_MASTER!$E:$E,2,0)</f>
        <v>37</v>
      </c>
      <c r="G59">
        <f>_xlfn.XLOOKUP(B59,PRODUCT_MASTER!$A:$A,PRODUCT_MASTER!$F:$F,2,0)</f>
        <v>41.81</v>
      </c>
      <c r="H59">
        <v>10</v>
      </c>
      <c r="I59" t="s">
        <v>100</v>
      </c>
      <c r="J59" t="s">
        <v>102</v>
      </c>
      <c r="K59">
        <v>0</v>
      </c>
      <c r="L59" s="15">
        <f t="shared" si="0"/>
        <v>370</v>
      </c>
      <c r="M59" s="15">
        <f t="shared" si="1"/>
        <v>418.1</v>
      </c>
      <c r="N59" s="15">
        <f t="shared" si="2"/>
        <v>48.100000000000023</v>
      </c>
      <c r="O59" s="10">
        <f t="shared" si="3"/>
        <v>0.13000000000000006</v>
      </c>
      <c r="P59" t="str">
        <f t="shared" si="4"/>
        <v>13</v>
      </c>
      <c r="Q59" t="str">
        <f t="shared" si="5"/>
        <v>Mar</v>
      </c>
      <c r="R59" t="str">
        <f t="shared" si="6"/>
        <v>2021</v>
      </c>
    </row>
    <row r="60" spans="1:18" x14ac:dyDescent="0.2">
      <c r="A60" s="1">
        <v>44270</v>
      </c>
      <c r="B60" t="s">
        <v>83</v>
      </c>
      <c r="C60" t="str">
        <f>_xlfn.XLOOKUP(B60,PRODUCT_MASTER!$A:$A,PRODUCT_MASTER!$B:$B,2,0)</f>
        <v>Product39</v>
      </c>
      <c r="D60" t="str">
        <f>_xlfn.XLOOKUP(B60,PRODUCT_MASTER!$A:$A,PRODUCT_MASTER!$C:$C,2,0)</f>
        <v>Snacks</v>
      </c>
      <c r="E60" t="str">
        <f>_xlfn.XLOOKUP(B60,PRODUCT_MASTER!$A:$A,PRODUCT_MASTER!$D:$D,2,0)</f>
        <v>No.</v>
      </c>
      <c r="F60">
        <f>_xlfn.XLOOKUP(B60,PRODUCT_MASTER!$A:$A,PRODUCT_MASTER!$E:$E,2,0)</f>
        <v>37</v>
      </c>
      <c r="G60">
        <f>_xlfn.XLOOKUP(B60,PRODUCT_MASTER!$A:$A,PRODUCT_MASTER!$F:$F,2,0)</f>
        <v>42.55</v>
      </c>
      <c r="H60">
        <v>11</v>
      </c>
      <c r="I60" t="s">
        <v>101</v>
      </c>
      <c r="J60" t="s">
        <v>102</v>
      </c>
      <c r="K60">
        <v>0</v>
      </c>
      <c r="L60" s="15">
        <f t="shared" si="0"/>
        <v>407</v>
      </c>
      <c r="M60" s="15">
        <f t="shared" si="1"/>
        <v>468.04999999999995</v>
      </c>
      <c r="N60" s="15">
        <f t="shared" si="2"/>
        <v>61.049999999999955</v>
      </c>
      <c r="O60" s="10">
        <f t="shared" si="3"/>
        <v>0.14999999999999988</v>
      </c>
      <c r="P60" t="str">
        <f t="shared" si="4"/>
        <v>15</v>
      </c>
      <c r="Q60" t="str">
        <f t="shared" si="5"/>
        <v>Mar</v>
      </c>
      <c r="R60" t="str">
        <f t="shared" si="6"/>
        <v>2021</v>
      </c>
    </row>
    <row r="61" spans="1:18" x14ac:dyDescent="0.2">
      <c r="A61" s="1">
        <v>44271</v>
      </c>
      <c r="B61" t="s">
        <v>29</v>
      </c>
      <c r="C61" t="str">
        <f>_xlfn.XLOOKUP(B61,PRODUCT_MASTER!$A:$A,PRODUCT_MASTER!$B:$B,2,0)</f>
        <v>Product12</v>
      </c>
      <c r="D61" t="str">
        <f>_xlfn.XLOOKUP(B61,PRODUCT_MASTER!$A:$A,PRODUCT_MASTER!$C:$C,2,0)</f>
        <v>Meat</v>
      </c>
      <c r="E61" t="str">
        <f>_xlfn.XLOOKUP(B61,PRODUCT_MASTER!$A:$A,PRODUCT_MASTER!$D:$D,2,0)</f>
        <v>Kg</v>
      </c>
      <c r="F61">
        <f>_xlfn.XLOOKUP(B61,PRODUCT_MASTER!$A:$A,PRODUCT_MASTER!$E:$E,2,0)</f>
        <v>73</v>
      </c>
      <c r="G61">
        <f>_xlfn.XLOOKUP(B61,PRODUCT_MASTER!$A:$A,PRODUCT_MASTER!$F:$F,2,0)</f>
        <v>94.17</v>
      </c>
      <c r="H61">
        <v>14</v>
      </c>
      <c r="I61" t="s">
        <v>103</v>
      </c>
      <c r="J61" t="s">
        <v>102</v>
      </c>
      <c r="K61">
        <v>0</v>
      </c>
      <c r="L61" s="15">
        <f t="shared" si="0"/>
        <v>1022</v>
      </c>
      <c r="M61" s="15">
        <f t="shared" si="1"/>
        <v>1318.38</v>
      </c>
      <c r="N61" s="15">
        <f t="shared" si="2"/>
        <v>296.38000000000011</v>
      </c>
      <c r="O61" s="10">
        <f t="shared" si="3"/>
        <v>0.29000000000000009</v>
      </c>
      <c r="P61" t="str">
        <f t="shared" si="4"/>
        <v>16</v>
      </c>
      <c r="Q61" t="str">
        <f t="shared" si="5"/>
        <v>Mar</v>
      </c>
      <c r="R61" t="str">
        <f t="shared" si="6"/>
        <v>2021</v>
      </c>
    </row>
    <row r="62" spans="1:18" x14ac:dyDescent="0.2">
      <c r="A62" s="1">
        <v>44273</v>
      </c>
      <c r="B62" t="s">
        <v>89</v>
      </c>
      <c r="C62" t="str">
        <f>_xlfn.XLOOKUP(B62,PRODUCT_MASTER!$A:$A,PRODUCT_MASTER!$B:$B,2,0)</f>
        <v>Product42</v>
      </c>
      <c r="D62" t="str">
        <f>_xlfn.XLOOKUP(B62,PRODUCT_MASTER!$A:$A,PRODUCT_MASTER!$C:$C,2,0)</f>
        <v>Candy</v>
      </c>
      <c r="E62" t="str">
        <f>_xlfn.XLOOKUP(B62,PRODUCT_MASTER!$A:$A,PRODUCT_MASTER!$D:$D,2,0)</f>
        <v>Ft</v>
      </c>
      <c r="F62">
        <f>_xlfn.XLOOKUP(B62,PRODUCT_MASTER!$A:$A,PRODUCT_MASTER!$E:$E,2,0)</f>
        <v>120</v>
      </c>
      <c r="G62">
        <f>_xlfn.XLOOKUP(B62,PRODUCT_MASTER!$A:$A,PRODUCT_MASTER!$F:$F,2,0)</f>
        <v>162</v>
      </c>
      <c r="H62">
        <v>8</v>
      </c>
      <c r="I62" t="s">
        <v>100</v>
      </c>
      <c r="J62" t="s">
        <v>102</v>
      </c>
      <c r="K62">
        <v>0</v>
      </c>
      <c r="L62" s="15">
        <f t="shared" si="0"/>
        <v>960</v>
      </c>
      <c r="M62" s="15">
        <f t="shared" si="1"/>
        <v>1296</v>
      </c>
      <c r="N62" s="15">
        <f t="shared" si="2"/>
        <v>336</v>
      </c>
      <c r="O62" s="10">
        <f t="shared" si="3"/>
        <v>0.35</v>
      </c>
      <c r="P62" t="str">
        <f t="shared" si="4"/>
        <v>18</v>
      </c>
      <c r="Q62" t="str">
        <f t="shared" si="5"/>
        <v>Mar</v>
      </c>
      <c r="R62" t="str">
        <f t="shared" si="6"/>
        <v>2021</v>
      </c>
    </row>
    <row r="63" spans="1:18" x14ac:dyDescent="0.2">
      <c r="A63" s="1">
        <v>44274</v>
      </c>
      <c r="B63" t="s">
        <v>61</v>
      </c>
      <c r="C63" t="str">
        <f>_xlfn.XLOOKUP(B63,PRODUCT_MASTER!$A:$A,PRODUCT_MASTER!$B:$B,2,0)</f>
        <v>Product28</v>
      </c>
      <c r="D63" t="str">
        <f>_xlfn.XLOOKUP(B63,PRODUCT_MASTER!$A:$A,PRODUCT_MASTER!$C:$C,2,0)</f>
        <v>Cheese And Dairy</v>
      </c>
      <c r="E63" t="str">
        <f>_xlfn.XLOOKUP(B63,PRODUCT_MASTER!$A:$A,PRODUCT_MASTER!$D:$D,2,0)</f>
        <v>No.</v>
      </c>
      <c r="F63">
        <f>_xlfn.XLOOKUP(B63,PRODUCT_MASTER!$A:$A,PRODUCT_MASTER!$E:$E,2,0)</f>
        <v>37</v>
      </c>
      <c r="G63">
        <f>_xlfn.XLOOKUP(B63,PRODUCT_MASTER!$A:$A,PRODUCT_MASTER!$F:$F,2,0)</f>
        <v>41.81</v>
      </c>
      <c r="H63">
        <v>9</v>
      </c>
      <c r="I63" t="s">
        <v>101</v>
      </c>
      <c r="J63" t="s">
        <v>102</v>
      </c>
      <c r="K63">
        <v>0</v>
      </c>
      <c r="L63" s="15">
        <f t="shared" si="0"/>
        <v>333</v>
      </c>
      <c r="M63" s="15">
        <f t="shared" si="1"/>
        <v>376.29</v>
      </c>
      <c r="N63" s="15">
        <f t="shared" si="2"/>
        <v>43.29000000000002</v>
      </c>
      <c r="O63" s="10">
        <f t="shared" si="3"/>
        <v>0.13000000000000006</v>
      </c>
      <c r="P63" t="str">
        <f t="shared" si="4"/>
        <v>19</v>
      </c>
      <c r="Q63" t="str">
        <f t="shared" si="5"/>
        <v>Mar</v>
      </c>
      <c r="R63" t="str">
        <f t="shared" si="6"/>
        <v>2021</v>
      </c>
    </row>
    <row r="64" spans="1:18" x14ac:dyDescent="0.2">
      <c r="A64" s="1">
        <v>44276</v>
      </c>
      <c r="B64" t="s">
        <v>45</v>
      </c>
      <c r="C64" t="str">
        <f>_xlfn.XLOOKUP(B64,PRODUCT_MASTER!$A:$A,PRODUCT_MASTER!$B:$B,2,0)</f>
        <v>Product20</v>
      </c>
      <c r="D64" t="str">
        <f>_xlfn.XLOOKUP(B64,PRODUCT_MASTER!$A:$A,PRODUCT_MASTER!$C:$C,2,0)</f>
        <v>Poultry</v>
      </c>
      <c r="E64" t="str">
        <f>_xlfn.XLOOKUP(B64,PRODUCT_MASTER!$A:$A,PRODUCT_MASTER!$D:$D,2,0)</f>
        <v>Lt</v>
      </c>
      <c r="F64">
        <f>_xlfn.XLOOKUP(B64,PRODUCT_MASTER!$A:$A,PRODUCT_MASTER!$E:$E,2,0)</f>
        <v>61</v>
      </c>
      <c r="G64">
        <f>_xlfn.XLOOKUP(B64,PRODUCT_MASTER!$A:$A,PRODUCT_MASTER!$F:$F,2,0)</f>
        <v>76.25</v>
      </c>
      <c r="H64">
        <v>13</v>
      </c>
      <c r="I64" t="s">
        <v>101</v>
      </c>
      <c r="J64" t="s">
        <v>101</v>
      </c>
      <c r="K64">
        <v>0</v>
      </c>
      <c r="L64" s="15">
        <f t="shared" si="0"/>
        <v>793</v>
      </c>
      <c r="M64" s="15">
        <f t="shared" si="1"/>
        <v>991.25</v>
      </c>
      <c r="N64" s="15">
        <f t="shared" si="2"/>
        <v>198.25</v>
      </c>
      <c r="O64" s="10">
        <f t="shared" si="3"/>
        <v>0.25</v>
      </c>
      <c r="P64" t="str">
        <f t="shared" si="4"/>
        <v>21</v>
      </c>
      <c r="Q64" t="str">
        <f t="shared" si="5"/>
        <v>Mar</v>
      </c>
      <c r="R64" t="str">
        <f t="shared" si="6"/>
        <v>2021</v>
      </c>
    </row>
    <row r="65" spans="1:18" x14ac:dyDescent="0.2">
      <c r="A65" s="1">
        <v>44276</v>
      </c>
      <c r="B65" t="s">
        <v>83</v>
      </c>
      <c r="C65" t="str">
        <f>_xlfn.XLOOKUP(B65,PRODUCT_MASTER!$A:$A,PRODUCT_MASTER!$B:$B,2,0)</f>
        <v>Product39</v>
      </c>
      <c r="D65" t="str">
        <f>_xlfn.XLOOKUP(B65,PRODUCT_MASTER!$A:$A,PRODUCT_MASTER!$C:$C,2,0)</f>
        <v>Snacks</v>
      </c>
      <c r="E65" t="str">
        <f>_xlfn.XLOOKUP(B65,PRODUCT_MASTER!$A:$A,PRODUCT_MASTER!$D:$D,2,0)</f>
        <v>No.</v>
      </c>
      <c r="F65">
        <f>_xlfn.XLOOKUP(B65,PRODUCT_MASTER!$A:$A,PRODUCT_MASTER!$E:$E,2,0)</f>
        <v>37</v>
      </c>
      <c r="G65">
        <f>_xlfn.XLOOKUP(B65,PRODUCT_MASTER!$A:$A,PRODUCT_MASTER!$F:$F,2,0)</f>
        <v>42.55</v>
      </c>
      <c r="H65">
        <v>7</v>
      </c>
      <c r="I65" t="s">
        <v>103</v>
      </c>
      <c r="J65" t="s">
        <v>101</v>
      </c>
      <c r="K65">
        <v>0</v>
      </c>
      <c r="L65" s="15">
        <f t="shared" si="0"/>
        <v>259</v>
      </c>
      <c r="M65" s="15">
        <f t="shared" si="1"/>
        <v>297.84999999999997</v>
      </c>
      <c r="N65" s="15">
        <f t="shared" si="2"/>
        <v>38.849999999999966</v>
      </c>
      <c r="O65" s="10">
        <f t="shared" si="3"/>
        <v>0.14999999999999986</v>
      </c>
      <c r="P65" t="str">
        <f t="shared" si="4"/>
        <v>21</v>
      </c>
      <c r="Q65" t="str">
        <f t="shared" si="5"/>
        <v>Mar</v>
      </c>
      <c r="R65" t="str">
        <f t="shared" si="6"/>
        <v>2021</v>
      </c>
    </row>
    <row r="66" spans="1:18" x14ac:dyDescent="0.2">
      <c r="A66" s="1">
        <v>44277</v>
      </c>
      <c r="B66" t="s">
        <v>9</v>
      </c>
      <c r="C66" t="str">
        <f>_xlfn.XLOOKUP(B66,PRODUCT_MASTER!$A:$A,PRODUCT_MASTER!$B:$B,2,0)</f>
        <v>Product02</v>
      </c>
      <c r="D66" t="str">
        <f>_xlfn.XLOOKUP(B66,PRODUCT_MASTER!$A:$A,PRODUCT_MASTER!$C:$C,2,0)</f>
        <v>Organic</v>
      </c>
      <c r="E66" t="str">
        <f>_xlfn.XLOOKUP(B66,PRODUCT_MASTER!$A:$A,PRODUCT_MASTER!$D:$D,2,0)</f>
        <v>Kg</v>
      </c>
      <c r="F66">
        <f>_xlfn.XLOOKUP(B66,PRODUCT_MASTER!$A:$A,PRODUCT_MASTER!$E:$E,2,0)</f>
        <v>105</v>
      </c>
      <c r="G66">
        <f>_xlfn.XLOOKUP(B66,PRODUCT_MASTER!$A:$A,PRODUCT_MASTER!$F:$F,2,0)</f>
        <v>142.80000000000001</v>
      </c>
      <c r="H66">
        <v>8</v>
      </c>
      <c r="I66" t="s">
        <v>101</v>
      </c>
      <c r="J66" t="s">
        <v>101</v>
      </c>
      <c r="K66">
        <v>0</v>
      </c>
      <c r="L66" s="15">
        <f t="shared" si="0"/>
        <v>840</v>
      </c>
      <c r="M66" s="15">
        <f t="shared" si="1"/>
        <v>1142.4000000000001</v>
      </c>
      <c r="N66" s="15">
        <f t="shared" si="2"/>
        <v>302.40000000000009</v>
      </c>
      <c r="O66" s="10">
        <f t="shared" si="3"/>
        <v>0.3600000000000001</v>
      </c>
      <c r="P66" t="str">
        <f t="shared" si="4"/>
        <v>22</v>
      </c>
      <c r="Q66" t="str">
        <f t="shared" si="5"/>
        <v>Mar</v>
      </c>
      <c r="R66" t="str">
        <f t="shared" si="6"/>
        <v>2021</v>
      </c>
    </row>
    <row r="67" spans="1:18" x14ac:dyDescent="0.2">
      <c r="A67" s="1">
        <v>44277</v>
      </c>
      <c r="B67" t="s">
        <v>29</v>
      </c>
      <c r="C67" t="str">
        <f>_xlfn.XLOOKUP(B67,PRODUCT_MASTER!$A:$A,PRODUCT_MASTER!$B:$B,2,0)</f>
        <v>Product12</v>
      </c>
      <c r="D67" t="str">
        <f>_xlfn.XLOOKUP(B67,PRODUCT_MASTER!$A:$A,PRODUCT_MASTER!$C:$C,2,0)</f>
        <v>Meat</v>
      </c>
      <c r="E67" t="str">
        <f>_xlfn.XLOOKUP(B67,PRODUCT_MASTER!$A:$A,PRODUCT_MASTER!$D:$D,2,0)</f>
        <v>Kg</v>
      </c>
      <c r="F67">
        <f>_xlfn.XLOOKUP(B67,PRODUCT_MASTER!$A:$A,PRODUCT_MASTER!$E:$E,2,0)</f>
        <v>73</v>
      </c>
      <c r="G67">
        <f>_xlfn.XLOOKUP(B67,PRODUCT_MASTER!$A:$A,PRODUCT_MASTER!$F:$F,2,0)</f>
        <v>94.17</v>
      </c>
      <c r="H67">
        <v>4</v>
      </c>
      <c r="I67" t="s">
        <v>101</v>
      </c>
      <c r="J67" t="s">
        <v>101</v>
      </c>
      <c r="K67">
        <v>0</v>
      </c>
      <c r="L67" s="15">
        <f t="shared" ref="L67:L130" si="7">F67*H67</f>
        <v>292</v>
      </c>
      <c r="M67" s="15">
        <f t="shared" ref="M67:M130" si="8">G67*H67</f>
        <v>376.68</v>
      </c>
      <c r="N67" s="15">
        <f t="shared" ref="N67:N130" si="9">M67-L67</f>
        <v>84.68</v>
      </c>
      <c r="O67" s="10">
        <f t="shared" ref="O67:O130" si="10">N67/L67</f>
        <v>0.29000000000000004</v>
      </c>
      <c r="P67" t="str">
        <f t="shared" ref="P67:P130" si="11">TEXT(A67,"DD")</f>
        <v>22</v>
      </c>
      <c r="Q67" t="str">
        <f t="shared" ref="Q67:Q130" si="12">TEXT(A67,"MMM")</f>
        <v>Mar</v>
      </c>
      <c r="R67" t="str">
        <f t="shared" ref="R67:R130" si="13">TEXT(A67,"YYYY")</f>
        <v>2021</v>
      </c>
    </row>
    <row r="68" spans="1:18" x14ac:dyDescent="0.2">
      <c r="A68" s="1">
        <v>44280</v>
      </c>
      <c r="B68" t="s">
        <v>53</v>
      </c>
      <c r="C68" t="str">
        <f>_xlfn.XLOOKUP(B68,PRODUCT_MASTER!$A:$A,PRODUCT_MASTER!$B:$B,2,0)</f>
        <v>Product24</v>
      </c>
      <c r="D68" t="str">
        <f>_xlfn.XLOOKUP(B68,PRODUCT_MASTER!$A:$A,PRODUCT_MASTER!$C:$C,2,0)</f>
        <v>Seafood</v>
      </c>
      <c r="E68" t="str">
        <f>_xlfn.XLOOKUP(B68,PRODUCT_MASTER!$A:$A,PRODUCT_MASTER!$D:$D,2,0)</f>
        <v>Ft</v>
      </c>
      <c r="F68">
        <f>_xlfn.XLOOKUP(B68,PRODUCT_MASTER!$A:$A,PRODUCT_MASTER!$E:$E,2,0)</f>
        <v>144</v>
      </c>
      <c r="G68">
        <f>_xlfn.XLOOKUP(B68,PRODUCT_MASTER!$A:$A,PRODUCT_MASTER!$F:$F,2,0)</f>
        <v>156.96</v>
      </c>
      <c r="H68">
        <v>14</v>
      </c>
      <c r="I68" t="s">
        <v>101</v>
      </c>
      <c r="J68" t="s">
        <v>102</v>
      </c>
      <c r="K68">
        <v>0</v>
      </c>
      <c r="L68" s="15">
        <f t="shared" si="7"/>
        <v>2016</v>
      </c>
      <c r="M68" s="15">
        <f t="shared" si="8"/>
        <v>2197.44</v>
      </c>
      <c r="N68" s="15">
        <f t="shared" si="9"/>
        <v>181.44000000000005</v>
      </c>
      <c r="O68" s="10">
        <f t="shared" si="10"/>
        <v>9.0000000000000024E-2</v>
      </c>
      <c r="P68" t="str">
        <f t="shared" si="11"/>
        <v>25</v>
      </c>
      <c r="Q68" t="str">
        <f t="shared" si="12"/>
        <v>Mar</v>
      </c>
      <c r="R68" t="str">
        <f t="shared" si="13"/>
        <v>2021</v>
      </c>
    </row>
    <row r="69" spans="1:18" x14ac:dyDescent="0.2">
      <c r="A69" s="1">
        <v>44280</v>
      </c>
      <c r="B69" t="s">
        <v>17</v>
      </c>
      <c r="C69" t="str">
        <f>_xlfn.XLOOKUP(B69,PRODUCT_MASTER!$A:$A,PRODUCT_MASTER!$B:$B,2,0)</f>
        <v>Product06</v>
      </c>
      <c r="D69" t="str">
        <f>_xlfn.XLOOKUP(B69,PRODUCT_MASTER!$A:$A,PRODUCT_MASTER!$C:$C,2,0)</f>
        <v>Gourmet Foods</v>
      </c>
      <c r="E69" t="str">
        <f>_xlfn.XLOOKUP(B69,PRODUCT_MASTER!$A:$A,PRODUCT_MASTER!$D:$D,2,0)</f>
        <v>Kg</v>
      </c>
      <c r="F69">
        <f>_xlfn.XLOOKUP(B69,PRODUCT_MASTER!$A:$A,PRODUCT_MASTER!$E:$E,2,0)</f>
        <v>75</v>
      </c>
      <c r="G69">
        <f>_xlfn.XLOOKUP(B69,PRODUCT_MASTER!$A:$A,PRODUCT_MASTER!$F:$F,2,0)</f>
        <v>85.5</v>
      </c>
      <c r="H69">
        <v>4</v>
      </c>
      <c r="I69" t="s">
        <v>103</v>
      </c>
      <c r="J69" t="s">
        <v>102</v>
      </c>
      <c r="K69">
        <v>0</v>
      </c>
      <c r="L69" s="15">
        <f t="shared" si="7"/>
        <v>300</v>
      </c>
      <c r="M69" s="15">
        <f t="shared" si="8"/>
        <v>342</v>
      </c>
      <c r="N69" s="15">
        <f t="shared" si="9"/>
        <v>42</v>
      </c>
      <c r="O69" s="10">
        <f t="shared" si="10"/>
        <v>0.14000000000000001</v>
      </c>
      <c r="P69" t="str">
        <f t="shared" si="11"/>
        <v>25</v>
      </c>
      <c r="Q69" t="str">
        <f t="shared" si="12"/>
        <v>Mar</v>
      </c>
      <c r="R69" t="str">
        <f t="shared" si="13"/>
        <v>2021</v>
      </c>
    </row>
    <row r="70" spans="1:18" x14ac:dyDescent="0.2">
      <c r="A70" s="1">
        <v>44280</v>
      </c>
      <c r="B70" t="s">
        <v>63</v>
      </c>
      <c r="C70" t="str">
        <f>_xlfn.XLOOKUP(B70,PRODUCT_MASTER!$A:$A,PRODUCT_MASTER!$B:$B,2,0)</f>
        <v>Product29</v>
      </c>
      <c r="D70" t="str">
        <f>_xlfn.XLOOKUP(B70,PRODUCT_MASTER!$A:$A,PRODUCT_MASTER!$C:$C,2,0)</f>
        <v>Cheese And Dairy</v>
      </c>
      <c r="E70" t="str">
        <f>_xlfn.XLOOKUP(B70,PRODUCT_MASTER!$A:$A,PRODUCT_MASTER!$D:$D,2,0)</f>
        <v>Lt</v>
      </c>
      <c r="F70">
        <f>_xlfn.XLOOKUP(B70,PRODUCT_MASTER!$A:$A,PRODUCT_MASTER!$E:$E,2,0)</f>
        <v>47</v>
      </c>
      <c r="G70">
        <f>_xlfn.XLOOKUP(B70,PRODUCT_MASTER!$A:$A,PRODUCT_MASTER!$F:$F,2,0)</f>
        <v>53.11</v>
      </c>
      <c r="H70">
        <v>8</v>
      </c>
      <c r="I70" t="s">
        <v>103</v>
      </c>
      <c r="J70" t="s">
        <v>102</v>
      </c>
      <c r="K70">
        <v>0</v>
      </c>
      <c r="L70" s="15">
        <f t="shared" si="7"/>
        <v>376</v>
      </c>
      <c r="M70" s="15">
        <f t="shared" si="8"/>
        <v>424.88</v>
      </c>
      <c r="N70" s="15">
        <f t="shared" si="9"/>
        <v>48.879999999999995</v>
      </c>
      <c r="O70" s="10">
        <f t="shared" si="10"/>
        <v>0.12999999999999998</v>
      </c>
      <c r="P70" t="str">
        <f t="shared" si="11"/>
        <v>25</v>
      </c>
      <c r="Q70" t="str">
        <f t="shared" si="12"/>
        <v>Mar</v>
      </c>
      <c r="R70" t="str">
        <f t="shared" si="13"/>
        <v>2021</v>
      </c>
    </row>
    <row r="71" spans="1:18" x14ac:dyDescent="0.2">
      <c r="A71" s="1">
        <v>44280</v>
      </c>
      <c r="B71" t="s">
        <v>81</v>
      </c>
      <c r="C71" t="str">
        <f>_xlfn.XLOOKUP(B71,PRODUCT_MASTER!$A:$A,PRODUCT_MASTER!$B:$B,2,0)</f>
        <v>Product38</v>
      </c>
      <c r="D71" t="str">
        <f>_xlfn.XLOOKUP(B71,PRODUCT_MASTER!$A:$A,PRODUCT_MASTER!$C:$C,2,0)</f>
        <v>Snacks</v>
      </c>
      <c r="E71" t="str">
        <f>_xlfn.XLOOKUP(B71,PRODUCT_MASTER!$A:$A,PRODUCT_MASTER!$D:$D,2,0)</f>
        <v>Kg</v>
      </c>
      <c r="F71">
        <f>_xlfn.XLOOKUP(B71,PRODUCT_MASTER!$A:$A,PRODUCT_MASTER!$E:$E,2,0)</f>
        <v>72</v>
      </c>
      <c r="G71">
        <f>_xlfn.XLOOKUP(B71,PRODUCT_MASTER!$A:$A,PRODUCT_MASTER!$F:$F,2,0)</f>
        <v>79.92</v>
      </c>
      <c r="H71">
        <v>2</v>
      </c>
      <c r="I71" t="s">
        <v>103</v>
      </c>
      <c r="J71" t="s">
        <v>101</v>
      </c>
      <c r="K71">
        <v>0</v>
      </c>
      <c r="L71" s="15">
        <f t="shared" si="7"/>
        <v>144</v>
      </c>
      <c r="M71" s="15">
        <f t="shared" si="8"/>
        <v>159.84</v>
      </c>
      <c r="N71" s="15">
        <f t="shared" si="9"/>
        <v>15.840000000000003</v>
      </c>
      <c r="O71" s="10">
        <f t="shared" si="10"/>
        <v>0.11000000000000003</v>
      </c>
      <c r="P71" t="str">
        <f t="shared" si="11"/>
        <v>25</v>
      </c>
      <c r="Q71" t="str">
        <f t="shared" si="12"/>
        <v>Mar</v>
      </c>
      <c r="R71" t="str">
        <f t="shared" si="13"/>
        <v>2021</v>
      </c>
    </row>
    <row r="72" spans="1:18" x14ac:dyDescent="0.2">
      <c r="A72" s="1">
        <v>44281</v>
      </c>
      <c r="B72" t="s">
        <v>6</v>
      </c>
      <c r="C72" t="str">
        <f>_xlfn.XLOOKUP(B72,PRODUCT_MASTER!$A:$A,PRODUCT_MASTER!$B:$B,2,0)</f>
        <v>Product01</v>
      </c>
      <c r="D72" t="str">
        <f>_xlfn.XLOOKUP(B72,PRODUCT_MASTER!$A:$A,PRODUCT_MASTER!$C:$C,2,0)</f>
        <v>Organic</v>
      </c>
      <c r="E72" t="str">
        <f>_xlfn.XLOOKUP(B72,PRODUCT_MASTER!$A:$A,PRODUCT_MASTER!$D:$D,2,0)</f>
        <v>Kg</v>
      </c>
      <c r="F72">
        <f>_xlfn.XLOOKUP(B72,PRODUCT_MASTER!$A:$A,PRODUCT_MASTER!$E:$E,2,0)</f>
        <v>98</v>
      </c>
      <c r="G72">
        <f>_xlfn.XLOOKUP(B72,PRODUCT_MASTER!$A:$A,PRODUCT_MASTER!$F:$F,2,0)</f>
        <v>103.88</v>
      </c>
      <c r="H72">
        <v>4</v>
      </c>
      <c r="I72" t="s">
        <v>103</v>
      </c>
      <c r="J72" t="s">
        <v>102</v>
      </c>
      <c r="K72">
        <v>0</v>
      </c>
      <c r="L72" s="15">
        <f t="shared" si="7"/>
        <v>392</v>
      </c>
      <c r="M72" s="15">
        <f t="shared" si="8"/>
        <v>415.52</v>
      </c>
      <c r="N72" s="15">
        <f t="shared" si="9"/>
        <v>23.519999999999982</v>
      </c>
      <c r="O72" s="10">
        <f t="shared" si="10"/>
        <v>5.9999999999999956E-2</v>
      </c>
      <c r="P72" t="str">
        <f t="shared" si="11"/>
        <v>26</v>
      </c>
      <c r="Q72" t="str">
        <f t="shared" si="12"/>
        <v>Mar</v>
      </c>
      <c r="R72" t="str">
        <f t="shared" si="13"/>
        <v>2021</v>
      </c>
    </row>
    <row r="73" spans="1:18" x14ac:dyDescent="0.2">
      <c r="A73" s="1">
        <v>44281</v>
      </c>
      <c r="B73" t="s">
        <v>89</v>
      </c>
      <c r="C73" t="str">
        <f>_xlfn.XLOOKUP(B73,PRODUCT_MASTER!$A:$A,PRODUCT_MASTER!$B:$B,2,0)</f>
        <v>Product42</v>
      </c>
      <c r="D73" t="str">
        <f>_xlfn.XLOOKUP(B73,PRODUCT_MASTER!$A:$A,PRODUCT_MASTER!$C:$C,2,0)</f>
        <v>Candy</v>
      </c>
      <c r="E73" t="str">
        <f>_xlfn.XLOOKUP(B73,PRODUCT_MASTER!$A:$A,PRODUCT_MASTER!$D:$D,2,0)</f>
        <v>Ft</v>
      </c>
      <c r="F73">
        <f>_xlfn.XLOOKUP(B73,PRODUCT_MASTER!$A:$A,PRODUCT_MASTER!$E:$E,2,0)</f>
        <v>120</v>
      </c>
      <c r="G73">
        <f>_xlfn.XLOOKUP(B73,PRODUCT_MASTER!$A:$A,PRODUCT_MASTER!$F:$F,2,0)</f>
        <v>162</v>
      </c>
      <c r="H73">
        <v>1</v>
      </c>
      <c r="I73" t="s">
        <v>103</v>
      </c>
      <c r="J73" t="s">
        <v>102</v>
      </c>
      <c r="K73">
        <v>0</v>
      </c>
      <c r="L73" s="15">
        <f t="shared" si="7"/>
        <v>120</v>
      </c>
      <c r="M73" s="15">
        <f t="shared" si="8"/>
        <v>162</v>
      </c>
      <c r="N73" s="15">
        <f t="shared" si="9"/>
        <v>42</v>
      </c>
      <c r="O73" s="10">
        <f t="shared" si="10"/>
        <v>0.35</v>
      </c>
      <c r="P73" t="str">
        <f t="shared" si="11"/>
        <v>26</v>
      </c>
      <c r="Q73" t="str">
        <f t="shared" si="12"/>
        <v>Mar</v>
      </c>
      <c r="R73" t="str">
        <f t="shared" si="13"/>
        <v>2021</v>
      </c>
    </row>
    <row r="74" spans="1:18" x14ac:dyDescent="0.2">
      <c r="A74" s="1">
        <v>44281</v>
      </c>
      <c r="B74" t="s">
        <v>25</v>
      </c>
      <c r="C74" t="str">
        <f>_xlfn.XLOOKUP(B74,PRODUCT_MASTER!$A:$A,PRODUCT_MASTER!$B:$B,2,0)</f>
        <v>Product10</v>
      </c>
      <c r="D74" t="str">
        <f>_xlfn.XLOOKUP(B74,PRODUCT_MASTER!$A:$A,PRODUCT_MASTER!$C:$C,2,0)</f>
        <v>Gourmet Foods</v>
      </c>
      <c r="E74" t="str">
        <f>_xlfn.XLOOKUP(B74,PRODUCT_MASTER!$A:$A,PRODUCT_MASTER!$D:$D,2,0)</f>
        <v>Ft</v>
      </c>
      <c r="F74">
        <f>_xlfn.XLOOKUP(B74,PRODUCT_MASTER!$A:$A,PRODUCT_MASTER!$E:$E,2,0)</f>
        <v>148</v>
      </c>
      <c r="G74">
        <f>_xlfn.XLOOKUP(B74,PRODUCT_MASTER!$A:$A,PRODUCT_MASTER!$F:$F,2,0)</f>
        <v>164.28</v>
      </c>
      <c r="H74">
        <v>9</v>
      </c>
      <c r="I74" t="s">
        <v>103</v>
      </c>
      <c r="J74" t="s">
        <v>101</v>
      </c>
      <c r="K74">
        <v>0</v>
      </c>
      <c r="L74" s="15">
        <f t="shared" si="7"/>
        <v>1332</v>
      </c>
      <c r="M74" s="15">
        <f t="shared" si="8"/>
        <v>1478.52</v>
      </c>
      <c r="N74" s="15">
        <f t="shared" si="9"/>
        <v>146.51999999999998</v>
      </c>
      <c r="O74" s="10">
        <f t="shared" si="10"/>
        <v>0.10999999999999999</v>
      </c>
      <c r="P74" t="str">
        <f t="shared" si="11"/>
        <v>26</v>
      </c>
      <c r="Q74" t="str">
        <f t="shared" si="12"/>
        <v>Mar</v>
      </c>
      <c r="R74" t="str">
        <f t="shared" si="13"/>
        <v>2021</v>
      </c>
    </row>
    <row r="75" spans="1:18" x14ac:dyDescent="0.2">
      <c r="A75" s="1">
        <v>44282</v>
      </c>
      <c r="B75" t="s">
        <v>65</v>
      </c>
      <c r="C75" t="str">
        <f>_xlfn.XLOOKUP(B75,PRODUCT_MASTER!$A:$A,PRODUCT_MASTER!$B:$B,2,0)</f>
        <v>Product30</v>
      </c>
      <c r="D75" t="str">
        <f>_xlfn.XLOOKUP(B75,PRODUCT_MASTER!$A:$A,PRODUCT_MASTER!$C:$C,2,0)</f>
        <v>Cheese And Dairy</v>
      </c>
      <c r="E75" t="str">
        <f>_xlfn.XLOOKUP(B75,PRODUCT_MASTER!$A:$A,PRODUCT_MASTER!$D:$D,2,0)</f>
        <v>Ft</v>
      </c>
      <c r="F75">
        <f>_xlfn.XLOOKUP(B75,PRODUCT_MASTER!$A:$A,PRODUCT_MASTER!$E:$E,2,0)</f>
        <v>148</v>
      </c>
      <c r="G75">
        <f>_xlfn.XLOOKUP(B75,PRODUCT_MASTER!$A:$A,PRODUCT_MASTER!$F:$F,2,0)</f>
        <v>201.28</v>
      </c>
      <c r="H75">
        <v>3</v>
      </c>
      <c r="I75" t="s">
        <v>103</v>
      </c>
      <c r="J75" t="s">
        <v>101</v>
      </c>
      <c r="K75">
        <v>0</v>
      </c>
      <c r="L75" s="15">
        <f t="shared" si="7"/>
        <v>444</v>
      </c>
      <c r="M75" s="15">
        <f t="shared" si="8"/>
        <v>603.84</v>
      </c>
      <c r="N75" s="15">
        <f t="shared" si="9"/>
        <v>159.84000000000003</v>
      </c>
      <c r="O75" s="10">
        <f t="shared" si="10"/>
        <v>0.3600000000000001</v>
      </c>
      <c r="P75" t="str">
        <f t="shared" si="11"/>
        <v>27</v>
      </c>
      <c r="Q75" t="str">
        <f t="shared" si="12"/>
        <v>Mar</v>
      </c>
      <c r="R75" t="str">
        <f t="shared" si="13"/>
        <v>2021</v>
      </c>
    </row>
    <row r="76" spans="1:18" x14ac:dyDescent="0.2">
      <c r="A76" s="1">
        <v>44283</v>
      </c>
      <c r="B76" t="s">
        <v>19</v>
      </c>
      <c r="C76" t="str">
        <f>_xlfn.XLOOKUP(B76,PRODUCT_MASTER!$A:$A,PRODUCT_MASTER!$B:$B,2,0)</f>
        <v>Product07</v>
      </c>
      <c r="D76" t="str">
        <f>_xlfn.XLOOKUP(B76,PRODUCT_MASTER!$A:$A,PRODUCT_MASTER!$C:$C,2,0)</f>
        <v>Gourmet Foods</v>
      </c>
      <c r="E76" t="str">
        <f>_xlfn.XLOOKUP(B76,PRODUCT_MASTER!$A:$A,PRODUCT_MASTER!$D:$D,2,0)</f>
        <v>Lt</v>
      </c>
      <c r="F76">
        <f>_xlfn.XLOOKUP(B76,PRODUCT_MASTER!$A:$A,PRODUCT_MASTER!$E:$E,2,0)</f>
        <v>43</v>
      </c>
      <c r="G76">
        <f>_xlfn.XLOOKUP(B76,PRODUCT_MASTER!$A:$A,PRODUCT_MASTER!$F:$F,2,0)</f>
        <v>47.730000000000004</v>
      </c>
      <c r="H76">
        <v>8</v>
      </c>
      <c r="I76" t="s">
        <v>101</v>
      </c>
      <c r="J76" t="s">
        <v>102</v>
      </c>
      <c r="K76">
        <v>0</v>
      </c>
      <c r="L76" s="15">
        <f t="shared" si="7"/>
        <v>344</v>
      </c>
      <c r="M76" s="15">
        <f t="shared" si="8"/>
        <v>381.84000000000003</v>
      </c>
      <c r="N76" s="15">
        <f t="shared" si="9"/>
        <v>37.840000000000032</v>
      </c>
      <c r="O76" s="10">
        <f t="shared" si="10"/>
        <v>0.1100000000000001</v>
      </c>
      <c r="P76" t="str">
        <f t="shared" si="11"/>
        <v>28</v>
      </c>
      <c r="Q76" t="str">
        <f t="shared" si="12"/>
        <v>Mar</v>
      </c>
      <c r="R76" t="str">
        <f t="shared" si="13"/>
        <v>2021</v>
      </c>
    </row>
    <row r="77" spans="1:18" x14ac:dyDescent="0.2">
      <c r="A77" s="1">
        <v>44285</v>
      </c>
      <c r="B77" t="s">
        <v>81</v>
      </c>
      <c r="C77" t="str">
        <f>_xlfn.XLOOKUP(B77,PRODUCT_MASTER!$A:$A,PRODUCT_MASTER!$B:$B,2,0)</f>
        <v>Product38</v>
      </c>
      <c r="D77" t="str">
        <f>_xlfn.XLOOKUP(B77,PRODUCT_MASTER!$A:$A,PRODUCT_MASTER!$C:$C,2,0)</f>
        <v>Snacks</v>
      </c>
      <c r="E77" t="str">
        <f>_xlfn.XLOOKUP(B77,PRODUCT_MASTER!$A:$A,PRODUCT_MASTER!$D:$D,2,0)</f>
        <v>Kg</v>
      </c>
      <c r="F77">
        <f>_xlfn.XLOOKUP(B77,PRODUCT_MASTER!$A:$A,PRODUCT_MASTER!$E:$E,2,0)</f>
        <v>72</v>
      </c>
      <c r="G77">
        <f>_xlfn.XLOOKUP(B77,PRODUCT_MASTER!$A:$A,PRODUCT_MASTER!$F:$F,2,0)</f>
        <v>79.92</v>
      </c>
      <c r="H77">
        <v>1</v>
      </c>
      <c r="I77" t="s">
        <v>101</v>
      </c>
      <c r="J77" t="s">
        <v>102</v>
      </c>
      <c r="K77">
        <v>0</v>
      </c>
      <c r="L77" s="15">
        <f t="shared" si="7"/>
        <v>72</v>
      </c>
      <c r="M77" s="15">
        <f t="shared" si="8"/>
        <v>79.92</v>
      </c>
      <c r="N77" s="15">
        <f t="shared" si="9"/>
        <v>7.9200000000000017</v>
      </c>
      <c r="O77" s="10">
        <f t="shared" si="10"/>
        <v>0.11000000000000003</v>
      </c>
      <c r="P77" t="str">
        <f t="shared" si="11"/>
        <v>30</v>
      </c>
      <c r="Q77" t="str">
        <f t="shared" si="12"/>
        <v>Mar</v>
      </c>
      <c r="R77" t="str">
        <f t="shared" si="13"/>
        <v>2021</v>
      </c>
    </row>
    <row r="78" spans="1:18" x14ac:dyDescent="0.2">
      <c r="A78" s="1">
        <v>44286</v>
      </c>
      <c r="B78" t="s">
        <v>89</v>
      </c>
      <c r="C78" t="str">
        <f>_xlfn.XLOOKUP(B78,PRODUCT_MASTER!$A:$A,PRODUCT_MASTER!$B:$B,2,0)</f>
        <v>Product42</v>
      </c>
      <c r="D78" t="str">
        <f>_xlfn.XLOOKUP(B78,PRODUCT_MASTER!$A:$A,PRODUCT_MASTER!$C:$C,2,0)</f>
        <v>Candy</v>
      </c>
      <c r="E78" t="str">
        <f>_xlfn.XLOOKUP(B78,PRODUCT_MASTER!$A:$A,PRODUCT_MASTER!$D:$D,2,0)</f>
        <v>Ft</v>
      </c>
      <c r="F78">
        <f>_xlfn.XLOOKUP(B78,PRODUCT_MASTER!$A:$A,PRODUCT_MASTER!$E:$E,2,0)</f>
        <v>120</v>
      </c>
      <c r="G78">
        <f>_xlfn.XLOOKUP(B78,PRODUCT_MASTER!$A:$A,PRODUCT_MASTER!$F:$F,2,0)</f>
        <v>162</v>
      </c>
      <c r="H78">
        <v>3</v>
      </c>
      <c r="I78" t="s">
        <v>103</v>
      </c>
      <c r="J78" t="s">
        <v>102</v>
      </c>
      <c r="K78">
        <v>0</v>
      </c>
      <c r="L78" s="15">
        <f t="shared" si="7"/>
        <v>360</v>
      </c>
      <c r="M78" s="15">
        <f t="shared" si="8"/>
        <v>486</v>
      </c>
      <c r="N78" s="15">
        <f t="shared" si="9"/>
        <v>126</v>
      </c>
      <c r="O78" s="10">
        <f t="shared" si="10"/>
        <v>0.35</v>
      </c>
      <c r="P78" t="str">
        <f t="shared" si="11"/>
        <v>31</v>
      </c>
      <c r="Q78" t="str">
        <f t="shared" si="12"/>
        <v>Mar</v>
      </c>
      <c r="R78" t="str">
        <f t="shared" si="13"/>
        <v>2021</v>
      </c>
    </row>
    <row r="79" spans="1:18" x14ac:dyDescent="0.2">
      <c r="A79" s="1">
        <v>44290</v>
      </c>
      <c r="B79" t="s">
        <v>85</v>
      </c>
      <c r="C79" t="str">
        <f>_xlfn.XLOOKUP(B79,PRODUCT_MASTER!$A:$A,PRODUCT_MASTER!$B:$B,2,0)</f>
        <v>Product40</v>
      </c>
      <c r="D79" t="str">
        <f>_xlfn.XLOOKUP(B79,PRODUCT_MASTER!$A:$A,PRODUCT_MASTER!$C:$C,2,0)</f>
        <v>Snacks</v>
      </c>
      <c r="E79" t="str">
        <f>_xlfn.XLOOKUP(B79,PRODUCT_MASTER!$A:$A,PRODUCT_MASTER!$D:$D,2,0)</f>
        <v>Kg</v>
      </c>
      <c r="F79">
        <f>_xlfn.XLOOKUP(B79,PRODUCT_MASTER!$A:$A,PRODUCT_MASTER!$E:$E,2,0)</f>
        <v>90</v>
      </c>
      <c r="G79">
        <f>_xlfn.XLOOKUP(B79,PRODUCT_MASTER!$A:$A,PRODUCT_MASTER!$F:$F,2,0)</f>
        <v>115.2</v>
      </c>
      <c r="H79">
        <v>4</v>
      </c>
      <c r="I79" t="s">
        <v>103</v>
      </c>
      <c r="J79" t="s">
        <v>102</v>
      </c>
      <c r="K79">
        <v>0</v>
      </c>
      <c r="L79" s="15">
        <f t="shared" si="7"/>
        <v>360</v>
      </c>
      <c r="M79" s="15">
        <f t="shared" si="8"/>
        <v>460.8</v>
      </c>
      <c r="N79" s="15">
        <f t="shared" si="9"/>
        <v>100.80000000000001</v>
      </c>
      <c r="O79" s="10">
        <f t="shared" si="10"/>
        <v>0.28000000000000003</v>
      </c>
      <c r="P79" t="str">
        <f t="shared" si="11"/>
        <v>04</v>
      </c>
      <c r="Q79" t="str">
        <f t="shared" si="12"/>
        <v>Apr</v>
      </c>
      <c r="R79" t="str">
        <f t="shared" si="13"/>
        <v>2021</v>
      </c>
    </row>
    <row r="80" spans="1:18" x14ac:dyDescent="0.2">
      <c r="A80" s="1">
        <v>44290</v>
      </c>
      <c r="B80" t="s">
        <v>23</v>
      </c>
      <c r="C80" t="str">
        <f>_xlfn.XLOOKUP(B80,PRODUCT_MASTER!$A:$A,PRODUCT_MASTER!$B:$B,2,0)</f>
        <v>Product09</v>
      </c>
      <c r="D80" t="str">
        <f>_xlfn.XLOOKUP(B80,PRODUCT_MASTER!$A:$A,PRODUCT_MASTER!$C:$C,2,0)</f>
        <v>Gourmet Foods</v>
      </c>
      <c r="E80" t="str">
        <f>_xlfn.XLOOKUP(B80,PRODUCT_MASTER!$A:$A,PRODUCT_MASTER!$D:$D,2,0)</f>
        <v>No.</v>
      </c>
      <c r="F80">
        <f>_xlfn.XLOOKUP(B80,PRODUCT_MASTER!$A:$A,PRODUCT_MASTER!$E:$E,2,0)</f>
        <v>6</v>
      </c>
      <c r="G80">
        <f>_xlfn.XLOOKUP(B80,PRODUCT_MASTER!$A:$A,PRODUCT_MASTER!$F:$F,2,0)</f>
        <v>7.8599999999999994</v>
      </c>
      <c r="H80">
        <v>9</v>
      </c>
      <c r="I80" t="s">
        <v>101</v>
      </c>
      <c r="J80" t="s">
        <v>102</v>
      </c>
      <c r="K80">
        <v>0</v>
      </c>
      <c r="L80" s="15">
        <f t="shared" si="7"/>
        <v>54</v>
      </c>
      <c r="M80" s="15">
        <f t="shared" si="8"/>
        <v>70.739999999999995</v>
      </c>
      <c r="N80" s="15">
        <f t="shared" si="9"/>
        <v>16.739999999999995</v>
      </c>
      <c r="O80" s="10">
        <f t="shared" si="10"/>
        <v>0.30999999999999989</v>
      </c>
      <c r="P80" t="str">
        <f t="shared" si="11"/>
        <v>04</v>
      </c>
      <c r="Q80" t="str">
        <f t="shared" si="12"/>
        <v>Apr</v>
      </c>
      <c r="R80" t="str">
        <f t="shared" si="13"/>
        <v>2021</v>
      </c>
    </row>
    <row r="81" spans="1:18" x14ac:dyDescent="0.2">
      <c r="A81" s="1">
        <v>44291</v>
      </c>
      <c r="B81" t="s">
        <v>67</v>
      </c>
      <c r="C81" t="str">
        <f>_xlfn.XLOOKUP(B81,PRODUCT_MASTER!$A:$A,PRODUCT_MASTER!$B:$B,2,0)</f>
        <v>Product31</v>
      </c>
      <c r="D81" t="str">
        <f>_xlfn.XLOOKUP(B81,PRODUCT_MASTER!$A:$A,PRODUCT_MASTER!$C:$C,2,0)</f>
        <v>Cheese And Dairy</v>
      </c>
      <c r="E81" t="str">
        <f>_xlfn.XLOOKUP(B81,PRODUCT_MASTER!$A:$A,PRODUCT_MASTER!$D:$D,2,0)</f>
        <v>Kg</v>
      </c>
      <c r="F81">
        <f>_xlfn.XLOOKUP(B81,PRODUCT_MASTER!$A:$A,PRODUCT_MASTER!$E:$E,2,0)</f>
        <v>93</v>
      </c>
      <c r="G81">
        <f>_xlfn.XLOOKUP(B81,PRODUCT_MASTER!$A:$A,PRODUCT_MASTER!$F:$F,2,0)</f>
        <v>104.16</v>
      </c>
      <c r="H81">
        <v>15</v>
      </c>
      <c r="I81" t="s">
        <v>101</v>
      </c>
      <c r="J81" t="s">
        <v>101</v>
      </c>
      <c r="K81">
        <v>0</v>
      </c>
      <c r="L81" s="15">
        <f t="shared" si="7"/>
        <v>1395</v>
      </c>
      <c r="M81" s="15">
        <f t="shared" si="8"/>
        <v>1562.3999999999999</v>
      </c>
      <c r="N81" s="15">
        <f t="shared" si="9"/>
        <v>167.39999999999986</v>
      </c>
      <c r="O81" s="10">
        <f t="shared" si="10"/>
        <v>0.1199999999999999</v>
      </c>
      <c r="P81" t="str">
        <f t="shared" si="11"/>
        <v>05</v>
      </c>
      <c r="Q81" t="str">
        <f t="shared" si="12"/>
        <v>Apr</v>
      </c>
      <c r="R81" t="str">
        <f t="shared" si="13"/>
        <v>2021</v>
      </c>
    </row>
    <row r="82" spans="1:18" x14ac:dyDescent="0.2">
      <c r="A82" s="1">
        <v>44295</v>
      </c>
      <c r="B82" t="s">
        <v>15</v>
      </c>
      <c r="C82" t="str">
        <f>_xlfn.XLOOKUP(B82,PRODUCT_MASTER!$A:$A,PRODUCT_MASTER!$B:$B,2,0)</f>
        <v>Product05</v>
      </c>
      <c r="D82" t="str">
        <f>_xlfn.XLOOKUP(B82,PRODUCT_MASTER!$A:$A,PRODUCT_MASTER!$C:$C,2,0)</f>
        <v>Organic</v>
      </c>
      <c r="E82" t="str">
        <f>_xlfn.XLOOKUP(B82,PRODUCT_MASTER!$A:$A,PRODUCT_MASTER!$D:$D,2,0)</f>
        <v>Ft</v>
      </c>
      <c r="F82">
        <f>_xlfn.XLOOKUP(B82,PRODUCT_MASTER!$A:$A,PRODUCT_MASTER!$E:$E,2,0)</f>
        <v>133</v>
      </c>
      <c r="G82">
        <f>_xlfn.XLOOKUP(B82,PRODUCT_MASTER!$A:$A,PRODUCT_MASTER!$F:$F,2,0)</f>
        <v>155.61000000000001</v>
      </c>
      <c r="H82">
        <v>3</v>
      </c>
      <c r="I82" t="s">
        <v>101</v>
      </c>
      <c r="J82" t="s">
        <v>101</v>
      </c>
      <c r="K82">
        <v>0</v>
      </c>
      <c r="L82" s="15">
        <f t="shared" si="7"/>
        <v>399</v>
      </c>
      <c r="M82" s="15">
        <f t="shared" si="8"/>
        <v>466.83000000000004</v>
      </c>
      <c r="N82" s="15">
        <f t="shared" si="9"/>
        <v>67.830000000000041</v>
      </c>
      <c r="O82" s="10">
        <f t="shared" si="10"/>
        <v>0.1700000000000001</v>
      </c>
      <c r="P82" t="str">
        <f t="shared" si="11"/>
        <v>09</v>
      </c>
      <c r="Q82" t="str">
        <f t="shared" si="12"/>
        <v>Apr</v>
      </c>
      <c r="R82" t="str">
        <f t="shared" si="13"/>
        <v>2021</v>
      </c>
    </row>
    <row r="83" spans="1:18" x14ac:dyDescent="0.2">
      <c r="A83" s="1">
        <v>44296</v>
      </c>
      <c r="B83" t="s">
        <v>49</v>
      </c>
      <c r="C83" t="str">
        <f>_xlfn.XLOOKUP(B83,PRODUCT_MASTER!$A:$A,PRODUCT_MASTER!$B:$B,2,0)</f>
        <v>Product22</v>
      </c>
      <c r="D83" t="str">
        <f>_xlfn.XLOOKUP(B83,PRODUCT_MASTER!$A:$A,PRODUCT_MASTER!$C:$C,2,0)</f>
        <v>Seafood</v>
      </c>
      <c r="E83" t="str">
        <f>_xlfn.XLOOKUP(B83,PRODUCT_MASTER!$A:$A,PRODUCT_MASTER!$D:$D,2,0)</f>
        <v>Ft</v>
      </c>
      <c r="F83">
        <f>_xlfn.XLOOKUP(B83,PRODUCT_MASTER!$A:$A,PRODUCT_MASTER!$E:$E,2,0)</f>
        <v>121</v>
      </c>
      <c r="G83">
        <f>_xlfn.XLOOKUP(B83,PRODUCT_MASTER!$A:$A,PRODUCT_MASTER!$F:$F,2,0)</f>
        <v>141.57</v>
      </c>
      <c r="H83">
        <v>14</v>
      </c>
      <c r="I83" t="s">
        <v>103</v>
      </c>
      <c r="J83" t="s">
        <v>101</v>
      </c>
      <c r="K83">
        <v>0</v>
      </c>
      <c r="L83" s="15">
        <f t="shared" si="7"/>
        <v>1694</v>
      </c>
      <c r="M83" s="15">
        <f t="shared" si="8"/>
        <v>1981.98</v>
      </c>
      <c r="N83" s="15">
        <f t="shared" si="9"/>
        <v>287.98</v>
      </c>
      <c r="O83" s="10">
        <f t="shared" si="10"/>
        <v>0.17</v>
      </c>
      <c r="P83" t="str">
        <f t="shared" si="11"/>
        <v>10</v>
      </c>
      <c r="Q83" t="str">
        <f t="shared" si="12"/>
        <v>Apr</v>
      </c>
      <c r="R83" t="str">
        <f t="shared" si="13"/>
        <v>2021</v>
      </c>
    </row>
    <row r="84" spans="1:18" x14ac:dyDescent="0.2">
      <c r="A84" s="1">
        <v>44298</v>
      </c>
      <c r="B84" t="s">
        <v>79</v>
      </c>
      <c r="C84" t="str">
        <f>_xlfn.XLOOKUP(B84,PRODUCT_MASTER!$A:$A,PRODUCT_MASTER!$B:$B,2,0)</f>
        <v>Product37</v>
      </c>
      <c r="D84" t="str">
        <f>_xlfn.XLOOKUP(B84,PRODUCT_MASTER!$A:$A,PRODUCT_MASTER!$C:$C,2,0)</f>
        <v>Snacks</v>
      </c>
      <c r="E84" t="str">
        <f>_xlfn.XLOOKUP(B84,PRODUCT_MASTER!$A:$A,PRODUCT_MASTER!$D:$D,2,0)</f>
        <v>Kg</v>
      </c>
      <c r="F84">
        <f>_xlfn.XLOOKUP(B84,PRODUCT_MASTER!$A:$A,PRODUCT_MASTER!$E:$E,2,0)</f>
        <v>67</v>
      </c>
      <c r="G84">
        <f>_xlfn.XLOOKUP(B84,PRODUCT_MASTER!$A:$A,PRODUCT_MASTER!$F:$F,2,0)</f>
        <v>85.76</v>
      </c>
      <c r="H84">
        <v>3</v>
      </c>
      <c r="I84" t="s">
        <v>103</v>
      </c>
      <c r="J84" t="s">
        <v>102</v>
      </c>
      <c r="K84">
        <v>0</v>
      </c>
      <c r="L84" s="15">
        <f t="shared" si="7"/>
        <v>201</v>
      </c>
      <c r="M84" s="15">
        <f t="shared" si="8"/>
        <v>257.28000000000003</v>
      </c>
      <c r="N84" s="15">
        <f t="shared" si="9"/>
        <v>56.28000000000003</v>
      </c>
      <c r="O84" s="10">
        <f t="shared" si="10"/>
        <v>0.28000000000000014</v>
      </c>
      <c r="P84" t="str">
        <f t="shared" si="11"/>
        <v>12</v>
      </c>
      <c r="Q84" t="str">
        <f t="shared" si="12"/>
        <v>Apr</v>
      </c>
      <c r="R84" t="str">
        <f t="shared" si="13"/>
        <v>2021</v>
      </c>
    </row>
    <row r="85" spans="1:18" x14ac:dyDescent="0.2">
      <c r="A85" s="1">
        <v>44298</v>
      </c>
      <c r="B85" t="s">
        <v>63</v>
      </c>
      <c r="C85" t="str">
        <f>_xlfn.XLOOKUP(B85,PRODUCT_MASTER!$A:$A,PRODUCT_MASTER!$B:$B,2,0)</f>
        <v>Product29</v>
      </c>
      <c r="D85" t="str">
        <f>_xlfn.XLOOKUP(B85,PRODUCT_MASTER!$A:$A,PRODUCT_MASTER!$C:$C,2,0)</f>
        <v>Cheese And Dairy</v>
      </c>
      <c r="E85" t="str">
        <f>_xlfn.XLOOKUP(B85,PRODUCT_MASTER!$A:$A,PRODUCT_MASTER!$D:$D,2,0)</f>
        <v>Lt</v>
      </c>
      <c r="F85">
        <f>_xlfn.XLOOKUP(B85,PRODUCT_MASTER!$A:$A,PRODUCT_MASTER!$E:$E,2,0)</f>
        <v>47</v>
      </c>
      <c r="G85">
        <f>_xlfn.XLOOKUP(B85,PRODUCT_MASTER!$A:$A,PRODUCT_MASTER!$F:$F,2,0)</f>
        <v>53.11</v>
      </c>
      <c r="H85">
        <v>4</v>
      </c>
      <c r="I85" t="s">
        <v>103</v>
      </c>
      <c r="J85" t="s">
        <v>101</v>
      </c>
      <c r="K85">
        <v>0</v>
      </c>
      <c r="L85" s="15">
        <f t="shared" si="7"/>
        <v>188</v>
      </c>
      <c r="M85" s="15">
        <f t="shared" si="8"/>
        <v>212.44</v>
      </c>
      <c r="N85" s="15">
        <f t="shared" si="9"/>
        <v>24.439999999999998</v>
      </c>
      <c r="O85" s="10">
        <f t="shared" si="10"/>
        <v>0.12999999999999998</v>
      </c>
      <c r="P85" t="str">
        <f t="shared" si="11"/>
        <v>12</v>
      </c>
      <c r="Q85" t="str">
        <f t="shared" si="12"/>
        <v>Apr</v>
      </c>
      <c r="R85" t="str">
        <f t="shared" si="13"/>
        <v>2021</v>
      </c>
    </row>
    <row r="86" spans="1:18" x14ac:dyDescent="0.2">
      <c r="A86" s="1">
        <v>44298</v>
      </c>
      <c r="B86" t="s">
        <v>59</v>
      </c>
      <c r="C86" t="str">
        <f>_xlfn.XLOOKUP(B86,PRODUCT_MASTER!$A:$A,PRODUCT_MASTER!$B:$B,2,0)</f>
        <v>Product27</v>
      </c>
      <c r="D86" t="str">
        <f>_xlfn.XLOOKUP(B86,PRODUCT_MASTER!$A:$A,PRODUCT_MASTER!$C:$C,2,0)</f>
        <v>Cheese And Dairy</v>
      </c>
      <c r="E86" t="str">
        <f>_xlfn.XLOOKUP(B86,PRODUCT_MASTER!$A:$A,PRODUCT_MASTER!$D:$D,2,0)</f>
        <v>Lt</v>
      </c>
      <c r="F86">
        <f>_xlfn.XLOOKUP(B86,PRODUCT_MASTER!$A:$A,PRODUCT_MASTER!$E:$E,2,0)</f>
        <v>48</v>
      </c>
      <c r="G86">
        <f>_xlfn.XLOOKUP(B86,PRODUCT_MASTER!$A:$A,PRODUCT_MASTER!$F:$F,2,0)</f>
        <v>57.120000000000005</v>
      </c>
      <c r="H86">
        <v>9</v>
      </c>
      <c r="I86" t="s">
        <v>103</v>
      </c>
      <c r="J86" t="s">
        <v>101</v>
      </c>
      <c r="K86">
        <v>0</v>
      </c>
      <c r="L86" s="15">
        <f t="shared" si="7"/>
        <v>432</v>
      </c>
      <c r="M86" s="15">
        <f t="shared" si="8"/>
        <v>514.08000000000004</v>
      </c>
      <c r="N86" s="15">
        <f t="shared" si="9"/>
        <v>82.080000000000041</v>
      </c>
      <c r="O86" s="10">
        <f t="shared" si="10"/>
        <v>0.19000000000000009</v>
      </c>
      <c r="P86" t="str">
        <f t="shared" si="11"/>
        <v>12</v>
      </c>
      <c r="Q86" t="str">
        <f t="shared" si="12"/>
        <v>Apr</v>
      </c>
      <c r="R86" t="str">
        <f t="shared" si="13"/>
        <v>2021</v>
      </c>
    </row>
    <row r="87" spans="1:18" x14ac:dyDescent="0.2">
      <c r="A87" s="1">
        <v>44298</v>
      </c>
      <c r="B87" t="s">
        <v>71</v>
      </c>
      <c r="C87" t="str">
        <f>_xlfn.XLOOKUP(B87,PRODUCT_MASTER!$A:$A,PRODUCT_MASTER!$B:$B,2,0)</f>
        <v>Product33</v>
      </c>
      <c r="D87" t="str">
        <f>_xlfn.XLOOKUP(B87,PRODUCT_MASTER!$A:$A,PRODUCT_MASTER!$C:$C,2,0)</f>
        <v>Bakery And Desserts</v>
      </c>
      <c r="E87" t="str">
        <f>_xlfn.XLOOKUP(B87,PRODUCT_MASTER!$A:$A,PRODUCT_MASTER!$D:$D,2,0)</f>
        <v>Kg</v>
      </c>
      <c r="F87">
        <f>_xlfn.XLOOKUP(B87,PRODUCT_MASTER!$A:$A,PRODUCT_MASTER!$E:$E,2,0)</f>
        <v>95</v>
      </c>
      <c r="G87">
        <f>_xlfn.XLOOKUP(B87,PRODUCT_MASTER!$A:$A,PRODUCT_MASTER!$F:$F,2,0)</f>
        <v>119.7</v>
      </c>
      <c r="H87">
        <v>13</v>
      </c>
      <c r="I87" t="s">
        <v>103</v>
      </c>
      <c r="J87" t="s">
        <v>102</v>
      </c>
      <c r="K87">
        <v>0</v>
      </c>
      <c r="L87" s="15">
        <f t="shared" si="7"/>
        <v>1235</v>
      </c>
      <c r="M87" s="15">
        <f t="shared" si="8"/>
        <v>1556.1000000000001</v>
      </c>
      <c r="N87" s="15">
        <f t="shared" si="9"/>
        <v>321.10000000000014</v>
      </c>
      <c r="O87" s="10">
        <f t="shared" si="10"/>
        <v>0.26000000000000012</v>
      </c>
      <c r="P87" t="str">
        <f t="shared" si="11"/>
        <v>12</v>
      </c>
      <c r="Q87" t="str">
        <f t="shared" si="12"/>
        <v>Apr</v>
      </c>
      <c r="R87" t="str">
        <f t="shared" si="13"/>
        <v>2021</v>
      </c>
    </row>
    <row r="88" spans="1:18" x14ac:dyDescent="0.2">
      <c r="A88" s="1">
        <v>44301</v>
      </c>
      <c r="B88" t="s">
        <v>39</v>
      </c>
      <c r="C88" t="str">
        <f>_xlfn.XLOOKUP(B88,PRODUCT_MASTER!$A:$A,PRODUCT_MASTER!$B:$B,2,0)</f>
        <v>Product17</v>
      </c>
      <c r="D88" t="str">
        <f>_xlfn.XLOOKUP(B88,PRODUCT_MASTER!$A:$A,PRODUCT_MASTER!$C:$C,2,0)</f>
        <v>Poultry</v>
      </c>
      <c r="E88" t="str">
        <f>_xlfn.XLOOKUP(B88,PRODUCT_MASTER!$A:$A,PRODUCT_MASTER!$D:$D,2,0)</f>
        <v>Ft</v>
      </c>
      <c r="F88">
        <f>_xlfn.XLOOKUP(B88,PRODUCT_MASTER!$A:$A,PRODUCT_MASTER!$E:$E,2,0)</f>
        <v>134</v>
      </c>
      <c r="G88">
        <f>_xlfn.XLOOKUP(B88,PRODUCT_MASTER!$A:$A,PRODUCT_MASTER!$F:$F,2,0)</f>
        <v>156.78</v>
      </c>
      <c r="H88">
        <v>3</v>
      </c>
      <c r="I88" t="s">
        <v>103</v>
      </c>
      <c r="J88" t="s">
        <v>101</v>
      </c>
      <c r="K88">
        <v>0</v>
      </c>
      <c r="L88" s="15">
        <f t="shared" si="7"/>
        <v>402</v>
      </c>
      <c r="M88" s="15">
        <f t="shared" si="8"/>
        <v>470.34000000000003</v>
      </c>
      <c r="N88" s="15">
        <f t="shared" si="9"/>
        <v>68.340000000000032</v>
      </c>
      <c r="O88" s="10">
        <f t="shared" si="10"/>
        <v>0.17000000000000007</v>
      </c>
      <c r="P88" t="str">
        <f t="shared" si="11"/>
        <v>15</v>
      </c>
      <c r="Q88" t="str">
        <f t="shared" si="12"/>
        <v>Apr</v>
      </c>
      <c r="R88" t="str">
        <f t="shared" si="13"/>
        <v>2021</v>
      </c>
    </row>
    <row r="89" spans="1:18" x14ac:dyDescent="0.2">
      <c r="A89" s="1">
        <v>44302</v>
      </c>
      <c r="B89" t="s">
        <v>41</v>
      </c>
      <c r="C89" t="str">
        <f>_xlfn.XLOOKUP(B89,PRODUCT_MASTER!$A:$A,PRODUCT_MASTER!$B:$B,2,0)</f>
        <v>Product18</v>
      </c>
      <c r="D89" t="str">
        <f>_xlfn.XLOOKUP(B89,PRODUCT_MASTER!$A:$A,PRODUCT_MASTER!$C:$C,2,0)</f>
        <v>Poultry</v>
      </c>
      <c r="E89" t="str">
        <f>_xlfn.XLOOKUP(B89,PRODUCT_MASTER!$A:$A,PRODUCT_MASTER!$D:$D,2,0)</f>
        <v>No.</v>
      </c>
      <c r="F89">
        <f>_xlfn.XLOOKUP(B89,PRODUCT_MASTER!$A:$A,PRODUCT_MASTER!$E:$E,2,0)</f>
        <v>37</v>
      </c>
      <c r="G89">
        <f>_xlfn.XLOOKUP(B89,PRODUCT_MASTER!$A:$A,PRODUCT_MASTER!$F:$F,2,0)</f>
        <v>49.21</v>
      </c>
      <c r="H89">
        <v>15</v>
      </c>
      <c r="I89" t="s">
        <v>103</v>
      </c>
      <c r="J89" t="s">
        <v>102</v>
      </c>
      <c r="K89">
        <v>0</v>
      </c>
      <c r="L89" s="15">
        <f t="shared" si="7"/>
        <v>555</v>
      </c>
      <c r="M89" s="15">
        <f t="shared" si="8"/>
        <v>738.15</v>
      </c>
      <c r="N89" s="15">
        <f t="shared" si="9"/>
        <v>183.14999999999998</v>
      </c>
      <c r="O89" s="10">
        <f t="shared" si="10"/>
        <v>0.32999999999999996</v>
      </c>
      <c r="P89" t="str">
        <f t="shared" si="11"/>
        <v>16</v>
      </c>
      <c r="Q89" t="str">
        <f t="shared" si="12"/>
        <v>Apr</v>
      </c>
      <c r="R89" t="str">
        <f t="shared" si="13"/>
        <v>2021</v>
      </c>
    </row>
    <row r="90" spans="1:18" x14ac:dyDescent="0.2">
      <c r="A90" s="1">
        <v>44304</v>
      </c>
      <c r="B90" t="s">
        <v>81</v>
      </c>
      <c r="C90" t="str">
        <f>_xlfn.XLOOKUP(B90,PRODUCT_MASTER!$A:$A,PRODUCT_MASTER!$B:$B,2,0)</f>
        <v>Product38</v>
      </c>
      <c r="D90" t="str">
        <f>_xlfn.XLOOKUP(B90,PRODUCT_MASTER!$A:$A,PRODUCT_MASTER!$C:$C,2,0)</f>
        <v>Snacks</v>
      </c>
      <c r="E90" t="str">
        <f>_xlfn.XLOOKUP(B90,PRODUCT_MASTER!$A:$A,PRODUCT_MASTER!$D:$D,2,0)</f>
        <v>Kg</v>
      </c>
      <c r="F90">
        <f>_xlfn.XLOOKUP(B90,PRODUCT_MASTER!$A:$A,PRODUCT_MASTER!$E:$E,2,0)</f>
        <v>72</v>
      </c>
      <c r="G90">
        <f>_xlfn.XLOOKUP(B90,PRODUCT_MASTER!$A:$A,PRODUCT_MASTER!$F:$F,2,0)</f>
        <v>79.92</v>
      </c>
      <c r="H90">
        <v>9</v>
      </c>
      <c r="I90" t="s">
        <v>100</v>
      </c>
      <c r="J90" t="s">
        <v>101</v>
      </c>
      <c r="K90">
        <v>0</v>
      </c>
      <c r="L90" s="15">
        <f t="shared" si="7"/>
        <v>648</v>
      </c>
      <c r="M90" s="15">
        <f t="shared" si="8"/>
        <v>719.28</v>
      </c>
      <c r="N90" s="15">
        <f t="shared" si="9"/>
        <v>71.279999999999973</v>
      </c>
      <c r="O90" s="10">
        <f t="shared" si="10"/>
        <v>0.10999999999999996</v>
      </c>
      <c r="P90" t="str">
        <f t="shared" si="11"/>
        <v>18</v>
      </c>
      <c r="Q90" t="str">
        <f t="shared" si="12"/>
        <v>Apr</v>
      </c>
      <c r="R90" t="str">
        <f t="shared" si="13"/>
        <v>2021</v>
      </c>
    </row>
    <row r="91" spans="1:18" x14ac:dyDescent="0.2">
      <c r="A91" s="1">
        <v>44304</v>
      </c>
      <c r="B91" t="s">
        <v>43</v>
      </c>
      <c r="C91" t="str">
        <f>_xlfn.XLOOKUP(B91,PRODUCT_MASTER!$A:$A,PRODUCT_MASTER!$B:$B,2,0)</f>
        <v>Product19</v>
      </c>
      <c r="D91" t="str">
        <f>_xlfn.XLOOKUP(B91,PRODUCT_MASTER!$A:$A,PRODUCT_MASTER!$C:$C,2,0)</f>
        <v>Poultry</v>
      </c>
      <c r="E91" t="str">
        <f>_xlfn.XLOOKUP(B91,PRODUCT_MASTER!$A:$A,PRODUCT_MASTER!$D:$D,2,0)</f>
        <v>Ft</v>
      </c>
      <c r="F91">
        <f>_xlfn.XLOOKUP(B91,PRODUCT_MASTER!$A:$A,PRODUCT_MASTER!$E:$E,2,0)</f>
        <v>150</v>
      </c>
      <c r="G91">
        <f>_xlfn.XLOOKUP(B91,PRODUCT_MASTER!$A:$A,PRODUCT_MASTER!$F:$F,2,0)</f>
        <v>210</v>
      </c>
      <c r="H91">
        <v>13</v>
      </c>
      <c r="I91" t="s">
        <v>103</v>
      </c>
      <c r="J91" t="s">
        <v>102</v>
      </c>
      <c r="K91">
        <v>0</v>
      </c>
      <c r="L91" s="15">
        <f t="shared" si="7"/>
        <v>1950</v>
      </c>
      <c r="M91" s="15">
        <f t="shared" si="8"/>
        <v>2730</v>
      </c>
      <c r="N91" s="15">
        <f t="shared" si="9"/>
        <v>780</v>
      </c>
      <c r="O91" s="10">
        <f t="shared" si="10"/>
        <v>0.4</v>
      </c>
      <c r="P91" t="str">
        <f t="shared" si="11"/>
        <v>18</v>
      </c>
      <c r="Q91" t="str">
        <f t="shared" si="12"/>
        <v>Apr</v>
      </c>
      <c r="R91" t="str">
        <f t="shared" si="13"/>
        <v>2021</v>
      </c>
    </row>
    <row r="92" spans="1:18" x14ac:dyDescent="0.2">
      <c r="A92" s="1">
        <v>44309</v>
      </c>
      <c r="B92" t="s">
        <v>89</v>
      </c>
      <c r="C92" t="str">
        <f>_xlfn.XLOOKUP(B92,PRODUCT_MASTER!$A:$A,PRODUCT_MASTER!$B:$B,2,0)</f>
        <v>Product42</v>
      </c>
      <c r="D92" t="str">
        <f>_xlfn.XLOOKUP(B92,PRODUCT_MASTER!$A:$A,PRODUCT_MASTER!$C:$C,2,0)</f>
        <v>Candy</v>
      </c>
      <c r="E92" t="str">
        <f>_xlfn.XLOOKUP(B92,PRODUCT_MASTER!$A:$A,PRODUCT_MASTER!$D:$D,2,0)</f>
        <v>Ft</v>
      </c>
      <c r="F92">
        <f>_xlfn.XLOOKUP(B92,PRODUCT_MASTER!$A:$A,PRODUCT_MASTER!$E:$E,2,0)</f>
        <v>120</v>
      </c>
      <c r="G92">
        <f>_xlfn.XLOOKUP(B92,PRODUCT_MASTER!$A:$A,PRODUCT_MASTER!$F:$F,2,0)</f>
        <v>162</v>
      </c>
      <c r="H92">
        <v>6</v>
      </c>
      <c r="I92" t="s">
        <v>103</v>
      </c>
      <c r="J92" t="s">
        <v>101</v>
      </c>
      <c r="K92">
        <v>0</v>
      </c>
      <c r="L92" s="15">
        <f t="shared" si="7"/>
        <v>720</v>
      </c>
      <c r="M92" s="15">
        <f t="shared" si="8"/>
        <v>972</v>
      </c>
      <c r="N92" s="15">
        <f t="shared" si="9"/>
        <v>252</v>
      </c>
      <c r="O92" s="10">
        <f t="shared" si="10"/>
        <v>0.35</v>
      </c>
      <c r="P92" t="str">
        <f t="shared" si="11"/>
        <v>23</v>
      </c>
      <c r="Q92" t="str">
        <f t="shared" si="12"/>
        <v>Apr</v>
      </c>
      <c r="R92" t="str">
        <f t="shared" si="13"/>
        <v>2021</v>
      </c>
    </row>
    <row r="93" spans="1:18" x14ac:dyDescent="0.2">
      <c r="A93" s="1">
        <v>44309</v>
      </c>
      <c r="B93" t="s">
        <v>61</v>
      </c>
      <c r="C93" t="str">
        <f>_xlfn.XLOOKUP(B93,PRODUCT_MASTER!$A:$A,PRODUCT_MASTER!$B:$B,2,0)</f>
        <v>Product28</v>
      </c>
      <c r="D93" t="str">
        <f>_xlfn.XLOOKUP(B93,PRODUCT_MASTER!$A:$A,PRODUCT_MASTER!$C:$C,2,0)</f>
        <v>Cheese And Dairy</v>
      </c>
      <c r="E93" t="str">
        <f>_xlfn.XLOOKUP(B93,PRODUCT_MASTER!$A:$A,PRODUCT_MASTER!$D:$D,2,0)</f>
        <v>No.</v>
      </c>
      <c r="F93">
        <f>_xlfn.XLOOKUP(B93,PRODUCT_MASTER!$A:$A,PRODUCT_MASTER!$E:$E,2,0)</f>
        <v>37</v>
      </c>
      <c r="G93">
        <f>_xlfn.XLOOKUP(B93,PRODUCT_MASTER!$A:$A,PRODUCT_MASTER!$F:$F,2,0)</f>
        <v>41.81</v>
      </c>
      <c r="H93">
        <v>10</v>
      </c>
      <c r="I93" t="s">
        <v>103</v>
      </c>
      <c r="J93" t="s">
        <v>101</v>
      </c>
      <c r="K93">
        <v>0</v>
      </c>
      <c r="L93" s="15">
        <f t="shared" si="7"/>
        <v>370</v>
      </c>
      <c r="M93" s="15">
        <f t="shared" si="8"/>
        <v>418.1</v>
      </c>
      <c r="N93" s="15">
        <f t="shared" si="9"/>
        <v>48.100000000000023</v>
      </c>
      <c r="O93" s="10">
        <f t="shared" si="10"/>
        <v>0.13000000000000006</v>
      </c>
      <c r="P93" t="str">
        <f t="shared" si="11"/>
        <v>23</v>
      </c>
      <c r="Q93" t="str">
        <f t="shared" si="12"/>
        <v>Apr</v>
      </c>
      <c r="R93" t="str">
        <f t="shared" si="13"/>
        <v>2021</v>
      </c>
    </row>
    <row r="94" spans="1:18" x14ac:dyDescent="0.2">
      <c r="A94" s="1">
        <v>44310</v>
      </c>
      <c r="B94" t="s">
        <v>65</v>
      </c>
      <c r="C94" t="str">
        <f>_xlfn.XLOOKUP(B94,PRODUCT_MASTER!$A:$A,PRODUCT_MASTER!$B:$B,2,0)</f>
        <v>Product30</v>
      </c>
      <c r="D94" t="str">
        <f>_xlfn.XLOOKUP(B94,PRODUCT_MASTER!$A:$A,PRODUCT_MASTER!$C:$C,2,0)</f>
        <v>Cheese And Dairy</v>
      </c>
      <c r="E94" t="str">
        <f>_xlfn.XLOOKUP(B94,PRODUCT_MASTER!$A:$A,PRODUCT_MASTER!$D:$D,2,0)</f>
        <v>Ft</v>
      </c>
      <c r="F94">
        <f>_xlfn.XLOOKUP(B94,PRODUCT_MASTER!$A:$A,PRODUCT_MASTER!$E:$E,2,0)</f>
        <v>148</v>
      </c>
      <c r="G94">
        <f>_xlfn.XLOOKUP(B94,PRODUCT_MASTER!$A:$A,PRODUCT_MASTER!$F:$F,2,0)</f>
        <v>201.28</v>
      </c>
      <c r="H94">
        <v>2</v>
      </c>
      <c r="I94" t="s">
        <v>101</v>
      </c>
      <c r="J94" t="s">
        <v>101</v>
      </c>
      <c r="K94">
        <v>0</v>
      </c>
      <c r="L94" s="15">
        <f t="shared" si="7"/>
        <v>296</v>
      </c>
      <c r="M94" s="15">
        <f t="shared" si="8"/>
        <v>402.56</v>
      </c>
      <c r="N94" s="15">
        <f t="shared" si="9"/>
        <v>106.56</v>
      </c>
      <c r="O94" s="10">
        <f t="shared" si="10"/>
        <v>0.36</v>
      </c>
      <c r="P94" t="str">
        <f t="shared" si="11"/>
        <v>24</v>
      </c>
      <c r="Q94" t="str">
        <f t="shared" si="12"/>
        <v>Apr</v>
      </c>
      <c r="R94" t="str">
        <f t="shared" si="13"/>
        <v>2021</v>
      </c>
    </row>
    <row r="95" spans="1:18" x14ac:dyDescent="0.2">
      <c r="A95" s="1">
        <v>44312</v>
      </c>
      <c r="B95" t="s">
        <v>79</v>
      </c>
      <c r="C95" t="str">
        <f>_xlfn.XLOOKUP(B95,PRODUCT_MASTER!$A:$A,PRODUCT_MASTER!$B:$B,2,0)</f>
        <v>Product37</v>
      </c>
      <c r="D95" t="str">
        <f>_xlfn.XLOOKUP(B95,PRODUCT_MASTER!$A:$A,PRODUCT_MASTER!$C:$C,2,0)</f>
        <v>Snacks</v>
      </c>
      <c r="E95" t="str">
        <f>_xlfn.XLOOKUP(B95,PRODUCT_MASTER!$A:$A,PRODUCT_MASTER!$D:$D,2,0)</f>
        <v>Kg</v>
      </c>
      <c r="F95">
        <f>_xlfn.XLOOKUP(B95,PRODUCT_MASTER!$A:$A,PRODUCT_MASTER!$E:$E,2,0)</f>
        <v>67</v>
      </c>
      <c r="G95">
        <f>_xlfn.XLOOKUP(B95,PRODUCT_MASTER!$A:$A,PRODUCT_MASTER!$F:$F,2,0)</f>
        <v>85.76</v>
      </c>
      <c r="H95">
        <v>3</v>
      </c>
      <c r="I95" t="s">
        <v>103</v>
      </c>
      <c r="J95" t="s">
        <v>101</v>
      </c>
      <c r="K95">
        <v>0</v>
      </c>
      <c r="L95" s="15">
        <f t="shared" si="7"/>
        <v>201</v>
      </c>
      <c r="M95" s="15">
        <f t="shared" si="8"/>
        <v>257.28000000000003</v>
      </c>
      <c r="N95" s="15">
        <f t="shared" si="9"/>
        <v>56.28000000000003</v>
      </c>
      <c r="O95" s="10">
        <f t="shared" si="10"/>
        <v>0.28000000000000014</v>
      </c>
      <c r="P95" t="str">
        <f t="shared" si="11"/>
        <v>26</v>
      </c>
      <c r="Q95" t="str">
        <f t="shared" si="12"/>
        <v>Apr</v>
      </c>
      <c r="R95" t="str">
        <f t="shared" si="13"/>
        <v>2021</v>
      </c>
    </row>
    <row r="96" spans="1:18" x14ac:dyDescent="0.2">
      <c r="A96" s="1">
        <v>44315</v>
      </c>
      <c r="B96" t="s">
        <v>65</v>
      </c>
      <c r="C96" t="str">
        <f>_xlfn.XLOOKUP(B96,PRODUCT_MASTER!$A:$A,PRODUCT_MASTER!$B:$B,2,0)</f>
        <v>Product30</v>
      </c>
      <c r="D96" t="str">
        <f>_xlfn.XLOOKUP(B96,PRODUCT_MASTER!$A:$A,PRODUCT_MASTER!$C:$C,2,0)</f>
        <v>Cheese And Dairy</v>
      </c>
      <c r="E96" t="str">
        <f>_xlfn.XLOOKUP(B96,PRODUCT_MASTER!$A:$A,PRODUCT_MASTER!$D:$D,2,0)</f>
        <v>Ft</v>
      </c>
      <c r="F96">
        <f>_xlfn.XLOOKUP(B96,PRODUCT_MASTER!$A:$A,PRODUCT_MASTER!$E:$E,2,0)</f>
        <v>148</v>
      </c>
      <c r="G96">
        <f>_xlfn.XLOOKUP(B96,PRODUCT_MASTER!$A:$A,PRODUCT_MASTER!$F:$F,2,0)</f>
        <v>201.28</v>
      </c>
      <c r="H96">
        <v>7</v>
      </c>
      <c r="I96" t="s">
        <v>103</v>
      </c>
      <c r="J96" t="s">
        <v>101</v>
      </c>
      <c r="K96">
        <v>0</v>
      </c>
      <c r="L96" s="15">
        <f t="shared" si="7"/>
        <v>1036</v>
      </c>
      <c r="M96" s="15">
        <f t="shared" si="8"/>
        <v>1408.96</v>
      </c>
      <c r="N96" s="15">
        <f t="shared" si="9"/>
        <v>372.96000000000004</v>
      </c>
      <c r="O96" s="10">
        <f t="shared" si="10"/>
        <v>0.36000000000000004</v>
      </c>
      <c r="P96" t="str">
        <f t="shared" si="11"/>
        <v>29</v>
      </c>
      <c r="Q96" t="str">
        <f t="shared" si="12"/>
        <v>Apr</v>
      </c>
      <c r="R96" t="str">
        <f t="shared" si="13"/>
        <v>2021</v>
      </c>
    </row>
    <row r="97" spans="1:18" x14ac:dyDescent="0.2">
      <c r="A97" s="1">
        <v>44316</v>
      </c>
      <c r="B97" t="s">
        <v>63</v>
      </c>
      <c r="C97" t="str">
        <f>_xlfn.XLOOKUP(B97,PRODUCT_MASTER!$A:$A,PRODUCT_MASTER!$B:$B,2,0)</f>
        <v>Product29</v>
      </c>
      <c r="D97" t="str">
        <f>_xlfn.XLOOKUP(B97,PRODUCT_MASTER!$A:$A,PRODUCT_MASTER!$C:$C,2,0)</f>
        <v>Cheese And Dairy</v>
      </c>
      <c r="E97" t="str">
        <f>_xlfn.XLOOKUP(B97,PRODUCT_MASTER!$A:$A,PRODUCT_MASTER!$D:$D,2,0)</f>
        <v>Lt</v>
      </c>
      <c r="F97">
        <f>_xlfn.XLOOKUP(B97,PRODUCT_MASTER!$A:$A,PRODUCT_MASTER!$E:$E,2,0)</f>
        <v>47</v>
      </c>
      <c r="G97">
        <f>_xlfn.XLOOKUP(B97,PRODUCT_MASTER!$A:$A,PRODUCT_MASTER!$F:$F,2,0)</f>
        <v>53.11</v>
      </c>
      <c r="H97">
        <v>1</v>
      </c>
      <c r="I97" t="s">
        <v>103</v>
      </c>
      <c r="J97" t="s">
        <v>101</v>
      </c>
      <c r="K97">
        <v>0</v>
      </c>
      <c r="L97" s="15">
        <f t="shared" si="7"/>
        <v>47</v>
      </c>
      <c r="M97" s="15">
        <f t="shared" si="8"/>
        <v>53.11</v>
      </c>
      <c r="N97" s="15">
        <f t="shared" si="9"/>
        <v>6.1099999999999994</v>
      </c>
      <c r="O97" s="10">
        <f t="shared" si="10"/>
        <v>0.12999999999999998</v>
      </c>
      <c r="P97" t="str">
        <f t="shared" si="11"/>
        <v>30</v>
      </c>
      <c r="Q97" t="str">
        <f t="shared" si="12"/>
        <v>Apr</v>
      </c>
      <c r="R97" t="str">
        <f t="shared" si="13"/>
        <v>2021</v>
      </c>
    </row>
    <row r="98" spans="1:18" x14ac:dyDescent="0.2">
      <c r="A98" s="1">
        <v>44317</v>
      </c>
      <c r="B98" t="s">
        <v>41</v>
      </c>
      <c r="C98" t="str">
        <f>_xlfn.XLOOKUP(B98,PRODUCT_MASTER!$A:$A,PRODUCT_MASTER!$B:$B,2,0)</f>
        <v>Product18</v>
      </c>
      <c r="D98" t="str">
        <f>_xlfn.XLOOKUP(B98,PRODUCT_MASTER!$A:$A,PRODUCT_MASTER!$C:$C,2,0)</f>
        <v>Poultry</v>
      </c>
      <c r="E98" t="str">
        <f>_xlfn.XLOOKUP(B98,PRODUCT_MASTER!$A:$A,PRODUCT_MASTER!$D:$D,2,0)</f>
        <v>No.</v>
      </c>
      <c r="F98">
        <f>_xlfn.XLOOKUP(B98,PRODUCT_MASTER!$A:$A,PRODUCT_MASTER!$E:$E,2,0)</f>
        <v>37</v>
      </c>
      <c r="G98">
        <f>_xlfn.XLOOKUP(B98,PRODUCT_MASTER!$A:$A,PRODUCT_MASTER!$F:$F,2,0)</f>
        <v>49.21</v>
      </c>
      <c r="H98">
        <v>3</v>
      </c>
      <c r="I98" t="s">
        <v>101</v>
      </c>
      <c r="J98" t="s">
        <v>102</v>
      </c>
      <c r="K98">
        <v>0</v>
      </c>
      <c r="L98" s="15">
        <f t="shared" si="7"/>
        <v>111</v>
      </c>
      <c r="M98" s="15">
        <f t="shared" si="8"/>
        <v>147.63</v>
      </c>
      <c r="N98" s="15">
        <f t="shared" si="9"/>
        <v>36.629999999999995</v>
      </c>
      <c r="O98" s="10">
        <f t="shared" si="10"/>
        <v>0.32999999999999996</v>
      </c>
      <c r="P98" t="str">
        <f t="shared" si="11"/>
        <v>01</v>
      </c>
      <c r="Q98" t="str">
        <f t="shared" si="12"/>
        <v>May</v>
      </c>
      <c r="R98" t="str">
        <f t="shared" si="13"/>
        <v>2021</v>
      </c>
    </row>
    <row r="99" spans="1:18" x14ac:dyDescent="0.2">
      <c r="A99" s="1">
        <v>44317</v>
      </c>
      <c r="B99" t="s">
        <v>89</v>
      </c>
      <c r="C99" t="str">
        <f>_xlfn.XLOOKUP(B99,PRODUCT_MASTER!$A:$A,PRODUCT_MASTER!$B:$B,2,0)</f>
        <v>Product42</v>
      </c>
      <c r="D99" t="str">
        <f>_xlfn.XLOOKUP(B99,PRODUCT_MASTER!$A:$A,PRODUCT_MASTER!$C:$C,2,0)</f>
        <v>Candy</v>
      </c>
      <c r="E99" t="str">
        <f>_xlfn.XLOOKUP(B99,PRODUCT_MASTER!$A:$A,PRODUCT_MASTER!$D:$D,2,0)</f>
        <v>Ft</v>
      </c>
      <c r="F99">
        <f>_xlfn.XLOOKUP(B99,PRODUCT_MASTER!$A:$A,PRODUCT_MASTER!$E:$E,2,0)</f>
        <v>120</v>
      </c>
      <c r="G99">
        <f>_xlfn.XLOOKUP(B99,PRODUCT_MASTER!$A:$A,PRODUCT_MASTER!$F:$F,2,0)</f>
        <v>162</v>
      </c>
      <c r="H99">
        <v>1</v>
      </c>
      <c r="I99" t="s">
        <v>101</v>
      </c>
      <c r="J99" t="s">
        <v>102</v>
      </c>
      <c r="K99">
        <v>0</v>
      </c>
      <c r="L99" s="15">
        <f t="shared" si="7"/>
        <v>120</v>
      </c>
      <c r="M99" s="15">
        <f t="shared" si="8"/>
        <v>162</v>
      </c>
      <c r="N99" s="15">
        <f t="shared" si="9"/>
        <v>42</v>
      </c>
      <c r="O99" s="10">
        <f t="shared" si="10"/>
        <v>0.35</v>
      </c>
      <c r="P99" t="str">
        <f t="shared" si="11"/>
        <v>01</v>
      </c>
      <c r="Q99" t="str">
        <f t="shared" si="12"/>
        <v>May</v>
      </c>
      <c r="R99" t="str">
        <f t="shared" si="13"/>
        <v>2021</v>
      </c>
    </row>
    <row r="100" spans="1:18" x14ac:dyDescent="0.2">
      <c r="A100" s="1">
        <v>44319</v>
      </c>
      <c r="B100" t="s">
        <v>73</v>
      </c>
      <c r="C100" t="str">
        <f>_xlfn.XLOOKUP(B100,PRODUCT_MASTER!$A:$A,PRODUCT_MASTER!$B:$B,2,0)</f>
        <v>Product34</v>
      </c>
      <c r="D100" t="str">
        <f>_xlfn.XLOOKUP(B100,PRODUCT_MASTER!$A:$A,PRODUCT_MASTER!$C:$C,2,0)</f>
        <v>Bakery And Desserts</v>
      </c>
      <c r="E100" t="str">
        <f>_xlfn.XLOOKUP(B100,PRODUCT_MASTER!$A:$A,PRODUCT_MASTER!$D:$D,2,0)</f>
        <v>Lt</v>
      </c>
      <c r="F100">
        <f>_xlfn.XLOOKUP(B100,PRODUCT_MASTER!$A:$A,PRODUCT_MASTER!$E:$E,2,0)</f>
        <v>55</v>
      </c>
      <c r="G100">
        <f>_xlfn.XLOOKUP(B100,PRODUCT_MASTER!$A:$A,PRODUCT_MASTER!$F:$F,2,0)</f>
        <v>58.3</v>
      </c>
      <c r="H100">
        <v>3</v>
      </c>
      <c r="I100" t="s">
        <v>101</v>
      </c>
      <c r="J100" t="s">
        <v>101</v>
      </c>
      <c r="K100">
        <v>0</v>
      </c>
      <c r="L100" s="15">
        <f t="shared" si="7"/>
        <v>165</v>
      </c>
      <c r="M100" s="15">
        <f t="shared" si="8"/>
        <v>174.89999999999998</v>
      </c>
      <c r="N100" s="15">
        <f t="shared" si="9"/>
        <v>9.8999999999999773</v>
      </c>
      <c r="O100" s="10">
        <f t="shared" si="10"/>
        <v>5.9999999999999859E-2</v>
      </c>
      <c r="P100" t="str">
        <f t="shared" si="11"/>
        <v>03</v>
      </c>
      <c r="Q100" t="str">
        <f t="shared" si="12"/>
        <v>May</v>
      </c>
      <c r="R100" t="str">
        <f t="shared" si="13"/>
        <v>2021</v>
      </c>
    </row>
    <row r="101" spans="1:18" x14ac:dyDescent="0.2">
      <c r="A101" s="1">
        <v>44320</v>
      </c>
      <c r="B101" t="s">
        <v>35</v>
      </c>
      <c r="C101" t="str">
        <f>_xlfn.XLOOKUP(B101,PRODUCT_MASTER!$A:$A,PRODUCT_MASTER!$B:$B,2,0)</f>
        <v>Product15</v>
      </c>
      <c r="D101" t="str">
        <f>_xlfn.XLOOKUP(B101,PRODUCT_MASTER!$A:$A,PRODUCT_MASTER!$C:$C,2,0)</f>
        <v>Meat</v>
      </c>
      <c r="E101" t="str">
        <f>_xlfn.XLOOKUP(B101,PRODUCT_MASTER!$A:$A,PRODUCT_MASTER!$D:$D,2,0)</f>
        <v>No.</v>
      </c>
      <c r="F101">
        <f>_xlfn.XLOOKUP(B101,PRODUCT_MASTER!$A:$A,PRODUCT_MASTER!$E:$E,2,0)</f>
        <v>12</v>
      </c>
      <c r="G101">
        <f>_xlfn.XLOOKUP(B101,PRODUCT_MASTER!$A:$A,PRODUCT_MASTER!$F:$F,2,0)</f>
        <v>15.719999999999999</v>
      </c>
      <c r="H101">
        <v>13</v>
      </c>
      <c r="I101" t="s">
        <v>101</v>
      </c>
      <c r="J101" t="s">
        <v>101</v>
      </c>
      <c r="K101">
        <v>0</v>
      </c>
      <c r="L101" s="15">
        <f t="shared" si="7"/>
        <v>156</v>
      </c>
      <c r="M101" s="15">
        <f t="shared" si="8"/>
        <v>204.35999999999999</v>
      </c>
      <c r="N101" s="15">
        <f t="shared" si="9"/>
        <v>48.359999999999985</v>
      </c>
      <c r="O101" s="10">
        <f t="shared" si="10"/>
        <v>0.30999999999999989</v>
      </c>
      <c r="P101" t="str">
        <f t="shared" si="11"/>
        <v>04</v>
      </c>
      <c r="Q101" t="str">
        <f t="shared" si="12"/>
        <v>May</v>
      </c>
      <c r="R101" t="str">
        <f t="shared" si="13"/>
        <v>2021</v>
      </c>
    </row>
    <row r="102" spans="1:18" x14ac:dyDescent="0.2">
      <c r="A102" s="1">
        <v>44320</v>
      </c>
      <c r="B102" t="s">
        <v>33</v>
      </c>
      <c r="C102" t="str">
        <f>_xlfn.XLOOKUP(B102,PRODUCT_MASTER!$A:$A,PRODUCT_MASTER!$B:$B,2,0)</f>
        <v>Product14</v>
      </c>
      <c r="D102" t="str">
        <f>_xlfn.XLOOKUP(B102,PRODUCT_MASTER!$A:$A,PRODUCT_MASTER!$C:$C,2,0)</f>
        <v>Meat</v>
      </c>
      <c r="E102" t="str">
        <f>_xlfn.XLOOKUP(B102,PRODUCT_MASTER!$A:$A,PRODUCT_MASTER!$D:$D,2,0)</f>
        <v>Kg</v>
      </c>
      <c r="F102">
        <f>_xlfn.XLOOKUP(B102,PRODUCT_MASTER!$A:$A,PRODUCT_MASTER!$E:$E,2,0)</f>
        <v>112</v>
      </c>
      <c r="G102">
        <f>_xlfn.XLOOKUP(B102,PRODUCT_MASTER!$A:$A,PRODUCT_MASTER!$F:$F,2,0)</f>
        <v>146.72</v>
      </c>
      <c r="H102">
        <v>4</v>
      </c>
      <c r="I102" t="s">
        <v>103</v>
      </c>
      <c r="J102" t="s">
        <v>102</v>
      </c>
      <c r="K102">
        <v>0</v>
      </c>
      <c r="L102" s="15">
        <f t="shared" si="7"/>
        <v>448</v>
      </c>
      <c r="M102" s="15">
        <f t="shared" si="8"/>
        <v>586.88</v>
      </c>
      <c r="N102" s="15">
        <f t="shared" si="9"/>
        <v>138.88</v>
      </c>
      <c r="O102" s="10">
        <f t="shared" si="10"/>
        <v>0.31</v>
      </c>
      <c r="P102" t="str">
        <f t="shared" si="11"/>
        <v>04</v>
      </c>
      <c r="Q102" t="str">
        <f t="shared" si="12"/>
        <v>May</v>
      </c>
      <c r="R102" t="str">
        <f t="shared" si="13"/>
        <v>2021</v>
      </c>
    </row>
    <row r="103" spans="1:18" x14ac:dyDescent="0.2">
      <c r="A103" s="1">
        <v>44321</v>
      </c>
      <c r="B103" t="s">
        <v>23</v>
      </c>
      <c r="C103" t="str">
        <f>_xlfn.XLOOKUP(B103,PRODUCT_MASTER!$A:$A,PRODUCT_MASTER!$B:$B,2,0)</f>
        <v>Product09</v>
      </c>
      <c r="D103" t="str">
        <f>_xlfn.XLOOKUP(B103,PRODUCT_MASTER!$A:$A,PRODUCT_MASTER!$C:$C,2,0)</f>
        <v>Gourmet Foods</v>
      </c>
      <c r="E103" t="str">
        <f>_xlfn.XLOOKUP(B103,PRODUCT_MASTER!$A:$A,PRODUCT_MASTER!$D:$D,2,0)</f>
        <v>No.</v>
      </c>
      <c r="F103">
        <f>_xlfn.XLOOKUP(B103,PRODUCT_MASTER!$A:$A,PRODUCT_MASTER!$E:$E,2,0)</f>
        <v>6</v>
      </c>
      <c r="G103">
        <f>_xlfn.XLOOKUP(B103,PRODUCT_MASTER!$A:$A,PRODUCT_MASTER!$F:$F,2,0)</f>
        <v>7.8599999999999994</v>
      </c>
      <c r="H103">
        <v>13</v>
      </c>
      <c r="I103" t="s">
        <v>103</v>
      </c>
      <c r="J103" t="s">
        <v>102</v>
      </c>
      <c r="K103">
        <v>0</v>
      </c>
      <c r="L103" s="15">
        <f t="shared" si="7"/>
        <v>78</v>
      </c>
      <c r="M103" s="15">
        <f t="shared" si="8"/>
        <v>102.17999999999999</v>
      </c>
      <c r="N103" s="15">
        <f t="shared" si="9"/>
        <v>24.179999999999993</v>
      </c>
      <c r="O103" s="10">
        <f t="shared" si="10"/>
        <v>0.30999999999999989</v>
      </c>
      <c r="P103" t="str">
        <f t="shared" si="11"/>
        <v>05</v>
      </c>
      <c r="Q103" t="str">
        <f t="shared" si="12"/>
        <v>May</v>
      </c>
      <c r="R103" t="str">
        <f t="shared" si="13"/>
        <v>2021</v>
      </c>
    </row>
    <row r="104" spans="1:18" x14ac:dyDescent="0.2">
      <c r="A104" s="1">
        <v>44322</v>
      </c>
      <c r="B104" t="s">
        <v>21</v>
      </c>
      <c r="C104" t="str">
        <f>_xlfn.XLOOKUP(B104,PRODUCT_MASTER!$A:$A,PRODUCT_MASTER!$B:$B,2,0)</f>
        <v>Product08</v>
      </c>
      <c r="D104" t="str">
        <f>_xlfn.XLOOKUP(B104,PRODUCT_MASTER!$A:$A,PRODUCT_MASTER!$C:$C,2,0)</f>
        <v>Gourmet Foods</v>
      </c>
      <c r="E104" t="str">
        <f>_xlfn.XLOOKUP(B104,PRODUCT_MASTER!$A:$A,PRODUCT_MASTER!$D:$D,2,0)</f>
        <v>Kg</v>
      </c>
      <c r="F104">
        <f>_xlfn.XLOOKUP(B104,PRODUCT_MASTER!$A:$A,PRODUCT_MASTER!$E:$E,2,0)</f>
        <v>83</v>
      </c>
      <c r="G104">
        <f>_xlfn.XLOOKUP(B104,PRODUCT_MASTER!$A:$A,PRODUCT_MASTER!$F:$F,2,0)</f>
        <v>94.62</v>
      </c>
      <c r="H104">
        <v>15</v>
      </c>
      <c r="I104" t="s">
        <v>103</v>
      </c>
      <c r="J104" t="s">
        <v>101</v>
      </c>
      <c r="K104">
        <v>0</v>
      </c>
      <c r="L104" s="15">
        <f t="shared" si="7"/>
        <v>1245</v>
      </c>
      <c r="M104" s="15">
        <f t="shared" si="8"/>
        <v>1419.3000000000002</v>
      </c>
      <c r="N104" s="15">
        <f t="shared" si="9"/>
        <v>174.30000000000018</v>
      </c>
      <c r="O104" s="10">
        <f t="shared" si="10"/>
        <v>0.14000000000000015</v>
      </c>
      <c r="P104" t="str">
        <f t="shared" si="11"/>
        <v>06</v>
      </c>
      <c r="Q104" t="str">
        <f t="shared" si="12"/>
        <v>May</v>
      </c>
      <c r="R104" t="str">
        <f t="shared" si="13"/>
        <v>2021</v>
      </c>
    </row>
    <row r="105" spans="1:18" x14ac:dyDescent="0.2">
      <c r="A105" s="1">
        <v>44322</v>
      </c>
      <c r="B105" t="s">
        <v>23</v>
      </c>
      <c r="C105" t="str">
        <f>_xlfn.XLOOKUP(B105,PRODUCT_MASTER!$A:$A,PRODUCT_MASTER!$B:$B,2,0)</f>
        <v>Product09</v>
      </c>
      <c r="D105" t="str">
        <f>_xlfn.XLOOKUP(B105,PRODUCT_MASTER!$A:$A,PRODUCT_MASTER!$C:$C,2,0)</f>
        <v>Gourmet Foods</v>
      </c>
      <c r="E105" t="str">
        <f>_xlfn.XLOOKUP(B105,PRODUCT_MASTER!$A:$A,PRODUCT_MASTER!$D:$D,2,0)</f>
        <v>No.</v>
      </c>
      <c r="F105">
        <f>_xlfn.XLOOKUP(B105,PRODUCT_MASTER!$A:$A,PRODUCT_MASTER!$E:$E,2,0)</f>
        <v>6</v>
      </c>
      <c r="G105">
        <f>_xlfn.XLOOKUP(B105,PRODUCT_MASTER!$A:$A,PRODUCT_MASTER!$F:$F,2,0)</f>
        <v>7.8599999999999994</v>
      </c>
      <c r="H105">
        <v>6</v>
      </c>
      <c r="I105" t="s">
        <v>101</v>
      </c>
      <c r="J105" t="s">
        <v>101</v>
      </c>
      <c r="K105">
        <v>0</v>
      </c>
      <c r="L105" s="15">
        <f t="shared" si="7"/>
        <v>36</v>
      </c>
      <c r="M105" s="15">
        <f t="shared" si="8"/>
        <v>47.16</v>
      </c>
      <c r="N105" s="15">
        <f t="shared" si="9"/>
        <v>11.159999999999997</v>
      </c>
      <c r="O105" s="10">
        <f t="shared" si="10"/>
        <v>0.30999999999999989</v>
      </c>
      <c r="P105" t="str">
        <f t="shared" si="11"/>
        <v>06</v>
      </c>
      <c r="Q105" t="str">
        <f t="shared" si="12"/>
        <v>May</v>
      </c>
      <c r="R105" t="str">
        <f t="shared" si="13"/>
        <v>2021</v>
      </c>
    </row>
    <row r="106" spans="1:18" x14ac:dyDescent="0.2">
      <c r="A106" s="1">
        <v>44323</v>
      </c>
      <c r="B106" t="s">
        <v>41</v>
      </c>
      <c r="C106" t="str">
        <f>_xlfn.XLOOKUP(B106,PRODUCT_MASTER!$A:$A,PRODUCT_MASTER!$B:$B,2,0)</f>
        <v>Product18</v>
      </c>
      <c r="D106" t="str">
        <f>_xlfn.XLOOKUP(B106,PRODUCT_MASTER!$A:$A,PRODUCT_MASTER!$C:$C,2,0)</f>
        <v>Poultry</v>
      </c>
      <c r="E106" t="str">
        <f>_xlfn.XLOOKUP(B106,PRODUCT_MASTER!$A:$A,PRODUCT_MASTER!$D:$D,2,0)</f>
        <v>No.</v>
      </c>
      <c r="F106">
        <f>_xlfn.XLOOKUP(B106,PRODUCT_MASTER!$A:$A,PRODUCT_MASTER!$E:$E,2,0)</f>
        <v>37</v>
      </c>
      <c r="G106">
        <f>_xlfn.XLOOKUP(B106,PRODUCT_MASTER!$A:$A,PRODUCT_MASTER!$F:$F,2,0)</f>
        <v>49.21</v>
      </c>
      <c r="H106">
        <v>1</v>
      </c>
      <c r="I106" t="s">
        <v>103</v>
      </c>
      <c r="J106" t="s">
        <v>102</v>
      </c>
      <c r="K106">
        <v>0</v>
      </c>
      <c r="L106" s="15">
        <f t="shared" si="7"/>
        <v>37</v>
      </c>
      <c r="M106" s="15">
        <f t="shared" si="8"/>
        <v>49.21</v>
      </c>
      <c r="N106" s="15">
        <f t="shared" si="9"/>
        <v>12.21</v>
      </c>
      <c r="O106" s="10">
        <f t="shared" si="10"/>
        <v>0.33</v>
      </c>
      <c r="P106" t="str">
        <f t="shared" si="11"/>
        <v>07</v>
      </c>
      <c r="Q106" t="str">
        <f t="shared" si="12"/>
        <v>May</v>
      </c>
      <c r="R106" t="str">
        <f t="shared" si="13"/>
        <v>2021</v>
      </c>
    </row>
    <row r="107" spans="1:18" x14ac:dyDescent="0.2">
      <c r="A107" s="1">
        <v>44325</v>
      </c>
      <c r="B107" t="s">
        <v>37</v>
      </c>
      <c r="C107" t="str">
        <f>_xlfn.XLOOKUP(B107,PRODUCT_MASTER!$A:$A,PRODUCT_MASTER!$B:$B,2,0)</f>
        <v>Product16</v>
      </c>
      <c r="D107" t="str">
        <f>_xlfn.XLOOKUP(B107,PRODUCT_MASTER!$A:$A,PRODUCT_MASTER!$C:$C,2,0)</f>
        <v>Meat</v>
      </c>
      <c r="E107" t="str">
        <f>_xlfn.XLOOKUP(B107,PRODUCT_MASTER!$A:$A,PRODUCT_MASTER!$D:$D,2,0)</f>
        <v>No.</v>
      </c>
      <c r="F107">
        <f>_xlfn.XLOOKUP(B107,PRODUCT_MASTER!$A:$A,PRODUCT_MASTER!$E:$E,2,0)</f>
        <v>13</v>
      </c>
      <c r="G107">
        <f>_xlfn.XLOOKUP(B107,PRODUCT_MASTER!$A:$A,PRODUCT_MASTER!$F:$F,2,0)</f>
        <v>16.64</v>
      </c>
      <c r="H107">
        <v>6</v>
      </c>
      <c r="I107" t="s">
        <v>101</v>
      </c>
      <c r="J107" t="s">
        <v>101</v>
      </c>
      <c r="K107">
        <v>0</v>
      </c>
      <c r="L107" s="15">
        <f t="shared" si="7"/>
        <v>78</v>
      </c>
      <c r="M107" s="15">
        <f t="shared" si="8"/>
        <v>99.84</v>
      </c>
      <c r="N107" s="15">
        <f t="shared" si="9"/>
        <v>21.840000000000003</v>
      </c>
      <c r="O107" s="10">
        <f t="shared" si="10"/>
        <v>0.28000000000000003</v>
      </c>
      <c r="P107" t="str">
        <f t="shared" si="11"/>
        <v>09</v>
      </c>
      <c r="Q107" t="str">
        <f t="shared" si="12"/>
        <v>May</v>
      </c>
      <c r="R107" t="str">
        <f t="shared" si="13"/>
        <v>2021</v>
      </c>
    </row>
    <row r="108" spans="1:18" x14ac:dyDescent="0.2">
      <c r="A108" s="1">
        <v>44325</v>
      </c>
      <c r="B108" t="s">
        <v>61</v>
      </c>
      <c r="C108" t="str">
        <f>_xlfn.XLOOKUP(B108,PRODUCT_MASTER!$A:$A,PRODUCT_MASTER!$B:$B,2,0)</f>
        <v>Product28</v>
      </c>
      <c r="D108" t="str">
        <f>_xlfn.XLOOKUP(B108,PRODUCT_MASTER!$A:$A,PRODUCT_MASTER!$C:$C,2,0)</f>
        <v>Cheese And Dairy</v>
      </c>
      <c r="E108" t="str">
        <f>_xlfn.XLOOKUP(B108,PRODUCT_MASTER!$A:$A,PRODUCT_MASTER!$D:$D,2,0)</f>
        <v>No.</v>
      </c>
      <c r="F108">
        <f>_xlfn.XLOOKUP(B108,PRODUCT_MASTER!$A:$A,PRODUCT_MASTER!$E:$E,2,0)</f>
        <v>37</v>
      </c>
      <c r="G108">
        <f>_xlfn.XLOOKUP(B108,PRODUCT_MASTER!$A:$A,PRODUCT_MASTER!$F:$F,2,0)</f>
        <v>41.81</v>
      </c>
      <c r="H108">
        <v>8</v>
      </c>
      <c r="I108" t="s">
        <v>103</v>
      </c>
      <c r="J108" t="s">
        <v>102</v>
      </c>
      <c r="K108">
        <v>0</v>
      </c>
      <c r="L108" s="15">
        <f t="shared" si="7"/>
        <v>296</v>
      </c>
      <c r="M108" s="15">
        <f t="shared" si="8"/>
        <v>334.48</v>
      </c>
      <c r="N108" s="15">
        <f t="shared" si="9"/>
        <v>38.480000000000018</v>
      </c>
      <c r="O108" s="10">
        <f t="shared" si="10"/>
        <v>0.13000000000000006</v>
      </c>
      <c r="P108" t="str">
        <f t="shared" si="11"/>
        <v>09</v>
      </c>
      <c r="Q108" t="str">
        <f t="shared" si="12"/>
        <v>May</v>
      </c>
      <c r="R108" t="str">
        <f t="shared" si="13"/>
        <v>2021</v>
      </c>
    </row>
    <row r="109" spans="1:18" x14ac:dyDescent="0.2">
      <c r="A109" s="1">
        <v>44328</v>
      </c>
      <c r="B109" t="s">
        <v>37</v>
      </c>
      <c r="C109" t="str">
        <f>_xlfn.XLOOKUP(B109,PRODUCT_MASTER!$A:$A,PRODUCT_MASTER!$B:$B,2,0)</f>
        <v>Product16</v>
      </c>
      <c r="D109" t="str">
        <f>_xlfn.XLOOKUP(B109,PRODUCT_MASTER!$A:$A,PRODUCT_MASTER!$C:$C,2,0)</f>
        <v>Meat</v>
      </c>
      <c r="E109" t="str">
        <f>_xlfn.XLOOKUP(B109,PRODUCT_MASTER!$A:$A,PRODUCT_MASTER!$D:$D,2,0)</f>
        <v>No.</v>
      </c>
      <c r="F109">
        <f>_xlfn.XLOOKUP(B109,PRODUCT_MASTER!$A:$A,PRODUCT_MASTER!$E:$E,2,0)</f>
        <v>13</v>
      </c>
      <c r="G109">
        <f>_xlfn.XLOOKUP(B109,PRODUCT_MASTER!$A:$A,PRODUCT_MASTER!$F:$F,2,0)</f>
        <v>16.64</v>
      </c>
      <c r="H109">
        <v>3</v>
      </c>
      <c r="I109" t="s">
        <v>103</v>
      </c>
      <c r="J109" t="s">
        <v>101</v>
      </c>
      <c r="K109">
        <v>0</v>
      </c>
      <c r="L109" s="15">
        <f t="shared" si="7"/>
        <v>39</v>
      </c>
      <c r="M109" s="15">
        <f t="shared" si="8"/>
        <v>49.92</v>
      </c>
      <c r="N109" s="15">
        <f t="shared" si="9"/>
        <v>10.920000000000002</v>
      </c>
      <c r="O109" s="10">
        <f t="shared" si="10"/>
        <v>0.28000000000000003</v>
      </c>
      <c r="P109" t="str">
        <f t="shared" si="11"/>
        <v>12</v>
      </c>
      <c r="Q109" t="str">
        <f t="shared" si="12"/>
        <v>May</v>
      </c>
      <c r="R109" t="str">
        <f t="shared" si="13"/>
        <v>2021</v>
      </c>
    </row>
    <row r="110" spans="1:18" x14ac:dyDescent="0.2">
      <c r="A110" s="1">
        <v>44328</v>
      </c>
      <c r="B110" t="s">
        <v>75</v>
      </c>
      <c r="C110" t="str">
        <f>_xlfn.XLOOKUP(B110,PRODUCT_MASTER!$A:$A,PRODUCT_MASTER!$B:$B,2,0)</f>
        <v>Product35</v>
      </c>
      <c r="D110" t="str">
        <f>_xlfn.XLOOKUP(B110,PRODUCT_MASTER!$A:$A,PRODUCT_MASTER!$C:$C,2,0)</f>
        <v>Bakery And Desserts</v>
      </c>
      <c r="E110" t="str">
        <f>_xlfn.XLOOKUP(B110,PRODUCT_MASTER!$A:$A,PRODUCT_MASTER!$D:$D,2,0)</f>
        <v>No.</v>
      </c>
      <c r="F110">
        <f>_xlfn.XLOOKUP(B110,PRODUCT_MASTER!$A:$A,PRODUCT_MASTER!$E:$E,2,0)</f>
        <v>5</v>
      </c>
      <c r="G110">
        <f>_xlfn.XLOOKUP(B110,PRODUCT_MASTER!$A:$A,PRODUCT_MASTER!$F:$F,2,0)</f>
        <v>6.7</v>
      </c>
      <c r="H110">
        <v>15</v>
      </c>
      <c r="I110" t="s">
        <v>103</v>
      </c>
      <c r="J110" t="s">
        <v>101</v>
      </c>
      <c r="K110">
        <v>0</v>
      </c>
      <c r="L110" s="15">
        <f t="shared" si="7"/>
        <v>75</v>
      </c>
      <c r="M110" s="15">
        <f t="shared" si="8"/>
        <v>100.5</v>
      </c>
      <c r="N110" s="15">
        <f t="shared" si="9"/>
        <v>25.5</v>
      </c>
      <c r="O110" s="10">
        <f t="shared" si="10"/>
        <v>0.34</v>
      </c>
      <c r="P110" t="str">
        <f t="shared" si="11"/>
        <v>12</v>
      </c>
      <c r="Q110" t="str">
        <f t="shared" si="12"/>
        <v>May</v>
      </c>
      <c r="R110" t="str">
        <f t="shared" si="13"/>
        <v>2021</v>
      </c>
    </row>
    <row r="111" spans="1:18" x14ac:dyDescent="0.2">
      <c r="A111" s="1">
        <v>44329</v>
      </c>
      <c r="B111" t="s">
        <v>63</v>
      </c>
      <c r="C111" t="str">
        <f>_xlfn.XLOOKUP(B111,PRODUCT_MASTER!$A:$A,PRODUCT_MASTER!$B:$B,2,0)</f>
        <v>Product29</v>
      </c>
      <c r="D111" t="str">
        <f>_xlfn.XLOOKUP(B111,PRODUCT_MASTER!$A:$A,PRODUCT_MASTER!$C:$C,2,0)</f>
        <v>Cheese And Dairy</v>
      </c>
      <c r="E111" t="str">
        <f>_xlfn.XLOOKUP(B111,PRODUCT_MASTER!$A:$A,PRODUCT_MASTER!$D:$D,2,0)</f>
        <v>Lt</v>
      </c>
      <c r="F111">
        <f>_xlfn.XLOOKUP(B111,PRODUCT_MASTER!$A:$A,PRODUCT_MASTER!$E:$E,2,0)</f>
        <v>47</v>
      </c>
      <c r="G111">
        <f>_xlfn.XLOOKUP(B111,PRODUCT_MASTER!$A:$A,PRODUCT_MASTER!$F:$F,2,0)</f>
        <v>53.11</v>
      </c>
      <c r="H111">
        <v>4</v>
      </c>
      <c r="I111" t="s">
        <v>103</v>
      </c>
      <c r="J111" t="s">
        <v>101</v>
      </c>
      <c r="K111">
        <v>0</v>
      </c>
      <c r="L111" s="15">
        <f t="shared" si="7"/>
        <v>188</v>
      </c>
      <c r="M111" s="15">
        <f t="shared" si="8"/>
        <v>212.44</v>
      </c>
      <c r="N111" s="15">
        <f t="shared" si="9"/>
        <v>24.439999999999998</v>
      </c>
      <c r="O111" s="10">
        <f t="shared" si="10"/>
        <v>0.12999999999999998</v>
      </c>
      <c r="P111" t="str">
        <f t="shared" si="11"/>
        <v>13</v>
      </c>
      <c r="Q111" t="str">
        <f t="shared" si="12"/>
        <v>May</v>
      </c>
      <c r="R111" t="str">
        <f t="shared" si="13"/>
        <v>2021</v>
      </c>
    </row>
    <row r="112" spans="1:18" x14ac:dyDescent="0.2">
      <c r="A112" s="1">
        <v>44336</v>
      </c>
      <c r="B112" t="s">
        <v>89</v>
      </c>
      <c r="C112" t="str">
        <f>_xlfn.XLOOKUP(B112,PRODUCT_MASTER!$A:$A,PRODUCT_MASTER!$B:$B,2,0)</f>
        <v>Product42</v>
      </c>
      <c r="D112" t="str">
        <f>_xlfn.XLOOKUP(B112,PRODUCT_MASTER!$A:$A,PRODUCT_MASTER!$C:$C,2,0)</f>
        <v>Candy</v>
      </c>
      <c r="E112" t="str">
        <f>_xlfn.XLOOKUP(B112,PRODUCT_MASTER!$A:$A,PRODUCT_MASTER!$D:$D,2,0)</f>
        <v>Ft</v>
      </c>
      <c r="F112">
        <f>_xlfn.XLOOKUP(B112,PRODUCT_MASTER!$A:$A,PRODUCT_MASTER!$E:$E,2,0)</f>
        <v>120</v>
      </c>
      <c r="G112">
        <f>_xlfn.XLOOKUP(B112,PRODUCT_MASTER!$A:$A,PRODUCT_MASTER!$F:$F,2,0)</f>
        <v>162</v>
      </c>
      <c r="H112">
        <v>2</v>
      </c>
      <c r="I112" t="s">
        <v>101</v>
      </c>
      <c r="J112" t="s">
        <v>102</v>
      </c>
      <c r="K112">
        <v>0</v>
      </c>
      <c r="L112" s="15">
        <f t="shared" si="7"/>
        <v>240</v>
      </c>
      <c r="M112" s="15">
        <f t="shared" si="8"/>
        <v>324</v>
      </c>
      <c r="N112" s="15">
        <f t="shared" si="9"/>
        <v>84</v>
      </c>
      <c r="O112" s="10">
        <f t="shared" si="10"/>
        <v>0.35</v>
      </c>
      <c r="P112" t="str">
        <f t="shared" si="11"/>
        <v>20</v>
      </c>
      <c r="Q112" t="str">
        <f t="shared" si="12"/>
        <v>May</v>
      </c>
      <c r="R112" t="str">
        <f t="shared" si="13"/>
        <v>2021</v>
      </c>
    </row>
    <row r="113" spans="1:18" x14ac:dyDescent="0.2">
      <c r="A113" s="1">
        <v>44339</v>
      </c>
      <c r="B113" t="s">
        <v>85</v>
      </c>
      <c r="C113" t="str">
        <f>_xlfn.XLOOKUP(B113,PRODUCT_MASTER!$A:$A,PRODUCT_MASTER!$B:$B,2,0)</f>
        <v>Product40</v>
      </c>
      <c r="D113" t="str">
        <f>_xlfn.XLOOKUP(B113,PRODUCT_MASTER!$A:$A,PRODUCT_MASTER!$C:$C,2,0)</f>
        <v>Snacks</v>
      </c>
      <c r="E113" t="str">
        <f>_xlfn.XLOOKUP(B113,PRODUCT_MASTER!$A:$A,PRODUCT_MASTER!$D:$D,2,0)</f>
        <v>Kg</v>
      </c>
      <c r="F113">
        <f>_xlfn.XLOOKUP(B113,PRODUCT_MASTER!$A:$A,PRODUCT_MASTER!$E:$E,2,0)</f>
        <v>90</v>
      </c>
      <c r="G113">
        <f>_xlfn.XLOOKUP(B113,PRODUCT_MASTER!$A:$A,PRODUCT_MASTER!$F:$F,2,0)</f>
        <v>115.2</v>
      </c>
      <c r="H113">
        <v>11</v>
      </c>
      <c r="I113" t="s">
        <v>103</v>
      </c>
      <c r="J113" t="s">
        <v>101</v>
      </c>
      <c r="K113">
        <v>0</v>
      </c>
      <c r="L113" s="15">
        <f t="shared" si="7"/>
        <v>990</v>
      </c>
      <c r="M113" s="15">
        <f t="shared" si="8"/>
        <v>1267.2</v>
      </c>
      <c r="N113" s="15">
        <f t="shared" si="9"/>
        <v>277.20000000000005</v>
      </c>
      <c r="O113" s="10">
        <f t="shared" si="10"/>
        <v>0.28000000000000003</v>
      </c>
      <c r="P113" t="str">
        <f t="shared" si="11"/>
        <v>23</v>
      </c>
      <c r="Q113" t="str">
        <f t="shared" si="12"/>
        <v>May</v>
      </c>
      <c r="R113" t="str">
        <f t="shared" si="13"/>
        <v>2021</v>
      </c>
    </row>
    <row r="114" spans="1:18" x14ac:dyDescent="0.2">
      <c r="A114" s="1">
        <v>44346</v>
      </c>
      <c r="B114" t="s">
        <v>51</v>
      </c>
      <c r="C114" t="str">
        <f>_xlfn.XLOOKUP(B114,PRODUCT_MASTER!$A:$A,PRODUCT_MASTER!$B:$B,2,0)</f>
        <v>Product23</v>
      </c>
      <c r="D114" t="str">
        <f>_xlfn.XLOOKUP(B114,PRODUCT_MASTER!$A:$A,PRODUCT_MASTER!$C:$C,2,0)</f>
        <v>Seafood</v>
      </c>
      <c r="E114" t="str">
        <f>_xlfn.XLOOKUP(B114,PRODUCT_MASTER!$A:$A,PRODUCT_MASTER!$D:$D,2,0)</f>
        <v>Ft</v>
      </c>
      <c r="F114">
        <f>_xlfn.XLOOKUP(B114,PRODUCT_MASTER!$A:$A,PRODUCT_MASTER!$E:$E,2,0)</f>
        <v>141</v>
      </c>
      <c r="G114">
        <f>_xlfn.XLOOKUP(B114,PRODUCT_MASTER!$A:$A,PRODUCT_MASTER!$F:$F,2,0)</f>
        <v>149.46</v>
      </c>
      <c r="H114">
        <v>13</v>
      </c>
      <c r="I114" t="s">
        <v>101</v>
      </c>
      <c r="J114" t="s">
        <v>101</v>
      </c>
      <c r="K114">
        <v>0</v>
      </c>
      <c r="L114" s="15">
        <f t="shared" si="7"/>
        <v>1833</v>
      </c>
      <c r="M114" s="15">
        <f t="shared" si="8"/>
        <v>1942.98</v>
      </c>
      <c r="N114" s="15">
        <f t="shared" si="9"/>
        <v>109.98000000000002</v>
      </c>
      <c r="O114" s="10">
        <f t="shared" si="10"/>
        <v>6.0000000000000012E-2</v>
      </c>
      <c r="P114" t="str">
        <f t="shared" si="11"/>
        <v>30</v>
      </c>
      <c r="Q114" t="str">
        <f t="shared" si="12"/>
        <v>May</v>
      </c>
      <c r="R114" t="str">
        <f t="shared" si="13"/>
        <v>2021</v>
      </c>
    </row>
    <row r="115" spans="1:18" x14ac:dyDescent="0.2">
      <c r="A115" s="1">
        <v>44346</v>
      </c>
      <c r="B115" t="s">
        <v>31</v>
      </c>
      <c r="C115" t="str">
        <f>_xlfn.XLOOKUP(B115,PRODUCT_MASTER!$A:$A,PRODUCT_MASTER!$B:$B,2,0)</f>
        <v>Product13</v>
      </c>
      <c r="D115" t="str">
        <f>_xlfn.XLOOKUP(B115,PRODUCT_MASTER!$A:$A,PRODUCT_MASTER!$C:$C,2,0)</f>
        <v>Meat</v>
      </c>
      <c r="E115" t="str">
        <f>_xlfn.XLOOKUP(B115,PRODUCT_MASTER!$A:$A,PRODUCT_MASTER!$D:$D,2,0)</f>
        <v>Kg</v>
      </c>
      <c r="F115">
        <f>_xlfn.XLOOKUP(B115,PRODUCT_MASTER!$A:$A,PRODUCT_MASTER!$E:$E,2,0)</f>
        <v>112</v>
      </c>
      <c r="G115">
        <f>_xlfn.XLOOKUP(B115,PRODUCT_MASTER!$A:$A,PRODUCT_MASTER!$F:$F,2,0)</f>
        <v>122.08</v>
      </c>
      <c r="H115">
        <v>6</v>
      </c>
      <c r="I115" t="s">
        <v>101</v>
      </c>
      <c r="J115" t="s">
        <v>102</v>
      </c>
      <c r="K115">
        <v>0</v>
      </c>
      <c r="L115" s="15">
        <f t="shared" si="7"/>
        <v>672</v>
      </c>
      <c r="M115" s="15">
        <f t="shared" si="8"/>
        <v>732.48</v>
      </c>
      <c r="N115" s="15">
        <f t="shared" si="9"/>
        <v>60.480000000000018</v>
      </c>
      <c r="O115" s="10">
        <f t="shared" si="10"/>
        <v>9.0000000000000024E-2</v>
      </c>
      <c r="P115" t="str">
        <f t="shared" si="11"/>
        <v>30</v>
      </c>
      <c r="Q115" t="str">
        <f t="shared" si="12"/>
        <v>May</v>
      </c>
      <c r="R115" t="str">
        <f t="shared" si="13"/>
        <v>2021</v>
      </c>
    </row>
    <row r="116" spans="1:18" x14ac:dyDescent="0.2">
      <c r="A116" s="1">
        <v>44350</v>
      </c>
      <c r="B116" t="s">
        <v>47</v>
      </c>
      <c r="C116" t="str">
        <f>_xlfn.XLOOKUP(B116,PRODUCT_MASTER!$A:$A,PRODUCT_MASTER!$B:$B,2,0)</f>
        <v>Product21</v>
      </c>
      <c r="D116" t="str">
        <f>_xlfn.XLOOKUP(B116,PRODUCT_MASTER!$A:$A,PRODUCT_MASTER!$C:$C,2,0)</f>
        <v>Poultry</v>
      </c>
      <c r="E116" t="str">
        <f>_xlfn.XLOOKUP(B116,PRODUCT_MASTER!$A:$A,PRODUCT_MASTER!$D:$D,2,0)</f>
        <v>Ft</v>
      </c>
      <c r="F116">
        <f>_xlfn.XLOOKUP(B116,PRODUCT_MASTER!$A:$A,PRODUCT_MASTER!$E:$E,2,0)</f>
        <v>126</v>
      </c>
      <c r="G116">
        <f>_xlfn.XLOOKUP(B116,PRODUCT_MASTER!$A:$A,PRODUCT_MASTER!$F:$F,2,0)</f>
        <v>162.54</v>
      </c>
      <c r="H116">
        <v>10</v>
      </c>
      <c r="I116" t="s">
        <v>103</v>
      </c>
      <c r="J116" t="s">
        <v>102</v>
      </c>
      <c r="K116">
        <v>0</v>
      </c>
      <c r="L116" s="15">
        <f t="shared" si="7"/>
        <v>1260</v>
      </c>
      <c r="M116" s="15">
        <f t="shared" si="8"/>
        <v>1625.3999999999999</v>
      </c>
      <c r="N116" s="15">
        <f t="shared" si="9"/>
        <v>365.39999999999986</v>
      </c>
      <c r="O116" s="10">
        <f t="shared" si="10"/>
        <v>0.28999999999999987</v>
      </c>
      <c r="P116" t="str">
        <f t="shared" si="11"/>
        <v>03</v>
      </c>
      <c r="Q116" t="str">
        <f t="shared" si="12"/>
        <v>Jun</v>
      </c>
      <c r="R116" t="str">
        <f t="shared" si="13"/>
        <v>2021</v>
      </c>
    </row>
    <row r="117" spans="1:18" x14ac:dyDescent="0.2">
      <c r="A117" s="1">
        <v>44351</v>
      </c>
      <c r="B117" t="s">
        <v>45</v>
      </c>
      <c r="C117" t="str">
        <f>_xlfn.XLOOKUP(B117,PRODUCT_MASTER!$A:$A,PRODUCT_MASTER!$B:$B,2,0)</f>
        <v>Product20</v>
      </c>
      <c r="D117" t="str">
        <f>_xlfn.XLOOKUP(B117,PRODUCT_MASTER!$A:$A,PRODUCT_MASTER!$C:$C,2,0)</f>
        <v>Poultry</v>
      </c>
      <c r="E117" t="str">
        <f>_xlfn.XLOOKUP(B117,PRODUCT_MASTER!$A:$A,PRODUCT_MASTER!$D:$D,2,0)</f>
        <v>Lt</v>
      </c>
      <c r="F117">
        <f>_xlfn.XLOOKUP(B117,PRODUCT_MASTER!$A:$A,PRODUCT_MASTER!$E:$E,2,0)</f>
        <v>61</v>
      </c>
      <c r="G117">
        <f>_xlfn.XLOOKUP(B117,PRODUCT_MASTER!$A:$A,PRODUCT_MASTER!$F:$F,2,0)</f>
        <v>76.25</v>
      </c>
      <c r="H117">
        <v>8</v>
      </c>
      <c r="I117" t="s">
        <v>100</v>
      </c>
      <c r="J117" t="s">
        <v>101</v>
      </c>
      <c r="K117">
        <v>0</v>
      </c>
      <c r="L117" s="15">
        <f t="shared" si="7"/>
        <v>488</v>
      </c>
      <c r="M117" s="15">
        <f t="shared" si="8"/>
        <v>610</v>
      </c>
      <c r="N117" s="15">
        <f t="shared" si="9"/>
        <v>122</v>
      </c>
      <c r="O117" s="10">
        <f t="shared" si="10"/>
        <v>0.25</v>
      </c>
      <c r="P117" t="str">
        <f t="shared" si="11"/>
        <v>04</v>
      </c>
      <c r="Q117" t="str">
        <f t="shared" si="12"/>
        <v>Jun</v>
      </c>
      <c r="R117" t="str">
        <f t="shared" si="13"/>
        <v>2021</v>
      </c>
    </row>
    <row r="118" spans="1:18" x14ac:dyDescent="0.2">
      <c r="A118" s="1">
        <v>44351</v>
      </c>
      <c r="B118" t="s">
        <v>45</v>
      </c>
      <c r="C118" t="str">
        <f>_xlfn.XLOOKUP(B118,PRODUCT_MASTER!$A:$A,PRODUCT_MASTER!$B:$B,2,0)</f>
        <v>Product20</v>
      </c>
      <c r="D118" t="str">
        <f>_xlfn.XLOOKUP(B118,PRODUCT_MASTER!$A:$A,PRODUCT_MASTER!$C:$C,2,0)</f>
        <v>Poultry</v>
      </c>
      <c r="E118" t="str">
        <f>_xlfn.XLOOKUP(B118,PRODUCT_MASTER!$A:$A,PRODUCT_MASTER!$D:$D,2,0)</f>
        <v>Lt</v>
      </c>
      <c r="F118">
        <f>_xlfn.XLOOKUP(B118,PRODUCT_MASTER!$A:$A,PRODUCT_MASTER!$E:$E,2,0)</f>
        <v>61</v>
      </c>
      <c r="G118">
        <f>_xlfn.XLOOKUP(B118,PRODUCT_MASTER!$A:$A,PRODUCT_MASTER!$F:$F,2,0)</f>
        <v>76.25</v>
      </c>
      <c r="H118">
        <v>12</v>
      </c>
      <c r="I118" t="s">
        <v>101</v>
      </c>
      <c r="J118" t="s">
        <v>102</v>
      </c>
      <c r="K118">
        <v>0</v>
      </c>
      <c r="L118" s="15">
        <f t="shared" si="7"/>
        <v>732</v>
      </c>
      <c r="M118" s="15">
        <f t="shared" si="8"/>
        <v>915</v>
      </c>
      <c r="N118" s="15">
        <f t="shared" si="9"/>
        <v>183</v>
      </c>
      <c r="O118" s="10">
        <f t="shared" si="10"/>
        <v>0.25</v>
      </c>
      <c r="P118" t="str">
        <f t="shared" si="11"/>
        <v>04</v>
      </c>
      <c r="Q118" t="str">
        <f t="shared" si="12"/>
        <v>Jun</v>
      </c>
      <c r="R118" t="str">
        <f t="shared" si="13"/>
        <v>2021</v>
      </c>
    </row>
    <row r="119" spans="1:18" x14ac:dyDescent="0.2">
      <c r="A119" s="1">
        <v>44352</v>
      </c>
      <c r="B119" t="s">
        <v>49</v>
      </c>
      <c r="C119" t="str">
        <f>_xlfn.XLOOKUP(B119,PRODUCT_MASTER!$A:$A,PRODUCT_MASTER!$B:$B,2,0)</f>
        <v>Product22</v>
      </c>
      <c r="D119" t="str">
        <f>_xlfn.XLOOKUP(B119,PRODUCT_MASTER!$A:$A,PRODUCT_MASTER!$C:$C,2,0)</f>
        <v>Seafood</v>
      </c>
      <c r="E119" t="str">
        <f>_xlfn.XLOOKUP(B119,PRODUCT_MASTER!$A:$A,PRODUCT_MASTER!$D:$D,2,0)</f>
        <v>Ft</v>
      </c>
      <c r="F119">
        <f>_xlfn.XLOOKUP(B119,PRODUCT_MASTER!$A:$A,PRODUCT_MASTER!$E:$E,2,0)</f>
        <v>121</v>
      </c>
      <c r="G119">
        <f>_xlfn.XLOOKUP(B119,PRODUCT_MASTER!$A:$A,PRODUCT_MASTER!$F:$F,2,0)</f>
        <v>141.57</v>
      </c>
      <c r="H119">
        <v>15</v>
      </c>
      <c r="I119" t="s">
        <v>100</v>
      </c>
      <c r="J119" t="s">
        <v>101</v>
      </c>
      <c r="K119">
        <v>0</v>
      </c>
      <c r="L119" s="15">
        <f t="shared" si="7"/>
        <v>1815</v>
      </c>
      <c r="M119" s="15">
        <f t="shared" si="8"/>
        <v>2123.5499999999997</v>
      </c>
      <c r="N119" s="15">
        <f t="shared" si="9"/>
        <v>308.54999999999973</v>
      </c>
      <c r="O119" s="10">
        <f t="shared" si="10"/>
        <v>0.16999999999999985</v>
      </c>
      <c r="P119" t="str">
        <f t="shared" si="11"/>
        <v>05</v>
      </c>
      <c r="Q119" t="str">
        <f t="shared" si="12"/>
        <v>Jun</v>
      </c>
      <c r="R119" t="str">
        <f t="shared" si="13"/>
        <v>2021</v>
      </c>
    </row>
    <row r="120" spans="1:18" x14ac:dyDescent="0.2">
      <c r="A120" s="1">
        <v>44352</v>
      </c>
      <c r="B120" t="s">
        <v>75</v>
      </c>
      <c r="C120" t="str">
        <f>_xlfn.XLOOKUP(B120,PRODUCT_MASTER!$A:$A,PRODUCT_MASTER!$B:$B,2,0)</f>
        <v>Product35</v>
      </c>
      <c r="D120" t="str">
        <f>_xlfn.XLOOKUP(B120,PRODUCT_MASTER!$A:$A,PRODUCT_MASTER!$C:$C,2,0)</f>
        <v>Bakery And Desserts</v>
      </c>
      <c r="E120" t="str">
        <f>_xlfn.XLOOKUP(B120,PRODUCT_MASTER!$A:$A,PRODUCT_MASTER!$D:$D,2,0)</f>
        <v>No.</v>
      </c>
      <c r="F120">
        <f>_xlfn.XLOOKUP(B120,PRODUCT_MASTER!$A:$A,PRODUCT_MASTER!$E:$E,2,0)</f>
        <v>5</v>
      </c>
      <c r="G120">
        <f>_xlfn.XLOOKUP(B120,PRODUCT_MASTER!$A:$A,PRODUCT_MASTER!$F:$F,2,0)</f>
        <v>6.7</v>
      </c>
      <c r="H120">
        <v>10</v>
      </c>
      <c r="I120" t="s">
        <v>103</v>
      </c>
      <c r="J120" t="s">
        <v>101</v>
      </c>
      <c r="K120">
        <v>0</v>
      </c>
      <c r="L120" s="15">
        <f t="shared" si="7"/>
        <v>50</v>
      </c>
      <c r="M120" s="15">
        <f t="shared" si="8"/>
        <v>67</v>
      </c>
      <c r="N120" s="15">
        <f t="shared" si="9"/>
        <v>17</v>
      </c>
      <c r="O120" s="10">
        <f t="shared" si="10"/>
        <v>0.34</v>
      </c>
      <c r="P120" t="str">
        <f t="shared" si="11"/>
        <v>05</v>
      </c>
      <c r="Q120" t="str">
        <f t="shared" si="12"/>
        <v>Jun</v>
      </c>
      <c r="R120" t="str">
        <f t="shared" si="13"/>
        <v>2021</v>
      </c>
    </row>
    <row r="121" spans="1:18" x14ac:dyDescent="0.2">
      <c r="A121" s="1">
        <v>44353</v>
      </c>
      <c r="B121" t="s">
        <v>71</v>
      </c>
      <c r="C121" t="str">
        <f>_xlfn.XLOOKUP(B121,PRODUCT_MASTER!$A:$A,PRODUCT_MASTER!$B:$B,2,0)</f>
        <v>Product33</v>
      </c>
      <c r="D121" t="str">
        <f>_xlfn.XLOOKUP(B121,PRODUCT_MASTER!$A:$A,PRODUCT_MASTER!$C:$C,2,0)</f>
        <v>Bakery And Desserts</v>
      </c>
      <c r="E121" t="str">
        <f>_xlfn.XLOOKUP(B121,PRODUCT_MASTER!$A:$A,PRODUCT_MASTER!$D:$D,2,0)</f>
        <v>Kg</v>
      </c>
      <c r="F121">
        <f>_xlfn.XLOOKUP(B121,PRODUCT_MASTER!$A:$A,PRODUCT_MASTER!$E:$E,2,0)</f>
        <v>95</v>
      </c>
      <c r="G121">
        <f>_xlfn.XLOOKUP(B121,PRODUCT_MASTER!$A:$A,PRODUCT_MASTER!$F:$F,2,0)</f>
        <v>119.7</v>
      </c>
      <c r="H121">
        <v>6</v>
      </c>
      <c r="I121" t="s">
        <v>103</v>
      </c>
      <c r="J121" t="s">
        <v>101</v>
      </c>
      <c r="K121">
        <v>0</v>
      </c>
      <c r="L121" s="15">
        <f t="shared" si="7"/>
        <v>570</v>
      </c>
      <c r="M121" s="15">
        <f t="shared" si="8"/>
        <v>718.2</v>
      </c>
      <c r="N121" s="15">
        <f t="shared" si="9"/>
        <v>148.20000000000005</v>
      </c>
      <c r="O121" s="10">
        <f t="shared" si="10"/>
        <v>0.26000000000000006</v>
      </c>
      <c r="P121" t="str">
        <f t="shared" si="11"/>
        <v>06</v>
      </c>
      <c r="Q121" t="str">
        <f t="shared" si="12"/>
        <v>Jun</v>
      </c>
      <c r="R121" t="str">
        <f t="shared" si="13"/>
        <v>2021</v>
      </c>
    </row>
    <row r="122" spans="1:18" x14ac:dyDescent="0.2">
      <c r="A122" s="1">
        <v>44355</v>
      </c>
      <c r="B122" t="s">
        <v>61</v>
      </c>
      <c r="C122" t="str">
        <f>_xlfn.XLOOKUP(B122,PRODUCT_MASTER!$A:$A,PRODUCT_MASTER!$B:$B,2,0)</f>
        <v>Product28</v>
      </c>
      <c r="D122" t="str">
        <f>_xlfn.XLOOKUP(B122,PRODUCT_MASTER!$A:$A,PRODUCT_MASTER!$C:$C,2,0)</f>
        <v>Cheese And Dairy</v>
      </c>
      <c r="E122" t="str">
        <f>_xlfn.XLOOKUP(B122,PRODUCT_MASTER!$A:$A,PRODUCT_MASTER!$D:$D,2,0)</f>
        <v>No.</v>
      </c>
      <c r="F122">
        <f>_xlfn.XLOOKUP(B122,PRODUCT_MASTER!$A:$A,PRODUCT_MASTER!$E:$E,2,0)</f>
        <v>37</v>
      </c>
      <c r="G122">
        <f>_xlfn.XLOOKUP(B122,PRODUCT_MASTER!$A:$A,PRODUCT_MASTER!$F:$F,2,0)</f>
        <v>41.81</v>
      </c>
      <c r="H122">
        <v>11</v>
      </c>
      <c r="I122" t="s">
        <v>103</v>
      </c>
      <c r="J122" t="s">
        <v>101</v>
      </c>
      <c r="K122">
        <v>0</v>
      </c>
      <c r="L122" s="15">
        <f t="shared" si="7"/>
        <v>407</v>
      </c>
      <c r="M122" s="15">
        <f t="shared" si="8"/>
        <v>459.91</v>
      </c>
      <c r="N122" s="15">
        <f t="shared" si="9"/>
        <v>52.910000000000025</v>
      </c>
      <c r="O122" s="10">
        <f t="shared" si="10"/>
        <v>0.13000000000000006</v>
      </c>
      <c r="P122" t="str">
        <f t="shared" si="11"/>
        <v>08</v>
      </c>
      <c r="Q122" t="str">
        <f t="shared" si="12"/>
        <v>Jun</v>
      </c>
      <c r="R122" t="str">
        <f t="shared" si="13"/>
        <v>2021</v>
      </c>
    </row>
    <row r="123" spans="1:18" x14ac:dyDescent="0.2">
      <c r="A123" s="1">
        <v>44355</v>
      </c>
      <c r="B123" t="s">
        <v>13</v>
      </c>
      <c r="C123" t="str">
        <f>_xlfn.XLOOKUP(B123,PRODUCT_MASTER!$A:$A,PRODUCT_MASTER!$B:$B,2,0)</f>
        <v>Product04</v>
      </c>
      <c r="D123" t="str">
        <f>_xlfn.XLOOKUP(B123,PRODUCT_MASTER!$A:$A,PRODUCT_MASTER!$C:$C,2,0)</f>
        <v>Organic</v>
      </c>
      <c r="E123" t="str">
        <f>_xlfn.XLOOKUP(B123,PRODUCT_MASTER!$A:$A,PRODUCT_MASTER!$D:$D,2,0)</f>
        <v>Lt</v>
      </c>
      <c r="F123">
        <f>_xlfn.XLOOKUP(B123,PRODUCT_MASTER!$A:$A,PRODUCT_MASTER!$E:$E,2,0)</f>
        <v>44</v>
      </c>
      <c r="G123">
        <f>_xlfn.XLOOKUP(B123,PRODUCT_MASTER!$A:$A,PRODUCT_MASTER!$F:$F,2,0)</f>
        <v>48.84</v>
      </c>
      <c r="H123">
        <v>11</v>
      </c>
      <c r="I123" t="s">
        <v>100</v>
      </c>
      <c r="J123" t="s">
        <v>102</v>
      </c>
      <c r="K123">
        <v>0</v>
      </c>
      <c r="L123" s="15">
        <f t="shared" si="7"/>
        <v>484</v>
      </c>
      <c r="M123" s="15">
        <f t="shared" si="8"/>
        <v>537.24</v>
      </c>
      <c r="N123" s="15">
        <f t="shared" si="9"/>
        <v>53.240000000000009</v>
      </c>
      <c r="O123" s="10">
        <f t="shared" si="10"/>
        <v>0.11000000000000001</v>
      </c>
      <c r="P123" t="str">
        <f t="shared" si="11"/>
        <v>08</v>
      </c>
      <c r="Q123" t="str">
        <f t="shared" si="12"/>
        <v>Jun</v>
      </c>
      <c r="R123" t="str">
        <f t="shared" si="13"/>
        <v>2021</v>
      </c>
    </row>
    <row r="124" spans="1:18" x14ac:dyDescent="0.2">
      <c r="A124" s="1">
        <v>44356</v>
      </c>
      <c r="B124" t="s">
        <v>6</v>
      </c>
      <c r="C124" t="str">
        <f>_xlfn.XLOOKUP(B124,PRODUCT_MASTER!$A:$A,PRODUCT_MASTER!$B:$B,2,0)</f>
        <v>Product01</v>
      </c>
      <c r="D124" t="str">
        <f>_xlfn.XLOOKUP(B124,PRODUCT_MASTER!$A:$A,PRODUCT_MASTER!$C:$C,2,0)</f>
        <v>Organic</v>
      </c>
      <c r="E124" t="str">
        <f>_xlfn.XLOOKUP(B124,PRODUCT_MASTER!$A:$A,PRODUCT_MASTER!$D:$D,2,0)</f>
        <v>Kg</v>
      </c>
      <c r="F124">
        <f>_xlfn.XLOOKUP(B124,PRODUCT_MASTER!$A:$A,PRODUCT_MASTER!$E:$E,2,0)</f>
        <v>98</v>
      </c>
      <c r="G124">
        <f>_xlfn.XLOOKUP(B124,PRODUCT_MASTER!$A:$A,PRODUCT_MASTER!$F:$F,2,0)</f>
        <v>103.88</v>
      </c>
      <c r="H124">
        <v>7</v>
      </c>
      <c r="I124" t="s">
        <v>103</v>
      </c>
      <c r="J124" t="s">
        <v>101</v>
      </c>
      <c r="K124">
        <v>0</v>
      </c>
      <c r="L124" s="15">
        <f t="shared" si="7"/>
        <v>686</v>
      </c>
      <c r="M124" s="15">
        <f t="shared" si="8"/>
        <v>727.16</v>
      </c>
      <c r="N124" s="15">
        <f t="shared" si="9"/>
        <v>41.159999999999968</v>
      </c>
      <c r="O124" s="10">
        <f t="shared" si="10"/>
        <v>5.9999999999999956E-2</v>
      </c>
      <c r="P124" t="str">
        <f t="shared" si="11"/>
        <v>09</v>
      </c>
      <c r="Q124" t="str">
        <f t="shared" si="12"/>
        <v>Jun</v>
      </c>
      <c r="R124" t="str">
        <f t="shared" si="13"/>
        <v>2021</v>
      </c>
    </row>
    <row r="125" spans="1:18" x14ac:dyDescent="0.2">
      <c r="A125" s="1">
        <v>44358</v>
      </c>
      <c r="B125" t="s">
        <v>69</v>
      </c>
      <c r="C125" t="str">
        <f>_xlfn.XLOOKUP(B125,PRODUCT_MASTER!$A:$A,PRODUCT_MASTER!$B:$B,2,0)</f>
        <v>Product32</v>
      </c>
      <c r="D125" t="str">
        <f>_xlfn.XLOOKUP(B125,PRODUCT_MASTER!$A:$A,PRODUCT_MASTER!$C:$C,2,0)</f>
        <v>Bakery And Desserts</v>
      </c>
      <c r="E125" t="str">
        <f>_xlfn.XLOOKUP(B125,PRODUCT_MASTER!$A:$A,PRODUCT_MASTER!$D:$D,2,0)</f>
        <v>Kg</v>
      </c>
      <c r="F125">
        <f>_xlfn.XLOOKUP(B125,PRODUCT_MASTER!$A:$A,PRODUCT_MASTER!$E:$E,2,0)</f>
        <v>89</v>
      </c>
      <c r="G125">
        <f>_xlfn.XLOOKUP(B125,PRODUCT_MASTER!$A:$A,PRODUCT_MASTER!$F:$F,2,0)</f>
        <v>117.48</v>
      </c>
      <c r="H125">
        <v>12</v>
      </c>
      <c r="I125" t="s">
        <v>100</v>
      </c>
      <c r="J125" t="s">
        <v>102</v>
      </c>
      <c r="K125">
        <v>0</v>
      </c>
      <c r="L125" s="15">
        <f t="shared" si="7"/>
        <v>1068</v>
      </c>
      <c r="M125" s="15">
        <f t="shared" si="8"/>
        <v>1409.76</v>
      </c>
      <c r="N125" s="15">
        <f t="shared" si="9"/>
        <v>341.76</v>
      </c>
      <c r="O125" s="10">
        <f t="shared" si="10"/>
        <v>0.32</v>
      </c>
      <c r="P125" t="str">
        <f t="shared" si="11"/>
        <v>11</v>
      </c>
      <c r="Q125" t="str">
        <f t="shared" si="12"/>
        <v>Jun</v>
      </c>
      <c r="R125" t="str">
        <f t="shared" si="13"/>
        <v>2021</v>
      </c>
    </row>
    <row r="126" spans="1:18" x14ac:dyDescent="0.2">
      <c r="A126" s="1">
        <v>44359</v>
      </c>
      <c r="B126" t="s">
        <v>87</v>
      </c>
      <c r="C126" t="str">
        <f>_xlfn.XLOOKUP(B126,PRODUCT_MASTER!$A:$A,PRODUCT_MASTER!$B:$B,2,0)</f>
        <v>Product41</v>
      </c>
      <c r="D126" t="str">
        <f>_xlfn.XLOOKUP(B126,PRODUCT_MASTER!$A:$A,PRODUCT_MASTER!$C:$C,2,0)</f>
        <v>Snacks</v>
      </c>
      <c r="E126" t="str">
        <f>_xlfn.XLOOKUP(B126,PRODUCT_MASTER!$A:$A,PRODUCT_MASTER!$D:$D,2,0)</f>
        <v>Ft</v>
      </c>
      <c r="F126">
        <f>_xlfn.XLOOKUP(B126,PRODUCT_MASTER!$A:$A,PRODUCT_MASTER!$E:$E,2,0)</f>
        <v>138</v>
      </c>
      <c r="G126">
        <f>_xlfn.XLOOKUP(B126,PRODUCT_MASTER!$A:$A,PRODUCT_MASTER!$F:$F,2,0)</f>
        <v>173.88</v>
      </c>
      <c r="H126">
        <v>6</v>
      </c>
      <c r="I126" t="s">
        <v>103</v>
      </c>
      <c r="J126" t="s">
        <v>101</v>
      </c>
      <c r="K126">
        <v>0</v>
      </c>
      <c r="L126" s="15">
        <f t="shared" si="7"/>
        <v>828</v>
      </c>
      <c r="M126" s="15">
        <f t="shared" si="8"/>
        <v>1043.28</v>
      </c>
      <c r="N126" s="15">
        <f t="shared" si="9"/>
        <v>215.27999999999997</v>
      </c>
      <c r="O126" s="10">
        <f t="shared" si="10"/>
        <v>0.25999999999999995</v>
      </c>
      <c r="P126" t="str">
        <f t="shared" si="11"/>
        <v>12</v>
      </c>
      <c r="Q126" t="str">
        <f t="shared" si="12"/>
        <v>Jun</v>
      </c>
      <c r="R126" t="str">
        <f t="shared" si="13"/>
        <v>2021</v>
      </c>
    </row>
    <row r="127" spans="1:18" x14ac:dyDescent="0.2">
      <c r="A127" s="1">
        <v>44361</v>
      </c>
      <c r="B127" t="s">
        <v>55</v>
      </c>
      <c r="C127" t="str">
        <f>_xlfn.XLOOKUP(B127,PRODUCT_MASTER!$A:$A,PRODUCT_MASTER!$B:$B,2,0)</f>
        <v>Product25</v>
      </c>
      <c r="D127" t="str">
        <f>_xlfn.XLOOKUP(B127,PRODUCT_MASTER!$A:$A,PRODUCT_MASTER!$C:$C,2,0)</f>
        <v>Seafood</v>
      </c>
      <c r="E127" t="str">
        <f>_xlfn.XLOOKUP(B127,PRODUCT_MASTER!$A:$A,PRODUCT_MASTER!$D:$D,2,0)</f>
        <v>No.</v>
      </c>
      <c r="F127">
        <f>_xlfn.XLOOKUP(B127,PRODUCT_MASTER!$A:$A,PRODUCT_MASTER!$E:$E,2,0)</f>
        <v>7</v>
      </c>
      <c r="G127">
        <f>_xlfn.XLOOKUP(B127,PRODUCT_MASTER!$A:$A,PRODUCT_MASTER!$F:$F,2,0)</f>
        <v>8.33</v>
      </c>
      <c r="H127">
        <v>10</v>
      </c>
      <c r="I127" t="s">
        <v>101</v>
      </c>
      <c r="J127" t="s">
        <v>102</v>
      </c>
      <c r="K127">
        <v>0</v>
      </c>
      <c r="L127" s="15">
        <f t="shared" si="7"/>
        <v>70</v>
      </c>
      <c r="M127" s="15">
        <f t="shared" si="8"/>
        <v>83.3</v>
      </c>
      <c r="N127" s="15">
        <f t="shared" si="9"/>
        <v>13.299999999999997</v>
      </c>
      <c r="O127" s="10">
        <f t="shared" si="10"/>
        <v>0.18999999999999995</v>
      </c>
      <c r="P127" t="str">
        <f t="shared" si="11"/>
        <v>14</v>
      </c>
      <c r="Q127" t="str">
        <f t="shared" si="12"/>
        <v>Jun</v>
      </c>
      <c r="R127" t="str">
        <f t="shared" si="13"/>
        <v>2021</v>
      </c>
    </row>
    <row r="128" spans="1:18" x14ac:dyDescent="0.2">
      <c r="A128" s="1">
        <v>44363</v>
      </c>
      <c r="B128" t="s">
        <v>43</v>
      </c>
      <c r="C128" t="str">
        <f>_xlfn.XLOOKUP(B128,PRODUCT_MASTER!$A:$A,PRODUCT_MASTER!$B:$B,2,0)</f>
        <v>Product19</v>
      </c>
      <c r="D128" t="str">
        <f>_xlfn.XLOOKUP(B128,PRODUCT_MASTER!$A:$A,PRODUCT_MASTER!$C:$C,2,0)</f>
        <v>Poultry</v>
      </c>
      <c r="E128" t="str">
        <f>_xlfn.XLOOKUP(B128,PRODUCT_MASTER!$A:$A,PRODUCT_MASTER!$D:$D,2,0)</f>
        <v>Ft</v>
      </c>
      <c r="F128">
        <f>_xlfn.XLOOKUP(B128,PRODUCT_MASTER!$A:$A,PRODUCT_MASTER!$E:$E,2,0)</f>
        <v>150</v>
      </c>
      <c r="G128">
        <f>_xlfn.XLOOKUP(B128,PRODUCT_MASTER!$A:$A,PRODUCT_MASTER!$F:$F,2,0)</f>
        <v>210</v>
      </c>
      <c r="H128">
        <v>5</v>
      </c>
      <c r="I128" t="s">
        <v>100</v>
      </c>
      <c r="J128" t="s">
        <v>102</v>
      </c>
      <c r="K128">
        <v>0</v>
      </c>
      <c r="L128" s="15">
        <f t="shared" si="7"/>
        <v>750</v>
      </c>
      <c r="M128" s="15">
        <f t="shared" si="8"/>
        <v>1050</v>
      </c>
      <c r="N128" s="15">
        <f t="shared" si="9"/>
        <v>300</v>
      </c>
      <c r="O128" s="10">
        <f t="shared" si="10"/>
        <v>0.4</v>
      </c>
      <c r="P128" t="str">
        <f t="shared" si="11"/>
        <v>16</v>
      </c>
      <c r="Q128" t="str">
        <f t="shared" si="12"/>
        <v>Jun</v>
      </c>
      <c r="R128" t="str">
        <f t="shared" si="13"/>
        <v>2021</v>
      </c>
    </row>
    <row r="129" spans="1:18" x14ac:dyDescent="0.2">
      <c r="A129" s="1">
        <v>44363</v>
      </c>
      <c r="B129" t="s">
        <v>35</v>
      </c>
      <c r="C129" t="str">
        <f>_xlfn.XLOOKUP(B129,PRODUCT_MASTER!$A:$A,PRODUCT_MASTER!$B:$B,2,0)</f>
        <v>Product15</v>
      </c>
      <c r="D129" t="str">
        <f>_xlfn.XLOOKUP(B129,PRODUCT_MASTER!$A:$A,PRODUCT_MASTER!$C:$C,2,0)</f>
        <v>Meat</v>
      </c>
      <c r="E129" t="str">
        <f>_xlfn.XLOOKUP(B129,PRODUCT_MASTER!$A:$A,PRODUCT_MASTER!$D:$D,2,0)</f>
        <v>No.</v>
      </c>
      <c r="F129">
        <f>_xlfn.XLOOKUP(B129,PRODUCT_MASTER!$A:$A,PRODUCT_MASTER!$E:$E,2,0)</f>
        <v>12</v>
      </c>
      <c r="G129">
        <f>_xlfn.XLOOKUP(B129,PRODUCT_MASTER!$A:$A,PRODUCT_MASTER!$F:$F,2,0)</f>
        <v>15.719999999999999</v>
      </c>
      <c r="H129">
        <v>12</v>
      </c>
      <c r="I129" t="s">
        <v>101</v>
      </c>
      <c r="J129" t="s">
        <v>102</v>
      </c>
      <c r="K129">
        <v>0</v>
      </c>
      <c r="L129" s="15">
        <f t="shared" si="7"/>
        <v>144</v>
      </c>
      <c r="M129" s="15">
        <f t="shared" si="8"/>
        <v>188.64</v>
      </c>
      <c r="N129" s="15">
        <f t="shared" si="9"/>
        <v>44.639999999999986</v>
      </c>
      <c r="O129" s="10">
        <f t="shared" si="10"/>
        <v>0.30999999999999989</v>
      </c>
      <c r="P129" t="str">
        <f t="shared" si="11"/>
        <v>16</v>
      </c>
      <c r="Q129" t="str">
        <f t="shared" si="12"/>
        <v>Jun</v>
      </c>
      <c r="R129" t="str">
        <f t="shared" si="13"/>
        <v>2021</v>
      </c>
    </row>
    <row r="130" spans="1:18" x14ac:dyDescent="0.2">
      <c r="A130" s="1">
        <v>44363</v>
      </c>
      <c r="B130" t="s">
        <v>83</v>
      </c>
      <c r="C130" t="str">
        <f>_xlfn.XLOOKUP(B130,PRODUCT_MASTER!$A:$A,PRODUCT_MASTER!$B:$B,2,0)</f>
        <v>Product39</v>
      </c>
      <c r="D130" t="str">
        <f>_xlfn.XLOOKUP(B130,PRODUCT_MASTER!$A:$A,PRODUCT_MASTER!$C:$C,2,0)</f>
        <v>Snacks</v>
      </c>
      <c r="E130" t="str">
        <f>_xlfn.XLOOKUP(B130,PRODUCT_MASTER!$A:$A,PRODUCT_MASTER!$D:$D,2,0)</f>
        <v>No.</v>
      </c>
      <c r="F130">
        <f>_xlfn.XLOOKUP(B130,PRODUCT_MASTER!$A:$A,PRODUCT_MASTER!$E:$E,2,0)</f>
        <v>37</v>
      </c>
      <c r="G130">
        <f>_xlfn.XLOOKUP(B130,PRODUCT_MASTER!$A:$A,PRODUCT_MASTER!$F:$F,2,0)</f>
        <v>42.55</v>
      </c>
      <c r="H130">
        <v>11</v>
      </c>
      <c r="I130" t="s">
        <v>103</v>
      </c>
      <c r="J130" t="s">
        <v>102</v>
      </c>
      <c r="K130">
        <v>0</v>
      </c>
      <c r="L130" s="15">
        <f t="shared" si="7"/>
        <v>407</v>
      </c>
      <c r="M130" s="15">
        <f t="shared" si="8"/>
        <v>468.04999999999995</v>
      </c>
      <c r="N130" s="15">
        <f t="shared" si="9"/>
        <v>61.049999999999955</v>
      </c>
      <c r="O130" s="10">
        <f t="shared" si="10"/>
        <v>0.14999999999999988</v>
      </c>
      <c r="P130" t="str">
        <f t="shared" si="11"/>
        <v>16</v>
      </c>
      <c r="Q130" t="str">
        <f t="shared" si="12"/>
        <v>Jun</v>
      </c>
      <c r="R130" t="str">
        <f t="shared" si="13"/>
        <v>2021</v>
      </c>
    </row>
    <row r="131" spans="1:18" x14ac:dyDescent="0.2">
      <c r="A131" s="1">
        <v>44365</v>
      </c>
      <c r="B131" t="s">
        <v>55</v>
      </c>
      <c r="C131" t="str">
        <f>_xlfn.XLOOKUP(B131,PRODUCT_MASTER!$A:$A,PRODUCT_MASTER!$B:$B,2,0)</f>
        <v>Product25</v>
      </c>
      <c r="D131" t="str">
        <f>_xlfn.XLOOKUP(B131,PRODUCT_MASTER!$A:$A,PRODUCT_MASTER!$C:$C,2,0)</f>
        <v>Seafood</v>
      </c>
      <c r="E131" t="str">
        <f>_xlfn.XLOOKUP(B131,PRODUCT_MASTER!$A:$A,PRODUCT_MASTER!$D:$D,2,0)</f>
        <v>No.</v>
      </c>
      <c r="F131">
        <f>_xlfn.XLOOKUP(B131,PRODUCT_MASTER!$A:$A,PRODUCT_MASTER!$E:$E,2,0)</f>
        <v>7</v>
      </c>
      <c r="G131">
        <f>_xlfn.XLOOKUP(B131,PRODUCT_MASTER!$A:$A,PRODUCT_MASTER!$F:$F,2,0)</f>
        <v>8.33</v>
      </c>
      <c r="H131">
        <v>13</v>
      </c>
      <c r="I131" t="s">
        <v>103</v>
      </c>
      <c r="J131" t="s">
        <v>102</v>
      </c>
      <c r="K131">
        <v>0</v>
      </c>
      <c r="L131" s="15">
        <f t="shared" ref="L131:L194" si="14">F131*H131</f>
        <v>91</v>
      </c>
      <c r="M131" s="15">
        <f t="shared" ref="M131:M194" si="15">G131*H131</f>
        <v>108.29</v>
      </c>
      <c r="N131" s="15">
        <f t="shared" ref="N131:N194" si="16">M131-L131</f>
        <v>17.290000000000006</v>
      </c>
      <c r="O131" s="10">
        <f t="shared" ref="O131:O194" si="17">N131/L131</f>
        <v>0.19000000000000006</v>
      </c>
      <c r="P131" t="str">
        <f t="shared" ref="P131:P194" si="18">TEXT(A131,"DD")</f>
        <v>18</v>
      </c>
      <c r="Q131" t="str">
        <f t="shared" ref="Q131:Q194" si="19">TEXT(A131,"MMM")</f>
        <v>Jun</v>
      </c>
      <c r="R131" t="str">
        <f t="shared" ref="R131:R194" si="20">TEXT(A131,"YYYY")</f>
        <v>2021</v>
      </c>
    </row>
    <row r="132" spans="1:18" x14ac:dyDescent="0.2">
      <c r="A132" s="1">
        <v>44366</v>
      </c>
      <c r="B132" t="s">
        <v>87</v>
      </c>
      <c r="C132" t="str">
        <f>_xlfn.XLOOKUP(B132,PRODUCT_MASTER!$A:$A,PRODUCT_MASTER!$B:$B,2,0)</f>
        <v>Product41</v>
      </c>
      <c r="D132" t="str">
        <f>_xlfn.XLOOKUP(B132,PRODUCT_MASTER!$A:$A,PRODUCT_MASTER!$C:$C,2,0)</f>
        <v>Snacks</v>
      </c>
      <c r="E132" t="str">
        <f>_xlfn.XLOOKUP(B132,PRODUCT_MASTER!$A:$A,PRODUCT_MASTER!$D:$D,2,0)</f>
        <v>Ft</v>
      </c>
      <c r="F132">
        <f>_xlfn.XLOOKUP(B132,PRODUCT_MASTER!$A:$A,PRODUCT_MASTER!$E:$E,2,0)</f>
        <v>138</v>
      </c>
      <c r="G132">
        <f>_xlfn.XLOOKUP(B132,PRODUCT_MASTER!$A:$A,PRODUCT_MASTER!$F:$F,2,0)</f>
        <v>173.88</v>
      </c>
      <c r="H132">
        <v>5</v>
      </c>
      <c r="I132" t="s">
        <v>103</v>
      </c>
      <c r="J132" t="s">
        <v>101</v>
      </c>
      <c r="K132">
        <v>0</v>
      </c>
      <c r="L132" s="15">
        <f t="shared" si="14"/>
        <v>690</v>
      </c>
      <c r="M132" s="15">
        <f t="shared" si="15"/>
        <v>869.4</v>
      </c>
      <c r="N132" s="15">
        <f t="shared" si="16"/>
        <v>179.39999999999998</v>
      </c>
      <c r="O132" s="10">
        <f t="shared" si="17"/>
        <v>0.25999999999999995</v>
      </c>
      <c r="P132" t="str">
        <f t="shared" si="18"/>
        <v>19</v>
      </c>
      <c r="Q132" t="str">
        <f t="shared" si="19"/>
        <v>Jun</v>
      </c>
      <c r="R132" t="str">
        <f t="shared" si="20"/>
        <v>2021</v>
      </c>
    </row>
    <row r="133" spans="1:18" x14ac:dyDescent="0.2">
      <c r="A133" s="1">
        <v>44367</v>
      </c>
      <c r="B133" t="s">
        <v>37</v>
      </c>
      <c r="C133" t="str">
        <f>_xlfn.XLOOKUP(B133,PRODUCT_MASTER!$A:$A,PRODUCT_MASTER!$B:$B,2,0)</f>
        <v>Product16</v>
      </c>
      <c r="D133" t="str">
        <f>_xlfn.XLOOKUP(B133,PRODUCT_MASTER!$A:$A,PRODUCT_MASTER!$C:$C,2,0)</f>
        <v>Meat</v>
      </c>
      <c r="E133" t="str">
        <f>_xlfn.XLOOKUP(B133,PRODUCT_MASTER!$A:$A,PRODUCT_MASTER!$D:$D,2,0)</f>
        <v>No.</v>
      </c>
      <c r="F133">
        <f>_xlfn.XLOOKUP(B133,PRODUCT_MASTER!$A:$A,PRODUCT_MASTER!$E:$E,2,0)</f>
        <v>13</v>
      </c>
      <c r="G133">
        <f>_xlfn.XLOOKUP(B133,PRODUCT_MASTER!$A:$A,PRODUCT_MASTER!$F:$F,2,0)</f>
        <v>16.64</v>
      </c>
      <c r="H133">
        <v>1</v>
      </c>
      <c r="I133" t="s">
        <v>100</v>
      </c>
      <c r="J133" t="s">
        <v>102</v>
      </c>
      <c r="K133">
        <v>0</v>
      </c>
      <c r="L133" s="15">
        <f t="shared" si="14"/>
        <v>13</v>
      </c>
      <c r="M133" s="15">
        <f t="shared" si="15"/>
        <v>16.64</v>
      </c>
      <c r="N133" s="15">
        <f t="shared" si="16"/>
        <v>3.6400000000000006</v>
      </c>
      <c r="O133" s="10">
        <f t="shared" si="17"/>
        <v>0.28000000000000003</v>
      </c>
      <c r="P133" t="str">
        <f t="shared" si="18"/>
        <v>20</v>
      </c>
      <c r="Q133" t="str">
        <f t="shared" si="19"/>
        <v>Jun</v>
      </c>
      <c r="R133" t="str">
        <f t="shared" si="20"/>
        <v>2021</v>
      </c>
    </row>
    <row r="134" spans="1:18" x14ac:dyDescent="0.2">
      <c r="A134" s="1">
        <v>44370</v>
      </c>
      <c r="B134" t="s">
        <v>37</v>
      </c>
      <c r="C134" t="str">
        <f>_xlfn.XLOOKUP(B134,PRODUCT_MASTER!$A:$A,PRODUCT_MASTER!$B:$B,2,0)</f>
        <v>Product16</v>
      </c>
      <c r="D134" t="str">
        <f>_xlfn.XLOOKUP(B134,PRODUCT_MASTER!$A:$A,PRODUCT_MASTER!$C:$C,2,0)</f>
        <v>Meat</v>
      </c>
      <c r="E134" t="str">
        <f>_xlfn.XLOOKUP(B134,PRODUCT_MASTER!$A:$A,PRODUCT_MASTER!$D:$D,2,0)</f>
        <v>No.</v>
      </c>
      <c r="F134">
        <f>_xlfn.XLOOKUP(B134,PRODUCT_MASTER!$A:$A,PRODUCT_MASTER!$E:$E,2,0)</f>
        <v>13</v>
      </c>
      <c r="G134">
        <f>_xlfn.XLOOKUP(B134,PRODUCT_MASTER!$A:$A,PRODUCT_MASTER!$F:$F,2,0)</f>
        <v>16.64</v>
      </c>
      <c r="H134">
        <v>4</v>
      </c>
      <c r="I134" t="s">
        <v>103</v>
      </c>
      <c r="J134" t="s">
        <v>101</v>
      </c>
      <c r="K134">
        <v>0</v>
      </c>
      <c r="L134" s="15">
        <f t="shared" si="14"/>
        <v>52</v>
      </c>
      <c r="M134" s="15">
        <f t="shared" si="15"/>
        <v>66.56</v>
      </c>
      <c r="N134" s="15">
        <f t="shared" si="16"/>
        <v>14.560000000000002</v>
      </c>
      <c r="O134" s="10">
        <f t="shared" si="17"/>
        <v>0.28000000000000003</v>
      </c>
      <c r="P134" t="str">
        <f t="shared" si="18"/>
        <v>23</v>
      </c>
      <c r="Q134" t="str">
        <f t="shared" si="19"/>
        <v>Jun</v>
      </c>
      <c r="R134" t="str">
        <f t="shared" si="20"/>
        <v>2021</v>
      </c>
    </row>
    <row r="135" spans="1:18" x14ac:dyDescent="0.2">
      <c r="A135" s="1">
        <v>44371</v>
      </c>
      <c r="B135" t="s">
        <v>27</v>
      </c>
      <c r="C135" t="str">
        <f>_xlfn.XLOOKUP(B135,PRODUCT_MASTER!$A:$A,PRODUCT_MASTER!$B:$B,2,0)</f>
        <v>Product11</v>
      </c>
      <c r="D135" t="str">
        <f>_xlfn.XLOOKUP(B135,PRODUCT_MASTER!$A:$A,PRODUCT_MASTER!$C:$C,2,0)</f>
        <v>Gourmet Foods</v>
      </c>
      <c r="E135" t="str">
        <f>_xlfn.XLOOKUP(B135,PRODUCT_MASTER!$A:$A,PRODUCT_MASTER!$D:$D,2,0)</f>
        <v>Lt</v>
      </c>
      <c r="F135">
        <f>_xlfn.XLOOKUP(B135,PRODUCT_MASTER!$A:$A,PRODUCT_MASTER!$E:$E,2,0)</f>
        <v>44</v>
      </c>
      <c r="G135">
        <f>_xlfn.XLOOKUP(B135,PRODUCT_MASTER!$A:$A,PRODUCT_MASTER!$F:$F,2,0)</f>
        <v>48.4</v>
      </c>
      <c r="H135">
        <v>13</v>
      </c>
      <c r="I135" t="s">
        <v>103</v>
      </c>
      <c r="J135" t="s">
        <v>101</v>
      </c>
      <c r="K135">
        <v>0</v>
      </c>
      <c r="L135" s="15">
        <f t="shared" si="14"/>
        <v>572</v>
      </c>
      <c r="M135" s="15">
        <f t="shared" si="15"/>
        <v>629.19999999999993</v>
      </c>
      <c r="N135" s="15">
        <f t="shared" si="16"/>
        <v>57.199999999999932</v>
      </c>
      <c r="O135" s="10">
        <f t="shared" si="17"/>
        <v>9.9999999999999881E-2</v>
      </c>
      <c r="P135" t="str">
        <f t="shared" si="18"/>
        <v>24</v>
      </c>
      <c r="Q135" t="str">
        <f t="shared" si="19"/>
        <v>Jun</v>
      </c>
      <c r="R135" t="str">
        <f t="shared" si="20"/>
        <v>2021</v>
      </c>
    </row>
    <row r="136" spans="1:18" x14ac:dyDescent="0.2">
      <c r="A136" s="1">
        <v>44373</v>
      </c>
      <c r="B136" t="s">
        <v>23</v>
      </c>
      <c r="C136" t="str">
        <f>_xlfn.XLOOKUP(B136,PRODUCT_MASTER!$A:$A,PRODUCT_MASTER!$B:$B,2,0)</f>
        <v>Product09</v>
      </c>
      <c r="D136" t="str">
        <f>_xlfn.XLOOKUP(B136,PRODUCT_MASTER!$A:$A,PRODUCT_MASTER!$C:$C,2,0)</f>
        <v>Gourmet Foods</v>
      </c>
      <c r="E136" t="str">
        <f>_xlfn.XLOOKUP(B136,PRODUCT_MASTER!$A:$A,PRODUCT_MASTER!$D:$D,2,0)</f>
        <v>No.</v>
      </c>
      <c r="F136">
        <f>_xlfn.XLOOKUP(B136,PRODUCT_MASTER!$A:$A,PRODUCT_MASTER!$E:$E,2,0)</f>
        <v>6</v>
      </c>
      <c r="G136">
        <f>_xlfn.XLOOKUP(B136,PRODUCT_MASTER!$A:$A,PRODUCT_MASTER!$F:$F,2,0)</f>
        <v>7.8599999999999994</v>
      </c>
      <c r="H136">
        <v>7</v>
      </c>
      <c r="I136" t="s">
        <v>101</v>
      </c>
      <c r="J136" t="s">
        <v>101</v>
      </c>
      <c r="K136">
        <v>0</v>
      </c>
      <c r="L136" s="15">
        <f t="shared" si="14"/>
        <v>42</v>
      </c>
      <c r="M136" s="15">
        <f t="shared" si="15"/>
        <v>55.019999999999996</v>
      </c>
      <c r="N136" s="15">
        <f t="shared" si="16"/>
        <v>13.019999999999996</v>
      </c>
      <c r="O136" s="10">
        <f t="shared" si="17"/>
        <v>0.30999999999999989</v>
      </c>
      <c r="P136" t="str">
        <f t="shared" si="18"/>
        <v>26</v>
      </c>
      <c r="Q136" t="str">
        <f t="shared" si="19"/>
        <v>Jun</v>
      </c>
      <c r="R136" t="str">
        <f t="shared" si="20"/>
        <v>2021</v>
      </c>
    </row>
    <row r="137" spans="1:18" x14ac:dyDescent="0.2">
      <c r="A137" s="1">
        <v>44374</v>
      </c>
      <c r="B137" t="s">
        <v>15</v>
      </c>
      <c r="C137" t="str">
        <f>_xlfn.XLOOKUP(B137,PRODUCT_MASTER!$A:$A,PRODUCT_MASTER!$B:$B,2,0)</f>
        <v>Product05</v>
      </c>
      <c r="D137" t="str">
        <f>_xlfn.XLOOKUP(B137,PRODUCT_MASTER!$A:$A,PRODUCT_MASTER!$C:$C,2,0)</f>
        <v>Organic</v>
      </c>
      <c r="E137" t="str">
        <f>_xlfn.XLOOKUP(B137,PRODUCT_MASTER!$A:$A,PRODUCT_MASTER!$D:$D,2,0)</f>
        <v>Ft</v>
      </c>
      <c r="F137">
        <f>_xlfn.XLOOKUP(B137,PRODUCT_MASTER!$A:$A,PRODUCT_MASTER!$E:$E,2,0)</f>
        <v>133</v>
      </c>
      <c r="G137">
        <f>_xlfn.XLOOKUP(B137,PRODUCT_MASTER!$A:$A,PRODUCT_MASTER!$F:$F,2,0)</f>
        <v>155.61000000000001</v>
      </c>
      <c r="H137">
        <v>11</v>
      </c>
      <c r="I137" t="s">
        <v>103</v>
      </c>
      <c r="J137" t="s">
        <v>102</v>
      </c>
      <c r="K137">
        <v>0</v>
      </c>
      <c r="L137" s="15">
        <f t="shared" si="14"/>
        <v>1463</v>
      </c>
      <c r="M137" s="15">
        <f t="shared" si="15"/>
        <v>1711.71</v>
      </c>
      <c r="N137" s="15">
        <f t="shared" si="16"/>
        <v>248.71000000000004</v>
      </c>
      <c r="O137" s="10">
        <f t="shared" si="17"/>
        <v>0.17</v>
      </c>
      <c r="P137" t="str">
        <f t="shared" si="18"/>
        <v>27</v>
      </c>
      <c r="Q137" t="str">
        <f t="shared" si="19"/>
        <v>Jun</v>
      </c>
      <c r="R137" t="str">
        <f t="shared" si="20"/>
        <v>2021</v>
      </c>
    </row>
    <row r="138" spans="1:18" x14ac:dyDescent="0.2">
      <c r="A138" s="1">
        <v>44375</v>
      </c>
      <c r="B138" t="s">
        <v>47</v>
      </c>
      <c r="C138" t="str">
        <f>_xlfn.XLOOKUP(B138,PRODUCT_MASTER!$A:$A,PRODUCT_MASTER!$B:$B,2,0)</f>
        <v>Product21</v>
      </c>
      <c r="D138" t="str">
        <f>_xlfn.XLOOKUP(B138,PRODUCT_MASTER!$A:$A,PRODUCT_MASTER!$C:$C,2,0)</f>
        <v>Poultry</v>
      </c>
      <c r="E138" t="str">
        <f>_xlfn.XLOOKUP(B138,PRODUCT_MASTER!$A:$A,PRODUCT_MASTER!$D:$D,2,0)</f>
        <v>Ft</v>
      </c>
      <c r="F138">
        <f>_xlfn.XLOOKUP(B138,PRODUCT_MASTER!$A:$A,PRODUCT_MASTER!$E:$E,2,0)</f>
        <v>126</v>
      </c>
      <c r="G138">
        <f>_xlfn.XLOOKUP(B138,PRODUCT_MASTER!$A:$A,PRODUCT_MASTER!$F:$F,2,0)</f>
        <v>162.54</v>
      </c>
      <c r="H138">
        <v>2</v>
      </c>
      <c r="I138" t="s">
        <v>101</v>
      </c>
      <c r="J138" t="s">
        <v>102</v>
      </c>
      <c r="K138">
        <v>0</v>
      </c>
      <c r="L138" s="15">
        <f t="shared" si="14"/>
        <v>252</v>
      </c>
      <c r="M138" s="15">
        <f t="shared" si="15"/>
        <v>325.08</v>
      </c>
      <c r="N138" s="15">
        <f t="shared" si="16"/>
        <v>73.079999999999984</v>
      </c>
      <c r="O138" s="10">
        <f t="shared" si="17"/>
        <v>0.28999999999999992</v>
      </c>
      <c r="P138" t="str">
        <f t="shared" si="18"/>
        <v>28</v>
      </c>
      <c r="Q138" t="str">
        <f t="shared" si="19"/>
        <v>Jun</v>
      </c>
      <c r="R138" t="str">
        <f t="shared" si="20"/>
        <v>2021</v>
      </c>
    </row>
    <row r="139" spans="1:18" x14ac:dyDescent="0.2">
      <c r="A139" s="1">
        <v>44375</v>
      </c>
      <c r="B139" t="s">
        <v>75</v>
      </c>
      <c r="C139" t="str">
        <f>_xlfn.XLOOKUP(B139,PRODUCT_MASTER!$A:$A,PRODUCT_MASTER!$B:$B,2,0)</f>
        <v>Product35</v>
      </c>
      <c r="D139" t="str">
        <f>_xlfn.XLOOKUP(B139,PRODUCT_MASTER!$A:$A,PRODUCT_MASTER!$C:$C,2,0)</f>
        <v>Bakery And Desserts</v>
      </c>
      <c r="E139" t="str">
        <f>_xlfn.XLOOKUP(B139,PRODUCT_MASTER!$A:$A,PRODUCT_MASTER!$D:$D,2,0)</f>
        <v>No.</v>
      </c>
      <c r="F139">
        <f>_xlfn.XLOOKUP(B139,PRODUCT_MASTER!$A:$A,PRODUCT_MASTER!$E:$E,2,0)</f>
        <v>5</v>
      </c>
      <c r="G139">
        <f>_xlfn.XLOOKUP(B139,PRODUCT_MASTER!$A:$A,PRODUCT_MASTER!$F:$F,2,0)</f>
        <v>6.7</v>
      </c>
      <c r="H139">
        <v>7</v>
      </c>
      <c r="I139" t="s">
        <v>101</v>
      </c>
      <c r="J139" t="s">
        <v>101</v>
      </c>
      <c r="K139">
        <v>0</v>
      </c>
      <c r="L139" s="15">
        <f t="shared" si="14"/>
        <v>35</v>
      </c>
      <c r="M139" s="15">
        <f t="shared" si="15"/>
        <v>46.9</v>
      </c>
      <c r="N139" s="15">
        <f t="shared" si="16"/>
        <v>11.899999999999999</v>
      </c>
      <c r="O139" s="10">
        <f t="shared" si="17"/>
        <v>0.33999999999999997</v>
      </c>
      <c r="P139" t="str">
        <f t="shared" si="18"/>
        <v>28</v>
      </c>
      <c r="Q139" t="str">
        <f t="shared" si="19"/>
        <v>Jun</v>
      </c>
      <c r="R139" t="str">
        <f t="shared" si="20"/>
        <v>2021</v>
      </c>
    </row>
    <row r="140" spans="1:18" x14ac:dyDescent="0.2">
      <c r="A140" s="1">
        <v>44376</v>
      </c>
      <c r="B140" t="s">
        <v>33</v>
      </c>
      <c r="C140" t="str">
        <f>_xlfn.XLOOKUP(B140,PRODUCT_MASTER!$A:$A,PRODUCT_MASTER!$B:$B,2,0)</f>
        <v>Product14</v>
      </c>
      <c r="D140" t="str">
        <f>_xlfn.XLOOKUP(B140,PRODUCT_MASTER!$A:$A,PRODUCT_MASTER!$C:$C,2,0)</f>
        <v>Meat</v>
      </c>
      <c r="E140" t="str">
        <f>_xlfn.XLOOKUP(B140,PRODUCT_MASTER!$A:$A,PRODUCT_MASTER!$D:$D,2,0)</f>
        <v>Kg</v>
      </c>
      <c r="F140">
        <f>_xlfn.XLOOKUP(B140,PRODUCT_MASTER!$A:$A,PRODUCT_MASTER!$E:$E,2,0)</f>
        <v>112</v>
      </c>
      <c r="G140">
        <f>_xlfn.XLOOKUP(B140,PRODUCT_MASTER!$A:$A,PRODUCT_MASTER!$F:$F,2,0)</f>
        <v>146.72</v>
      </c>
      <c r="H140">
        <v>4</v>
      </c>
      <c r="I140" t="s">
        <v>103</v>
      </c>
      <c r="J140" t="s">
        <v>101</v>
      </c>
      <c r="K140">
        <v>0</v>
      </c>
      <c r="L140" s="15">
        <f t="shared" si="14"/>
        <v>448</v>
      </c>
      <c r="M140" s="15">
        <f t="shared" si="15"/>
        <v>586.88</v>
      </c>
      <c r="N140" s="15">
        <f t="shared" si="16"/>
        <v>138.88</v>
      </c>
      <c r="O140" s="10">
        <f t="shared" si="17"/>
        <v>0.31</v>
      </c>
      <c r="P140" t="str">
        <f t="shared" si="18"/>
        <v>29</v>
      </c>
      <c r="Q140" t="str">
        <f t="shared" si="19"/>
        <v>Jun</v>
      </c>
      <c r="R140" t="str">
        <f t="shared" si="20"/>
        <v>2021</v>
      </c>
    </row>
    <row r="141" spans="1:18" x14ac:dyDescent="0.2">
      <c r="A141" s="1">
        <v>44378</v>
      </c>
      <c r="B141" t="s">
        <v>15</v>
      </c>
      <c r="C141" t="str">
        <f>_xlfn.XLOOKUP(B141,PRODUCT_MASTER!$A:$A,PRODUCT_MASTER!$B:$B,2,0)</f>
        <v>Product05</v>
      </c>
      <c r="D141" t="str">
        <f>_xlfn.XLOOKUP(B141,PRODUCT_MASTER!$A:$A,PRODUCT_MASTER!$C:$C,2,0)</f>
        <v>Organic</v>
      </c>
      <c r="E141" t="str">
        <f>_xlfn.XLOOKUP(B141,PRODUCT_MASTER!$A:$A,PRODUCT_MASTER!$D:$D,2,0)</f>
        <v>Ft</v>
      </c>
      <c r="F141">
        <f>_xlfn.XLOOKUP(B141,PRODUCT_MASTER!$A:$A,PRODUCT_MASTER!$E:$E,2,0)</f>
        <v>133</v>
      </c>
      <c r="G141">
        <f>_xlfn.XLOOKUP(B141,PRODUCT_MASTER!$A:$A,PRODUCT_MASTER!$F:$F,2,0)</f>
        <v>155.61000000000001</v>
      </c>
      <c r="H141">
        <v>11</v>
      </c>
      <c r="I141" t="s">
        <v>103</v>
      </c>
      <c r="J141" t="s">
        <v>102</v>
      </c>
      <c r="K141">
        <v>0</v>
      </c>
      <c r="L141" s="15">
        <f t="shared" si="14"/>
        <v>1463</v>
      </c>
      <c r="M141" s="15">
        <f t="shared" si="15"/>
        <v>1711.71</v>
      </c>
      <c r="N141" s="15">
        <f t="shared" si="16"/>
        <v>248.71000000000004</v>
      </c>
      <c r="O141" s="10">
        <f t="shared" si="17"/>
        <v>0.17</v>
      </c>
      <c r="P141" t="str">
        <f t="shared" si="18"/>
        <v>01</v>
      </c>
      <c r="Q141" t="str">
        <f t="shared" si="19"/>
        <v>Jul</v>
      </c>
      <c r="R141" t="str">
        <f t="shared" si="20"/>
        <v>2021</v>
      </c>
    </row>
    <row r="142" spans="1:18" x14ac:dyDescent="0.2">
      <c r="A142" s="1">
        <v>44379</v>
      </c>
      <c r="B142" t="s">
        <v>25</v>
      </c>
      <c r="C142" t="str">
        <f>_xlfn.XLOOKUP(B142,PRODUCT_MASTER!$A:$A,PRODUCT_MASTER!$B:$B,2,0)</f>
        <v>Product10</v>
      </c>
      <c r="D142" t="str">
        <f>_xlfn.XLOOKUP(B142,PRODUCT_MASTER!$A:$A,PRODUCT_MASTER!$C:$C,2,0)</f>
        <v>Gourmet Foods</v>
      </c>
      <c r="E142" t="str">
        <f>_xlfn.XLOOKUP(B142,PRODUCT_MASTER!$A:$A,PRODUCT_MASTER!$D:$D,2,0)</f>
        <v>Ft</v>
      </c>
      <c r="F142">
        <f>_xlfn.XLOOKUP(B142,PRODUCT_MASTER!$A:$A,PRODUCT_MASTER!$E:$E,2,0)</f>
        <v>148</v>
      </c>
      <c r="G142">
        <f>_xlfn.XLOOKUP(B142,PRODUCT_MASTER!$A:$A,PRODUCT_MASTER!$F:$F,2,0)</f>
        <v>164.28</v>
      </c>
      <c r="H142">
        <v>11</v>
      </c>
      <c r="I142" t="s">
        <v>103</v>
      </c>
      <c r="J142" t="s">
        <v>102</v>
      </c>
      <c r="K142">
        <v>0</v>
      </c>
      <c r="L142" s="15">
        <f t="shared" si="14"/>
        <v>1628</v>
      </c>
      <c r="M142" s="15">
        <f t="shared" si="15"/>
        <v>1807.08</v>
      </c>
      <c r="N142" s="15">
        <f t="shared" si="16"/>
        <v>179.07999999999993</v>
      </c>
      <c r="O142" s="10">
        <f t="shared" si="17"/>
        <v>0.10999999999999996</v>
      </c>
      <c r="P142" t="str">
        <f t="shared" si="18"/>
        <v>02</v>
      </c>
      <c r="Q142" t="str">
        <f t="shared" si="19"/>
        <v>Jul</v>
      </c>
      <c r="R142" t="str">
        <f t="shared" si="20"/>
        <v>2021</v>
      </c>
    </row>
    <row r="143" spans="1:18" x14ac:dyDescent="0.2">
      <c r="A143" s="1">
        <v>44380</v>
      </c>
      <c r="B143" t="s">
        <v>71</v>
      </c>
      <c r="C143" t="str">
        <f>_xlfn.XLOOKUP(B143,PRODUCT_MASTER!$A:$A,PRODUCT_MASTER!$B:$B,2,0)</f>
        <v>Product33</v>
      </c>
      <c r="D143" t="str">
        <f>_xlfn.XLOOKUP(B143,PRODUCT_MASTER!$A:$A,PRODUCT_MASTER!$C:$C,2,0)</f>
        <v>Bakery And Desserts</v>
      </c>
      <c r="E143" t="str">
        <f>_xlfn.XLOOKUP(B143,PRODUCT_MASTER!$A:$A,PRODUCT_MASTER!$D:$D,2,0)</f>
        <v>Kg</v>
      </c>
      <c r="F143">
        <f>_xlfn.XLOOKUP(B143,PRODUCT_MASTER!$A:$A,PRODUCT_MASTER!$E:$E,2,0)</f>
        <v>95</v>
      </c>
      <c r="G143">
        <f>_xlfn.XLOOKUP(B143,PRODUCT_MASTER!$A:$A,PRODUCT_MASTER!$F:$F,2,0)</f>
        <v>119.7</v>
      </c>
      <c r="H143">
        <v>9</v>
      </c>
      <c r="I143" t="s">
        <v>101</v>
      </c>
      <c r="J143" t="s">
        <v>102</v>
      </c>
      <c r="K143">
        <v>0</v>
      </c>
      <c r="L143" s="15">
        <f t="shared" si="14"/>
        <v>855</v>
      </c>
      <c r="M143" s="15">
        <f t="shared" si="15"/>
        <v>1077.3</v>
      </c>
      <c r="N143" s="15">
        <f t="shared" si="16"/>
        <v>222.29999999999995</v>
      </c>
      <c r="O143" s="10">
        <f t="shared" si="17"/>
        <v>0.25999999999999995</v>
      </c>
      <c r="P143" t="str">
        <f t="shared" si="18"/>
        <v>03</v>
      </c>
      <c r="Q143" t="str">
        <f t="shared" si="19"/>
        <v>Jul</v>
      </c>
      <c r="R143" t="str">
        <f t="shared" si="20"/>
        <v>2021</v>
      </c>
    </row>
    <row r="144" spans="1:18" x14ac:dyDescent="0.2">
      <c r="A144" s="1">
        <v>44380</v>
      </c>
      <c r="B144" t="s">
        <v>11</v>
      </c>
      <c r="C144" t="str">
        <f>_xlfn.XLOOKUP(B144,PRODUCT_MASTER!$A:$A,PRODUCT_MASTER!$B:$B,2,0)</f>
        <v>Product03</v>
      </c>
      <c r="D144" t="str">
        <f>_xlfn.XLOOKUP(B144,PRODUCT_MASTER!$A:$A,PRODUCT_MASTER!$C:$C,2,0)</f>
        <v>Organic</v>
      </c>
      <c r="E144" t="str">
        <f>_xlfn.XLOOKUP(B144,PRODUCT_MASTER!$A:$A,PRODUCT_MASTER!$D:$D,2,0)</f>
        <v>Kg</v>
      </c>
      <c r="F144">
        <f>_xlfn.XLOOKUP(B144,PRODUCT_MASTER!$A:$A,PRODUCT_MASTER!$E:$E,2,0)</f>
        <v>71</v>
      </c>
      <c r="G144">
        <f>_xlfn.XLOOKUP(B144,PRODUCT_MASTER!$A:$A,PRODUCT_MASTER!$F:$F,2,0)</f>
        <v>80.94</v>
      </c>
      <c r="H144">
        <v>8</v>
      </c>
      <c r="I144" t="s">
        <v>101</v>
      </c>
      <c r="J144" t="s">
        <v>102</v>
      </c>
      <c r="K144">
        <v>0</v>
      </c>
      <c r="L144" s="15">
        <f t="shared" si="14"/>
        <v>568</v>
      </c>
      <c r="M144" s="15">
        <f t="shared" si="15"/>
        <v>647.52</v>
      </c>
      <c r="N144" s="15">
        <f t="shared" si="16"/>
        <v>79.519999999999982</v>
      </c>
      <c r="O144" s="10">
        <f t="shared" si="17"/>
        <v>0.13999999999999996</v>
      </c>
      <c r="P144" t="str">
        <f t="shared" si="18"/>
        <v>03</v>
      </c>
      <c r="Q144" t="str">
        <f t="shared" si="19"/>
        <v>Jul</v>
      </c>
      <c r="R144" t="str">
        <f t="shared" si="20"/>
        <v>2021</v>
      </c>
    </row>
    <row r="145" spans="1:18" x14ac:dyDescent="0.2">
      <c r="A145" s="1">
        <v>44382</v>
      </c>
      <c r="B145" t="s">
        <v>9</v>
      </c>
      <c r="C145" t="str">
        <f>_xlfn.XLOOKUP(B145,PRODUCT_MASTER!$A:$A,PRODUCT_MASTER!$B:$B,2,0)</f>
        <v>Product02</v>
      </c>
      <c r="D145" t="str">
        <f>_xlfn.XLOOKUP(B145,PRODUCT_MASTER!$A:$A,PRODUCT_MASTER!$C:$C,2,0)</f>
        <v>Organic</v>
      </c>
      <c r="E145" t="str">
        <f>_xlfn.XLOOKUP(B145,PRODUCT_MASTER!$A:$A,PRODUCT_MASTER!$D:$D,2,0)</f>
        <v>Kg</v>
      </c>
      <c r="F145">
        <f>_xlfn.XLOOKUP(B145,PRODUCT_MASTER!$A:$A,PRODUCT_MASTER!$E:$E,2,0)</f>
        <v>105</v>
      </c>
      <c r="G145">
        <f>_xlfn.XLOOKUP(B145,PRODUCT_MASTER!$A:$A,PRODUCT_MASTER!$F:$F,2,0)</f>
        <v>142.80000000000001</v>
      </c>
      <c r="H145">
        <v>8</v>
      </c>
      <c r="I145" t="s">
        <v>103</v>
      </c>
      <c r="J145" t="s">
        <v>101</v>
      </c>
      <c r="K145">
        <v>0</v>
      </c>
      <c r="L145" s="15">
        <f t="shared" si="14"/>
        <v>840</v>
      </c>
      <c r="M145" s="15">
        <f t="shared" si="15"/>
        <v>1142.4000000000001</v>
      </c>
      <c r="N145" s="15">
        <f t="shared" si="16"/>
        <v>302.40000000000009</v>
      </c>
      <c r="O145" s="10">
        <f t="shared" si="17"/>
        <v>0.3600000000000001</v>
      </c>
      <c r="P145" t="str">
        <f t="shared" si="18"/>
        <v>05</v>
      </c>
      <c r="Q145" t="str">
        <f t="shared" si="19"/>
        <v>Jul</v>
      </c>
      <c r="R145" t="str">
        <f t="shared" si="20"/>
        <v>2021</v>
      </c>
    </row>
    <row r="146" spans="1:18" x14ac:dyDescent="0.2">
      <c r="A146" s="1">
        <v>44383</v>
      </c>
      <c r="B146" t="s">
        <v>87</v>
      </c>
      <c r="C146" t="str">
        <f>_xlfn.XLOOKUP(B146,PRODUCT_MASTER!$A:$A,PRODUCT_MASTER!$B:$B,2,0)</f>
        <v>Product41</v>
      </c>
      <c r="D146" t="str">
        <f>_xlfn.XLOOKUP(B146,PRODUCT_MASTER!$A:$A,PRODUCT_MASTER!$C:$C,2,0)</f>
        <v>Snacks</v>
      </c>
      <c r="E146" t="str">
        <f>_xlfn.XLOOKUP(B146,PRODUCT_MASTER!$A:$A,PRODUCT_MASTER!$D:$D,2,0)</f>
        <v>Ft</v>
      </c>
      <c r="F146">
        <f>_xlfn.XLOOKUP(B146,PRODUCT_MASTER!$A:$A,PRODUCT_MASTER!$E:$E,2,0)</f>
        <v>138</v>
      </c>
      <c r="G146">
        <f>_xlfn.XLOOKUP(B146,PRODUCT_MASTER!$A:$A,PRODUCT_MASTER!$F:$F,2,0)</f>
        <v>173.88</v>
      </c>
      <c r="H146">
        <v>15</v>
      </c>
      <c r="I146" t="s">
        <v>103</v>
      </c>
      <c r="J146" t="s">
        <v>102</v>
      </c>
      <c r="K146">
        <v>0</v>
      </c>
      <c r="L146" s="15">
        <f t="shared" si="14"/>
        <v>2070</v>
      </c>
      <c r="M146" s="15">
        <f t="shared" si="15"/>
        <v>2608.1999999999998</v>
      </c>
      <c r="N146" s="15">
        <f t="shared" si="16"/>
        <v>538.19999999999982</v>
      </c>
      <c r="O146" s="10">
        <f t="shared" si="17"/>
        <v>0.2599999999999999</v>
      </c>
      <c r="P146" t="str">
        <f t="shared" si="18"/>
        <v>06</v>
      </c>
      <c r="Q146" t="str">
        <f t="shared" si="19"/>
        <v>Jul</v>
      </c>
      <c r="R146" t="str">
        <f t="shared" si="20"/>
        <v>2021</v>
      </c>
    </row>
    <row r="147" spans="1:18" x14ac:dyDescent="0.2">
      <c r="A147" s="1">
        <v>44385</v>
      </c>
      <c r="B147" t="s">
        <v>13</v>
      </c>
      <c r="C147" t="str">
        <f>_xlfn.XLOOKUP(B147,PRODUCT_MASTER!$A:$A,PRODUCT_MASTER!$B:$B,2,0)</f>
        <v>Product04</v>
      </c>
      <c r="D147" t="str">
        <f>_xlfn.XLOOKUP(B147,PRODUCT_MASTER!$A:$A,PRODUCT_MASTER!$C:$C,2,0)</f>
        <v>Organic</v>
      </c>
      <c r="E147" t="str">
        <f>_xlfn.XLOOKUP(B147,PRODUCT_MASTER!$A:$A,PRODUCT_MASTER!$D:$D,2,0)</f>
        <v>Lt</v>
      </c>
      <c r="F147">
        <f>_xlfn.XLOOKUP(B147,PRODUCT_MASTER!$A:$A,PRODUCT_MASTER!$E:$E,2,0)</f>
        <v>44</v>
      </c>
      <c r="G147">
        <f>_xlfn.XLOOKUP(B147,PRODUCT_MASTER!$A:$A,PRODUCT_MASTER!$F:$F,2,0)</f>
        <v>48.84</v>
      </c>
      <c r="H147">
        <v>10</v>
      </c>
      <c r="I147" t="s">
        <v>103</v>
      </c>
      <c r="J147" t="s">
        <v>101</v>
      </c>
      <c r="K147">
        <v>0</v>
      </c>
      <c r="L147" s="15">
        <f t="shared" si="14"/>
        <v>440</v>
      </c>
      <c r="M147" s="15">
        <f t="shared" si="15"/>
        <v>488.40000000000003</v>
      </c>
      <c r="N147" s="15">
        <f t="shared" si="16"/>
        <v>48.400000000000034</v>
      </c>
      <c r="O147" s="10">
        <f t="shared" si="17"/>
        <v>0.11000000000000008</v>
      </c>
      <c r="P147" t="str">
        <f t="shared" si="18"/>
        <v>08</v>
      </c>
      <c r="Q147" t="str">
        <f t="shared" si="19"/>
        <v>Jul</v>
      </c>
      <c r="R147" t="str">
        <f t="shared" si="20"/>
        <v>2021</v>
      </c>
    </row>
    <row r="148" spans="1:18" x14ac:dyDescent="0.2">
      <c r="A148" s="1">
        <v>44387</v>
      </c>
      <c r="B148" t="s">
        <v>73</v>
      </c>
      <c r="C148" t="str">
        <f>_xlfn.XLOOKUP(B148,PRODUCT_MASTER!$A:$A,PRODUCT_MASTER!$B:$B,2,0)</f>
        <v>Product34</v>
      </c>
      <c r="D148" t="str">
        <f>_xlfn.XLOOKUP(B148,PRODUCT_MASTER!$A:$A,PRODUCT_MASTER!$C:$C,2,0)</f>
        <v>Bakery And Desserts</v>
      </c>
      <c r="E148" t="str">
        <f>_xlfn.XLOOKUP(B148,PRODUCT_MASTER!$A:$A,PRODUCT_MASTER!$D:$D,2,0)</f>
        <v>Lt</v>
      </c>
      <c r="F148">
        <f>_xlfn.XLOOKUP(B148,PRODUCT_MASTER!$A:$A,PRODUCT_MASTER!$E:$E,2,0)</f>
        <v>55</v>
      </c>
      <c r="G148">
        <f>_xlfn.XLOOKUP(B148,PRODUCT_MASTER!$A:$A,PRODUCT_MASTER!$F:$F,2,0)</f>
        <v>58.3</v>
      </c>
      <c r="H148">
        <v>6</v>
      </c>
      <c r="I148" t="s">
        <v>100</v>
      </c>
      <c r="J148" t="s">
        <v>102</v>
      </c>
      <c r="K148">
        <v>0</v>
      </c>
      <c r="L148" s="15">
        <f t="shared" si="14"/>
        <v>330</v>
      </c>
      <c r="M148" s="15">
        <f t="shared" si="15"/>
        <v>349.79999999999995</v>
      </c>
      <c r="N148" s="15">
        <f t="shared" si="16"/>
        <v>19.799999999999955</v>
      </c>
      <c r="O148" s="10">
        <f t="shared" si="17"/>
        <v>5.9999999999999859E-2</v>
      </c>
      <c r="P148" t="str">
        <f t="shared" si="18"/>
        <v>10</v>
      </c>
      <c r="Q148" t="str">
        <f t="shared" si="19"/>
        <v>Jul</v>
      </c>
      <c r="R148" t="str">
        <f t="shared" si="20"/>
        <v>2021</v>
      </c>
    </row>
    <row r="149" spans="1:18" x14ac:dyDescent="0.2">
      <c r="A149" s="1">
        <v>44388</v>
      </c>
      <c r="B149" t="s">
        <v>23</v>
      </c>
      <c r="C149" t="str">
        <f>_xlfn.XLOOKUP(B149,PRODUCT_MASTER!$A:$A,PRODUCT_MASTER!$B:$B,2,0)</f>
        <v>Product09</v>
      </c>
      <c r="D149" t="str">
        <f>_xlfn.XLOOKUP(B149,PRODUCT_MASTER!$A:$A,PRODUCT_MASTER!$C:$C,2,0)</f>
        <v>Gourmet Foods</v>
      </c>
      <c r="E149" t="str">
        <f>_xlfn.XLOOKUP(B149,PRODUCT_MASTER!$A:$A,PRODUCT_MASTER!$D:$D,2,0)</f>
        <v>No.</v>
      </c>
      <c r="F149">
        <f>_xlfn.XLOOKUP(B149,PRODUCT_MASTER!$A:$A,PRODUCT_MASTER!$E:$E,2,0)</f>
        <v>6</v>
      </c>
      <c r="G149">
        <f>_xlfn.XLOOKUP(B149,PRODUCT_MASTER!$A:$A,PRODUCT_MASTER!$F:$F,2,0)</f>
        <v>7.8599999999999994</v>
      </c>
      <c r="H149">
        <v>4</v>
      </c>
      <c r="I149" t="s">
        <v>100</v>
      </c>
      <c r="J149" t="s">
        <v>101</v>
      </c>
      <c r="K149">
        <v>0</v>
      </c>
      <c r="L149" s="15">
        <f t="shared" si="14"/>
        <v>24</v>
      </c>
      <c r="M149" s="15">
        <f t="shared" si="15"/>
        <v>31.439999999999998</v>
      </c>
      <c r="N149" s="15">
        <f t="shared" si="16"/>
        <v>7.4399999999999977</v>
      </c>
      <c r="O149" s="10">
        <f t="shared" si="17"/>
        <v>0.30999999999999989</v>
      </c>
      <c r="P149" t="str">
        <f t="shared" si="18"/>
        <v>11</v>
      </c>
      <c r="Q149" t="str">
        <f t="shared" si="19"/>
        <v>Jul</v>
      </c>
      <c r="R149" t="str">
        <f t="shared" si="20"/>
        <v>2021</v>
      </c>
    </row>
    <row r="150" spans="1:18" x14ac:dyDescent="0.2">
      <c r="A150" s="1">
        <v>44390</v>
      </c>
      <c r="B150" t="s">
        <v>43</v>
      </c>
      <c r="C150" t="str">
        <f>_xlfn.XLOOKUP(B150,PRODUCT_MASTER!$A:$A,PRODUCT_MASTER!$B:$B,2,0)</f>
        <v>Product19</v>
      </c>
      <c r="D150" t="str">
        <f>_xlfn.XLOOKUP(B150,PRODUCT_MASTER!$A:$A,PRODUCT_MASTER!$C:$C,2,0)</f>
        <v>Poultry</v>
      </c>
      <c r="E150" t="str">
        <f>_xlfn.XLOOKUP(B150,PRODUCT_MASTER!$A:$A,PRODUCT_MASTER!$D:$D,2,0)</f>
        <v>Ft</v>
      </c>
      <c r="F150">
        <f>_xlfn.XLOOKUP(B150,PRODUCT_MASTER!$A:$A,PRODUCT_MASTER!$E:$E,2,0)</f>
        <v>150</v>
      </c>
      <c r="G150">
        <f>_xlfn.XLOOKUP(B150,PRODUCT_MASTER!$A:$A,PRODUCT_MASTER!$F:$F,2,0)</f>
        <v>210</v>
      </c>
      <c r="H150">
        <v>1</v>
      </c>
      <c r="I150" t="s">
        <v>103</v>
      </c>
      <c r="J150" t="s">
        <v>102</v>
      </c>
      <c r="K150">
        <v>0</v>
      </c>
      <c r="L150" s="15">
        <f t="shared" si="14"/>
        <v>150</v>
      </c>
      <c r="M150" s="15">
        <f t="shared" si="15"/>
        <v>210</v>
      </c>
      <c r="N150" s="15">
        <f t="shared" si="16"/>
        <v>60</v>
      </c>
      <c r="O150" s="10">
        <f t="shared" si="17"/>
        <v>0.4</v>
      </c>
      <c r="P150" t="str">
        <f t="shared" si="18"/>
        <v>13</v>
      </c>
      <c r="Q150" t="str">
        <f t="shared" si="19"/>
        <v>Jul</v>
      </c>
      <c r="R150" t="str">
        <f t="shared" si="20"/>
        <v>2021</v>
      </c>
    </row>
    <row r="151" spans="1:18" x14ac:dyDescent="0.2">
      <c r="A151" s="1">
        <v>44393</v>
      </c>
      <c r="B151" t="s">
        <v>51</v>
      </c>
      <c r="C151" t="str">
        <f>_xlfn.XLOOKUP(B151,PRODUCT_MASTER!$A:$A,PRODUCT_MASTER!$B:$B,2,0)</f>
        <v>Product23</v>
      </c>
      <c r="D151" t="str">
        <f>_xlfn.XLOOKUP(B151,PRODUCT_MASTER!$A:$A,PRODUCT_MASTER!$C:$C,2,0)</f>
        <v>Seafood</v>
      </c>
      <c r="E151" t="str">
        <f>_xlfn.XLOOKUP(B151,PRODUCT_MASTER!$A:$A,PRODUCT_MASTER!$D:$D,2,0)</f>
        <v>Ft</v>
      </c>
      <c r="F151">
        <f>_xlfn.XLOOKUP(B151,PRODUCT_MASTER!$A:$A,PRODUCT_MASTER!$E:$E,2,0)</f>
        <v>141</v>
      </c>
      <c r="G151">
        <f>_xlfn.XLOOKUP(B151,PRODUCT_MASTER!$A:$A,PRODUCT_MASTER!$F:$F,2,0)</f>
        <v>149.46</v>
      </c>
      <c r="H151">
        <v>8</v>
      </c>
      <c r="I151" t="s">
        <v>100</v>
      </c>
      <c r="J151" t="s">
        <v>102</v>
      </c>
      <c r="K151">
        <v>0</v>
      </c>
      <c r="L151" s="15">
        <f t="shared" si="14"/>
        <v>1128</v>
      </c>
      <c r="M151" s="15">
        <f t="shared" si="15"/>
        <v>1195.68</v>
      </c>
      <c r="N151" s="15">
        <f t="shared" si="16"/>
        <v>67.680000000000064</v>
      </c>
      <c r="O151" s="10">
        <f t="shared" si="17"/>
        <v>6.0000000000000053E-2</v>
      </c>
      <c r="P151" t="str">
        <f t="shared" si="18"/>
        <v>16</v>
      </c>
      <c r="Q151" t="str">
        <f t="shared" si="19"/>
        <v>Jul</v>
      </c>
      <c r="R151" t="str">
        <f t="shared" si="20"/>
        <v>2021</v>
      </c>
    </row>
    <row r="152" spans="1:18" x14ac:dyDescent="0.2">
      <c r="A152" s="1">
        <v>44395</v>
      </c>
      <c r="B152" t="s">
        <v>59</v>
      </c>
      <c r="C152" t="str">
        <f>_xlfn.XLOOKUP(B152,PRODUCT_MASTER!$A:$A,PRODUCT_MASTER!$B:$B,2,0)</f>
        <v>Product27</v>
      </c>
      <c r="D152" t="str">
        <f>_xlfn.XLOOKUP(B152,PRODUCT_MASTER!$A:$A,PRODUCT_MASTER!$C:$C,2,0)</f>
        <v>Cheese And Dairy</v>
      </c>
      <c r="E152" t="str">
        <f>_xlfn.XLOOKUP(B152,PRODUCT_MASTER!$A:$A,PRODUCT_MASTER!$D:$D,2,0)</f>
        <v>Lt</v>
      </c>
      <c r="F152">
        <f>_xlfn.XLOOKUP(B152,PRODUCT_MASTER!$A:$A,PRODUCT_MASTER!$E:$E,2,0)</f>
        <v>48</v>
      </c>
      <c r="G152">
        <f>_xlfn.XLOOKUP(B152,PRODUCT_MASTER!$A:$A,PRODUCT_MASTER!$F:$F,2,0)</f>
        <v>57.120000000000005</v>
      </c>
      <c r="H152">
        <v>14</v>
      </c>
      <c r="I152" t="s">
        <v>101</v>
      </c>
      <c r="J152" t="s">
        <v>101</v>
      </c>
      <c r="K152">
        <v>0</v>
      </c>
      <c r="L152" s="15">
        <f t="shared" si="14"/>
        <v>672</v>
      </c>
      <c r="M152" s="15">
        <f t="shared" si="15"/>
        <v>799.68000000000006</v>
      </c>
      <c r="N152" s="15">
        <f t="shared" si="16"/>
        <v>127.68000000000006</v>
      </c>
      <c r="O152" s="10">
        <f t="shared" si="17"/>
        <v>0.19000000000000009</v>
      </c>
      <c r="P152" t="str">
        <f t="shared" si="18"/>
        <v>18</v>
      </c>
      <c r="Q152" t="str">
        <f t="shared" si="19"/>
        <v>Jul</v>
      </c>
      <c r="R152" t="str">
        <f t="shared" si="20"/>
        <v>2021</v>
      </c>
    </row>
    <row r="153" spans="1:18" x14ac:dyDescent="0.2">
      <c r="A153" s="1">
        <v>44397</v>
      </c>
      <c r="B153" t="s">
        <v>81</v>
      </c>
      <c r="C153" t="str">
        <f>_xlfn.XLOOKUP(B153,PRODUCT_MASTER!$A:$A,PRODUCT_MASTER!$B:$B,2,0)</f>
        <v>Product38</v>
      </c>
      <c r="D153" t="str">
        <f>_xlfn.XLOOKUP(B153,PRODUCT_MASTER!$A:$A,PRODUCT_MASTER!$C:$C,2,0)</f>
        <v>Snacks</v>
      </c>
      <c r="E153" t="str">
        <f>_xlfn.XLOOKUP(B153,PRODUCT_MASTER!$A:$A,PRODUCT_MASTER!$D:$D,2,0)</f>
        <v>Kg</v>
      </c>
      <c r="F153">
        <f>_xlfn.XLOOKUP(B153,PRODUCT_MASTER!$A:$A,PRODUCT_MASTER!$E:$E,2,0)</f>
        <v>72</v>
      </c>
      <c r="G153">
        <f>_xlfn.XLOOKUP(B153,PRODUCT_MASTER!$A:$A,PRODUCT_MASTER!$F:$F,2,0)</f>
        <v>79.92</v>
      </c>
      <c r="H153">
        <v>11</v>
      </c>
      <c r="I153" t="s">
        <v>101</v>
      </c>
      <c r="J153" t="s">
        <v>101</v>
      </c>
      <c r="K153">
        <v>0</v>
      </c>
      <c r="L153" s="15">
        <f t="shared" si="14"/>
        <v>792</v>
      </c>
      <c r="M153" s="15">
        <f t="shared" si="15"/>
        <v>879.12</v>
      </c>
      <c r="N153" s="15">
        <f t="shared" si="16"/>
        <v>87.12</v>
      </c>
      <c r="O153" s="10">
        <f t="shared" si="17"/>
        <v>0.11</v>
      </c>
      <c r="P153" t="str">
        <f t="shared" si="18"/>
        <v>20</v>
      </c>
      <c r="Q153" t="str">
        <f t="shared" si="19"/>
        <v>Jul</v>
      </c>
      <c r="R153" t="str">
        <f t="shared" si="20"/>
        <v>2021</v>
      </c>
    </row>
    <row r="154" spans="1:18" x14ac:dyDescent="0.2">
      <c r="A154" s="1">
        <v>44397</v>
      </c>
      <c r="B154" t="s">
        <v>91</v>
      </c>
      <c r="C154" t="str">
        <f>_xlfn.XLOOKUP(B154,PRODUCT_MASTER!$A:$A,PRODUCT_MASTER!$B:$B,2,0)</f>
        <v>Product43</v>
      </c>
      <c r="D154" t="str">
        <f>_xlfn.XLOOKUP(B154,PRODUCT_MASTER!$A:$A,PRODUCT_MASTER!$C:$C,2,0)</f>
        <v>Candy</v>
      </c>
      <c r="E154" t="str">
        <f>_xlfn.XLOOKUP(B154,PRODUCT_MASTER!$A:$A,PRODUCT_MASTER!$D:$D,2,0)</f>
        <v>Kg</v>
      </c>
      <c r="F154">
        <f>_xlfn.XLOOKUP(B154,PRODUCT_MASTER!$A:$A,PRODUCT_MASTER!$E:$E,2,0)</f>
        <v>67</v>
      </c>
      <c r="G154">
        <f>_xlfn.XLOOKUP(B154,PRODUCT_MASTER!$A:$A,PRODUCT_MASTER!$F:$F,2,0)</f>
        <v>83.08</v>
      </c>
      <c r="H154">
        <v>5</v>
      </c>
      <c r="I154" t="s">
        <v>103</v>
      </c>
      <c r="J154" t="s">
        <v>101</v>
      </c>
      <c r="K154">
        <v>0</v>
      </c>
      <c r="L154" s="15">
        <f t="shared" si="14"/>
        <v>335</v>
      </c>
      <c r="M154" s="15">
        <f t="shared" si="15"/>
        <v>415.4</v>
      </c>
      <c r="N154" s="15">
        <f t="shared" si="16"/>
        <v>80.399999999999977</v>
      </c>
      <c r="O154" s="10">
        <f t="shared" si="17"/>
        <v>0.23999999999999994</v>
      </c>
      <c r="P154" t="str">
        <f t="shared" si="18"/>
        <v>20</v>
      </c>
      <c r="Q154" t="str">
        <f t="shared" si="19"/>
        <v>Jul</v>
      </c>
      <c r="R154" t="str">
        <f t="shared" si="20"/>
        <v>2021</v>
      </c>
    </row>
    <row r="155" spans="1:18" x14ac:dyDescent="0.2">
      <c r="A155" s="1">
        <v>44398</v>
      </c>
      <c r="B155" t="s">
        <v>63</v>
      </c>
      <c r="C155" t="str">
        <f>_xlfn.XLOOKUP(B155,PRODUCT_MASTER!$A:$A,PRODUCT_MASTER!$B:$B,2,0)</f>
        <v>Product29</v>
      </c>
      <c r="D155" t="str">
        <f>_xlfn.XLOOKUP(B155,PRODUCT_MASTER!$A:$A,PRODUCT_MASTER!$C:$C,2,0)</f>
        <v>Cheese And Dairy</v>
      </c>
      <c r="E155" t="str">
        <f>_xlfn.XLOOKUP(B155,PRODUCT_MASTER!$A:$A,PRODUCT_MASTER!$D:$D,2,0)</f>
        <v>Lt</v>
      </c>
      <c r="F155">
        <f>_xlfn.XLOOKUP(B155,PRODUCT_MASTER!$A:$A,PRODUCT_MASTER!$E:$E,2,0)</f>
        <v>47</v>
      </c>
      <c r="G155">
        <f>_xlfn.XLOOKUP(B155,PRODUCT_MASTER!$A:$A,PRODUCT_MASTER!$F:$F,2,0)</f>
        <v>53.11</v>
      </c>
      <c r="H155">
        <v>15</v>
      </c>
      <c r="I155" t="s">
        <v>103</v>
      </c>
      <c r="J155" t="s">
        <v>101</v>
      </c>
      <c r="K155">
        <v>0</v>
      </c>
      <c r="L155" s="15">
        <f t="shared" si="14"/>
        <v>705</v>
      </c>
      <c r="M155" s="15">
        <f t="shared" si="15"/>
        <v>796.65</v>
      </c>
      <c r="N155" s="15">
        <f t="shared" si="16"/>
        <v>91.649999999999977</v>
      </c>
      <c r="O155" s="10">
        <f t="shared" si="17"/>
        <v>0.12999999999999998</v>
      </c>
      <c r="P155" t="str">
        <f t="shared" si="18"/>
        <v>21</v>
      </c>
      <c r="Q155" t="str">
        <f t="shared" si="19"/>
        <v>Jul</v>
      </c>
      <c r="R155" t="str">
        <f t="shared" si="20"/>
        <v>2021</v>
      </c>
    </row>
    <row r="156" spans="1:18" x14ac:dyDescent="0.2">
      <c r="A156" s="1">
        <v>44399</v>
      </c>
      <c r="B156" t="s">
        <v>57</v>
      </c>
      <c r="C156" t="str">
        <f>_xlfn.XLOOKUP(B156,PRODUCT_MASTER!$A:$A,PRODUCT_MASTER!$B:$B,2,0)</f>
        <v>Product26</v>
      </c>
      <c r="D156" t="str">
        <f>_xlfn.XLOOKUP(B156,PRODUCT_MASTER!$A:$A,PRODUCT_MASTER!$C:$C,2,0)</f>
        <v>Seafood</v>
      </c>
      <c r="E156" t="str">
        <f>_xlfn.XLOOKUP(B156,PRODUCT_MASTER!$A:$A,PRODUCT_MASTER!$D:$D,2,0)</f>
        <v>No.</v>
      </c>
      <c r="F156">
        <f>_xlfn.XLOOKUP(B156,PRODUCT_MASTER!$A:$A,PRODUCT_MASTER!$E:$E,2,0)</f>
        <v>18</v>
      </c>
      <c r="G156">
        <f>_xlfn.XLOOKUP(B156,PRODUCT_MASTER!$A:$A,PRODUCT_MASTER!$F:$F,2,0)</f>
        <v>24.66</v>
      </c>
      <c r="H156">
        <v>3</v>
      </c>
      <c r="I156" t="s">
        <v>100</v>
      </c>
      <c r="J156" t="s">
        <v>102</v>
      </c>
      <c r="K156">
        <v>0</v>
      </c>
      <c r="L156" s="15">
        <f t="shared" si="14"/>
        <v>54</v>
      </c>
      <c r="M156" s="15">
        <f t="shared" si="15"/>
        <v>73.98</v>
      </c>
      <c r="N156" s="15">
        <f t="shared" si="16"/>
        <v>19.980000000000004</v>
      </c>
      <c r="O156" s="10">
        <f t="shared" si="17"/>
        <v>0.37000000000000005</v>
      </c>
      <c r="P156" t="str">
        <f t="shared" si="18"/>
        <v>22</v>
      </c>
      <c r="Q156" t="str">
        <f t="shared" si="19"/>
        <v>Jul</v>
      </c>
      <c r="R156" t="str">
        <f t="shared" si="20"/>
        <v>2021</v>
      </c>
    </row>
    <row r="157" spans="1:18" x14ac:dyDescent="0.2">
      <c r="A157" s="1">
        <v>44399</v>
      </c>
      <c r="B157" t="s">
        <v>53</v>
      </c>
      <c r="C157" t="str">
        <f>_xlfn.XLOOKUP(B157,PRODUCT_MASTER!$A:$A,PRODUCT_MASTER!$B:$B,2,0)</f>
        <v>Product24</v>
      </c>
      <c r="D157" t="str">
        <f>_xlfn.XLOOKUP(B157,PRODUCT_MASTER!$A:$A,PRODUCT_MASTER!$C:$C,2,0)</f>
        <v>Seafood</v>
      </c>
      <c r="E157" t="str">
        <f>_xlfn.XLOOKUP(B157,PRODUCT_MASTER!$A:$A,PRODUCT_MASTER!$D:$D,2,0)</f>
        <v>Ft</v>
      </c>
      <c r="F157">
        <f>_xlfn.XLOOKUP(B157,PRODUCT_MASTER!$A:$A,PRODUCT_MASTER!$E:$E,2,0)</f>
        <v>144</v>
      </c>
      <c r="G157">
        <f>_xlfn.XLOOKUP(B157,PRODUCT_MASTER!$A:$A,PRODUCT_MASTER!$F:$F,2,0)</f>
        <v>156.96</v>
      </c>
      <c r="H157">
        <v>14</v>
      </c>
      <c r="I157" t="s">
        <v>101</v>
      </c>
      <c r="J157" t="s">
        <v>102</v>
      </c>
      <c r="K157">
        <v>0</v>
      </c>
      <c r="L157" s="15">
        <f t="shared" si="14"/>
        <v>2016</v>
      </c>
      <c r="M157" s="15">
        <f t="shared" si="15"/>
        <v>2197.44</v>
      </c>
      <c r="N157" s="15">
        <f t="shared" si="16"/>
        <v>181.44000000000005</v>
      </c>
      <c r="O157" s="10">
        <f t="shared" si="17"/>
        <v>9.0000000000000024E-2</v>
      </c>
      <c r="P157" t="str">
        <f t="shared" si="18"/>
        <v>22</v>
      </c>
      <c r="Q157" t="str">
        <f t="shared" si="19"/>
        <v>Jul</v>
      </c>
      <c r="R157" t="str">
        <f t="shared" si="20"/>
        <v>2021</v>
      </c>
    </row>
    <row r="158" spans="1:18" x14ac:dyDescent="0.2">
      <c r="A158" s="1">
        <v>44400</v>
      </c>
      <c r="B158" t="s">
        <v>77</v>
      </c>
      <c r="C158" t="str">
        <f>_xlfn.XLOOKUP(B158,PRODUCT_MASTER!$A:$A,PRODUCT_MASTER!$B:$B,2,0)</f>
        <v>Product36</v>
      </c>
      <c r="D158" t="str">
        <f>_xlfn.XLOOKUP(B158,PRODUCT_MASTER!$A:$A,PRODUCT_MASTER!$C:$C,2,0)</f>
        <v>Bakery And Desserts</v>
      </c>
      <c r="E158" t="str">
        <f>_xlfn.XLOOKUP(B158,PRODUCT_MASTER!$A:$A,PRODUCT_MASTER!$D:$D,2,0)</f>
        <v>Kg</v>
      </c>
      <c r="F158">
        <f>_xlfn.XLOOKUP(B158,PRODUCT_MASTER!$A:$A,PRODUCT_MASTER!$E:$E,2,0)</f>
        <v>90</v>
      </c>
      <c r="G158">
        <f>_xlfn.XLOOKUP(B158,PRODUCT_MASTER!$A:$A,PRODUCT_MASTER!$F:$F,2,0)</f>
        <v>96.3</v>
      </c>
      <c r="H158">
        <v>7</v>
      </c>
      <c r="I158" t="s">
        <v>100</v>
      </c>
      <c r="J158" t="s">
        <v>101</v>
      </c>
      <c r="K158">
        <v>0</v>
      </c>
      <c r="L158" s="15">
        <f t="shared" si="14"/>
        <v>630</v>
      </c>
      <c r="M158" s="15">
        <f t="shared" si="15"/>
        <v>674.1</v>
      </c>
      <c r="N158" s="15">
        <f t="shared" si="16"/>
        <v>44.100000000000023</v>
      </c>
      <c r="O158" s="10">
        <f t="shared" si="17"/>
        <v>7.0000000000000034E-2</v>
      </c>
      <c r="P158" t="str">
        <f t="shared" si="18"/>
        <v>23</v>
      </c>
      <c r="Q158" t="str">
        <f t="shared" si="19"/>
        <v>Jul</v>
      </c>
      <c r="R158" t="str">
        <f t="shared" si="20"/>
        <v>2021</v>
      </c>
    </row>
    <row r="159" spans="1:18" x14ac:dyDescent="0.2">
      <c r="A159" s="1">
        <v>44400</v>
      </c>
      <c r="B159" t="s">
        <v>79</v>
      </c>
      <c r="C159" t="str">
        <f>_xlfn.XLOOKUP(B159,PRODUCT_MASTER!$A:$A,PRODUCT_MASTER!$B:$B,2,0)</f>
        <v>Product37</v>
      </c>
      <c r="D159" t="str">
        <f>_xlfn.XLOOKUP(B159,PRODUCT_MASTER!$A:$A,PRODUCT_MASTER!$C:$C,2,0)</f>
        <v>Snacks</v>
      </c>
      <c r="E159" t="str">
        <f>_xlfn.XLOOKUP(B159,PRODUCT_MASTER!$A:$A,PRODUCT_MASTER!$D:$D,2,0)</f>
        <v>Kg</v>
      </c>
      <c r="F159">
        <f>_xlfn.XLOOKUP(B159,PRODUCT_MASTER!$A:$A,PRODUCT_MASTER!$E:$E,2,0)</f>
        <v>67</v>
      </c>
      <c r="G159">
        <f>_xlfn.XLOOKUP(B159,PRODUCT_MASTER!$A:$A,PRODUCT_MASTER!$F:$F,2,0)</f>
        <v>85.76</v>
      </c>
      <c r="H159">
        <v>8</v>
      </c>
      <c r="I159" t="s">
        <v>103</v>
      </c>
      <c r="J159" t="s">
        <v>101</v>
      </c>
      <c r="K159">
        <v>0</v>
      </c>
      <c r="L159" s="15">
        <f t="shared" si="14"/>
        <v>536</v>
      </c>
      <c r="M159" s="15">
        <f t="shared" si="15"/>
        <v>686.08</v>
      </c>
      <c r="N159" s="15">
        <f t="shared" si="16"/>
        <v>150.08000000000004</v>
      </c>
      <c r="O159" s="10">
        <f t="shared" si="17"/>
        <v>0.28000000000000008</v>
      </c>
      <c r="P159" t="str">
        <f t="shared" si="18"/>
        <v>23</v>
      </c>
      <c r="Q159" t="str">
        <f t="shared" si="19"/>
        <v>Jul</v>
      </c>
      <c r="R159" t="str">
        <f t="shared" si="20"/>
        <v>2021</v>
      </c>
    </row>
    <row r="160" spans="1:18" x14ac:dyDescent="0.2">
      <c r="A160" s="1">
        <v>44401</v>
      </c>
      <c r="B160" t="s">
        <v>23</v>
      </c>
      <c r="C160" t="str">
        <f>_xlfn.XLOOKUP(B160,PRODUCT_MASTER!$A:$A,PRODUCT_MASTER!$B:$B,2,0)</f>
        <v>Product09</v>
      </c>
      <c r="D160" t="str">
        <f>_xlfn.XLOOKUP(B160,PRODUCT_MASTER!$A:$A,PRODUCT_MASTER!$C:$C,2,0)</f>
        <v>Gourmet Foods</v>
      </c>
      <c r="E160" t="str">
        <f>_xlfn.XLOOKUP(B160,PRODUCT_MASTER!$A:$A,PRODUCT_MASTER!$D:$D,2,0)</f>
        <v>No.</v>
      </c>
      <c r="F160">
        <f>_xlfn.XLOOKUP(B160,PRODUCT_MASTER!$A:$A,PRODUCT_MASTER!$E:$E,2,0)</f>
        <v>6</v>
      </c>
      <c r="G160">
        <f>_xlfn.XLOOKUP(B160,PRODUCT_MASTER!$A:$A,PRODUCT_MASTER!$F:$F,2,0)</f>
        <v>7.8599999999999994</v>
      </c>
      <c r="H160">
        <v>4</v>
      </c>
      <c r="I160" t="s">
        <v>101</v>
      </c>
      <c r="J160" t="s">
        <v>102</v>
      </c>
      <c r="K160">
        <v>0</v>
      </c>
      <c r="L160" s="15">
        <f t="shared" si="14"/>
        <v>24</v>
      </c>
      <c r="M160" s="15">
        <f t="shared" si="15"/>
        <v>31.439999999999998</v>
      </c>
      <c r="N160" s="15">
        <f t="shared" si="16"/>
        <v>7.4399999999999977</v>
      </c>
      <c r="O160" s="10">
        <f t="shared" si="17"/>
        <v>0.30999999999999989</v>
      </c>
      <c r="P160" t="str">
        <f t="shared" si="18"/>
        <v>24</v>
      </c>
      <c r="Q160" t="str">
        <f t="shared" si="19"/>
        <v>Jul</v>
      </c>
      <c r="R160" t="str">
        <f t="shared" si="20"/>
        <v>2021</v>
      </c>
    </row>
    <row r="161" spans="1:18" x14ac:dyDescent="0.2">
      <c r="A161" s="1">
        <v>44406</v>
      </c>
      <c r="B161" t="s">
        <v>93</v>
      </c>
      <c r="C161" t="str">
        <f>_xlfn.XLOOKUP(B161,PRODUCT_MASTER!$A:$A,PRODUCT_MASTER!$B:$B,2,0)</f>
        <v>Product44</v>
      </c>
      <c r="D161" t="str">
        <f>_xlfn.XLOOKUP(B161,PRODUCT_MASTER!$A:$A,PRODUCT_MASTER!$C:$C,2,0)</f>
        <v>Candy</v>
      </c>
      <c r="E161" t="str">
        <f>_xlfn.XLOOKUP(B161,PRODUCT_MASTER!$A:$A,PRODUCT_MASTER!$D:$D,2,0)</f>
        <v>Kg</v>
      </c>
      <c r="F161">
        <f>_xlfn.XLOOKUP(B161,PRODUCT_MASTER!$A:$A,PRODUCT_MASTER!$E:$E,2,0)</f>
        <v>76</v>
      </c>
      <c r="G161">
        <f>_xlfn.XLOOKUP(B161,PRODUCT_MASTER!$A:$A,PRODUCT_MASTER!$F:$F,2,0)</f>
        <v>82.08</v>
      </c>
      <c r="H161">
        <v>15</v>
      </c>
      <c r="I161" t="s">
        <v>101</v>
      </c>
      <c r="J161" t="s">
        <v>102</v>
      </c>
      <c r="K161">
        <v>0</v>
      </c>
      <c r="L161" s="15">
        <f t="shared" si="14"/>
        <v>1140</v>
      </c>
      <c r="M161" s="15">
        <f t="shared" si="15"/>
        <v>1231.2</v>
      </c>
      <c r="N161" s="15">
        <f t="shared" si="16"/>
        <v>91.200000000000045</v>
      </c>
      <c r="O161" s="10">
        <f t="shared" si="17"/>
        <v>8.0000000000000043E-2</v>
      </c>
      <c r="P161" t="str">
        <f t="shared" si="18"/>
        <v>29</v>
      </c>
      <c r="Q161" t="str">
        <f t="shared" si="19"/>
        <v>Jul</v>
      </c>
      <c r="R161" t="str">
        <f t="shared" si="20"/>
        <v>2021</v>
      </c>
    </row>
    <row r="162" spans="1:18" x14ac:dyDescent="0.2">
      <c r="A162" s="1">
        <v>44409</v>
      </c>
      <c r="B162" t="s">
        <v>6</v>
      </c>
      <c r="C162" t="str">
        <f>_xlfn.XLOOKUP(B162,PRODUCT_MASTER!$A:$A,PRODUCT_MASTER!$B:$B,2,0)</f>
        <v>Product01</v>
      </c>
      <c r="D162" t="str">
        <f>_xlfn.XLOOKUP(B162,PRODUCT_MASTER!$A:$A,PRODUCT_MASTER!$C:$C,2,0)</f>
        <v>Organic</v>
      </c>
      <c r="E162" t="str">
        <f>_xlfn.XLOOKUP(B162,PRODUCT_MASTER!$A:$A,PRODUCT_MASTER!$D:$D,2,0)</f>
        <v>Kg</v>
      </c>
      <c r="F162">
        <f>_xlfn.XLOOKUP(B162,PRODUCT_MASTER!$A:$A,PRODUCT_MASTER!$E:$E,2,0)</f>
        <v>98</v>
      </c>
      <c r="G162">
        <f>_xlfn.XLOOKUP(B162,PRODUCT_MASTER!$A:$A,PRODUCT_MASTER!$F:$F,2,0)</f>
        <v>103.88</v>
      </c>
      <c r="H162">
        <v>11</v>
      </c>
      <c r="I162" t="s">
        <v>103</v>
      </c>
      <c r="J162" t="s">
        <v>102</v>
      </c>
      <c r="K162">
        <v>0</v>
      </c>
      <c r="L162" s="15">
        <f t="shared" si="14"/>
        <v>1078</v>
      </c>
      <c r="M162" s="15">
        <f t="shared" si="15"/>
        <v>1142.6799999999998</v>
      </c>
      <c r="N162" s="15">
        <f t="shared" si="16"/>
        <v>64.679999999999836</v>
      </c>
      <c r="O162" s="10">
        <f t="shared" si="17"/>
        <v>5.9999999999999845E-2</v>
      </c>
      <c r="P162" t="str">
        <f t="shared" si="18"/>
        <v>01</v>
      </c>
      <c r="Q162" t="str">
        <f t="shared" si="19"/>
        <v>Aug</v>
      </c>
      <c r="R162" t="str">
        <f t="shared" si="20"/>
        <v>2021</v>
      </c>
    </row>
    <row r="163" spans="1:18" x14ac:dyDescent="0.2">
      <c r="A163" s="1">
        <v>44410</v>
      </c>
      <c r="B163" t="s">
        <v>51</v>
      </c>
      <c r="C163" t="str">
        <f>_xlfn.XLOOKUP(B163,PRODUCT_MASTER!$A:$A,PRODUCT_MASTER!$B:$B,2,0)</f>
        <v>Product23</v>
      </c>
      <c r="D163" t="str">
        <f>_xlfn.XLOOKUP(B163,PRODUCT_MASTER!$A:$A,PRODUCT_MASTER!$C:$C,2,0)</f>
        <v>Seafood</v>
      </c>
      <c r="E163" t="str">
        <f>_xlfn.XLOOKUP(B163,PRODUCT_MASTER!$A:$A,PRODUCT_MASTER!$D:$D,2,0)</f>
        <v>Ft</v>
      </c>
      <c r="F163">
        <f>_xlfn.XLOOKUP(B163,PRODUCT_MASTER!$A:$A,PRODUCT_MASTER!$E:$E,2,0)</f>
        <v>141</v>
      </c>
      <c r="G163">
        <f>_xlfn.XLOOKUP(B163,PRODUCT_MASTER!$A:$A,PRODUCT_MASTER!$F:$F,2,0)</f>
        <v>149.46</v>
      </c>
      <c r="H163">
        <v>3</v>
      </c>
      <c r="I163" t="s">
        <v>103</v>
      </c>
      <c r="J163" t="s">
        <v>101</v>
      </c>
      <c r="K163">
        <v>0</v>
      </c>
      <c r="L163" s="15">
        <f t="shared" si="14"/>
        <v>423</v>
      </c>
      <c r="M163" s="15">
        <f t="shared" si="15"/>
        <v>448.38</v>
      </c>
      <c r="N163" s="15">
        <f t="shared" si="16"/>
        <v>25.379999999999995</v>
      </c>
      <c r="O163" s="10">
        <f t="shared" si="17"/>
        <v>5.9999999999999991E-2</v>
      </c>
      <c r="P163" t="str">
        <f t="shared" si="18"/>
        <v>02</v>
      </c>
      <c r="Q163" t="str">
        <f t="shared" si="19"/>
        <v>Aug</v>
      </c>
      <c r="R163" t="str">
        <f t="shared" si="20"/>
        <v>2021</v>
      </c>
    </row>
    <row r="164" spans="1:18" x14ac:dyDescent="0.2">
      <c r="A164" s="1">
        <v>44411</v>
      </c>
      <c r="B164" t="s">
        <v>49</v>
      </c>
      <c r="C164" t="str">
        <f>_xlfn.XLOOKUP(B164,PRODUCT_MASTER!$A:$A,PRODUCT_MASTER!$B:$B,2,0)</f>
        <v>Product22</v>
      </c>
      <c r="D164" t="str">
        <f>_xlfn.XLOOKUP(B164,PRODUCT_MASTER!$A:$A,PRODUCT_MASTER!$C:$C,2,0)</f>
        <v>Seafood</v>
      </c>
      <c r="E164" t="str">
        <f>_xlfn.XLOOKUP(B164,PRODUCT_MASTER!$A:$A,PRODUCT_MASTER!$D:$D,2,0)</f>
        <v>Ft</v>
      </c>
      <c r="F164">
        <f>_xlfn.XLOOKUP(B164,PRODUCT_MASTER!$A:$A,PRODUCT_MASTER!$E:$E,2,0)</f>
        <v>121</v>
      </c>
      <c r="G164">
        <f>_xlfn.XLOOKUP(B164,PRODUCT_MASTER!$A:$A,PRODUCT_MASTER!$F:$F,2,0)</f>
        <v>141.57</v>
      </c>
      <c r="H164">
        <v>13</v>
      </c>
      <c r="I164" t="s">
        <v>101</v>
      </c>
      <c r="J164" t="s">
        <v>101</v>
      </c>
      <c r="K164">
        <v>0</v>
      </c>
      <c r="L164" s="15">
        <f t="shared" si="14"/>
        <v>1573</v>
      </c>
      <c r="M164" s="15">
        <f t="shared" si="15"/>
        <v>1840.4099999999999</v>
      </c>
      <c r="N164" s="15">
        <f t="shared" si="16"/>
        <v>267.40999999999985</v>
      </c>
      <c r="O164" s="10">
        <f t="shared" si="17"/>
        <v>0.1699999999999999</v>
      </c>
      <c r="P164" t="str">
        <f t="shared" si="18"/>
        <v>03</v>
      </c>
      <c r="Q164" t="str">
        <f t="shared" si="19"/>
        <v>Aug</v>
      </c>
      <c r="R164" t="str">
        <f t="shared" si="20"/>
        <v>2021</v>
      </c>
    </row>
    <row r="165" spans="1:18" x14ac:dyDescent="0.2">
      <c r="A165" s="1">
        <v>44411</v>
      </c>
      <c r="B165" t="s">
        <v>73</v>
      </c>
      <c r="C165" t="str">
        <f>_xlfn.XLOOKUP(B165,PRODUCT_MASTER!$A:$A,PRODUCT_MASTER!$B:$B,2,0)</f>
        <v>Product34</v>
      </c>
      <c r="D165" t="str">
        <f>_xlfn.XLOOKUP(B165,PRODUCT_MASTER!$A:$A,PRODUCT_MASTER!$C:$C,2,0)</f>
        <v>Bakery And Desserts</v>
      </c>
      <c r="E165" t="str">
        <f>_xlfn.XLOOKUP(B165,PRODUCT_MASTER!$A:$A,PRODUCT_MASTER!$D:$D,2,0)</f>
        <v>Lt</v>
      </c>
      <c r="F165">
        <f>_xlfn.XLOOKUP(B165,PRODUCT_MASTER!$A:$A,PRODUCT_MASTER!$E:$E,2,0)</f>
        <v>55</v>
      </c>
      <c r="G165">
        <f>_xlfn.XLOOKUP(B165,PRODUCT_MASTER!$A:$A,PRODUCT_MASTER!$F:$F,2,0)</f>
        <v>58.3</v>
      </c>
      <c r="H165">
        <v>12</v>
      </c>
      <c r="I165" t="s">
        <v>101</v>
      </c>
      <c r="J165" t="s">
        <v>101</v>
      </c>
      <c r="K165">
        <v>0</v>
      </c>
      <c r="L165" s="15">
        <f t="shared" si="14"/>
        <v>660</v>
      </c>
      <c r="M165" s="15">
        <f t="shared" si="15"/>
        <v>699.59999999999991</v>
      </c>
      <c r="N165" s="15">
        <f t="shared" si="16"/>
        <v>39.599999999999909</v>
      </c>
      <c r="O165" s="10">
        <f t="shared" si="17"/>
        <v>5.9999999999999859E-2</v>
      </c>
      <c r="P165" t="str">
        <f t="shared" si="18"/>
        <v>03</v>
      </c>
      <c r="Q165" t="str">
        <f t="shared" si="19"/>
        <v>Aug</v>
      </c>
      <c r="R165" t="str">
        <f t="shared" si="20"/>
        <v>2021</v>
      </c>
    </row>
    <row r="166" spans="1:18" x14ac:dyDescent="0.2">
      <c r="A166" s="1">
        <v>44413</v>
      </c>
      <c r="B166" t="s">
        <v>61</v>
      </c>
      <c r="C166" t="str">
        <f>_xlfn.XLOOKUP(B166,PRODUCT_MASTER!$A:$A,PRODUCT_MASTER!$B:$B,2,0)</f>
        <v>Product28</v>
      </c>
      <c r="D166" t="str">
        <f>_xlfn.XLOOKUP(B166,PRODUCT_MASTER!$A:$A,PRODUCT_MASTER!$C:$C,2,0)</f>
        <v>Cheese And Dairy</v>
      </c>
      <c r="E166" t="str">
        <f>_xlfn.XLOOKUP(B166,PRODUCT_MASTER!$A:$A,PRODUCT_MASTER!$D:$D,2,0)</f>
        <v>No.</v>
      </c>
      <c r="F166">
        <f>_xlfn.XLOOKUP(B166,PRODUCT_MASTER!$A:$A,PRODUCT_MASTER!$E:$E,2,0)</f>
        <v>37</v>
      </c>
      <c r="G166">
        <f>_xlfn.XLOOKUP(B166,PRODUCT_MASTER!$A:$A,PRODUCT_MASTER!$F:$F,2,0)</f>
        <v>41.81</v>
      </c>
      <c r="H166">
        <v>14</v>
      </c>
      <c r="I166" t="s">
        <v>103</v>
      </c>
      <c r="J166" t="s">
        <v>102</v>
      </c>
      <c r="K166">
        <v>0</v>
      </c>
      <c r="L166" s="15">
        <f t="shared" si="14"/>
        <v>518</v>
      </c>
      <c r="M166" s="15">
        <f t="shared" si="15"/>
        <v>585.34</v>
      </c>
      <c r="N166" s="15">
        <f t="shared" si="16"/>
        <v>67.340000000000032</v>
      </c>
      <c r="O166" s="10">
        <f t="shared" si="17"/>
        <v>0.13000000000000006</v>
      </c>
      <c r="P166" t="str">
        <f t="shared" si="18"/>
        <v>05</v>
      </c>
      <c r="Q166" t="str">
        <f t="shared" si="19"/>
        <v>Aug</v>
      </c>
      <c r="R166" t="str">
        <f t="shared" si="20"/>
        <v>2021</v>
      </c>
    </row>
    <row r="167" spans="1:18" x14ac:dyDescent="0.2">
      <c r="A167" s="1">
        <v>44414</v>
      </c>
      <c r="B167" t="s">
        <v>79</v>
      </c>
      <c r="C167" t="str">
        <f>_xlfn.XLOOKUP(B167,PRODUCT_MASTER!$A:$A,PRODUCT_MASTER!$B:$B,2,0)</f>
        <v>Product37</v>
      </c>
      <c r="D167" t="str">
        <f>_xlfn.XLOOKUP(B167,PRODUCT_MASTER!$A:$A,PRODUCT_MASTER!$C:$C,2,0)</f>
        <v>Snacks</v>
      </c>
      <c r="E167" t="str">
        <f>_xlfn.XLOOKUP(B167,PRODUCT_MASTER!$A:$A,PRODUCT_MASTER!$D:$D,2,0)</f>
        <v>Kg</v>
      </c>
      <c r="F167">
        <f>_xlfn.XLOOKUP(B167,PRODUCT_MASTER!$A:$A,PRODUCT_MASTER!$E:$E,2,0)</f>
        <v>67</v>
      </c>
      <c r="G167">
        <f>_xlfn.XLOOKUP(B167,PRODUCT_MASTER!$A:$A,PRODUCT_MASTER!$F:$F,2,0)</f>
        <v>85.76</v>
      </c>
      <c r="H167">
        <v>1</v>
      </c>
      <c r="I167" t="s">
        <v>100</v>
      </c>
      <c r="J167" t="s">
        <v>102</v>
      </c>
      <c r="K167">
        <v>0</v>
      </c>
      <c r="L167" s="15">
        <f t="shared" si="14"/>
        <v>67</v>
      </c>
      <c r="M167" s="15">
        <f t="shared" si="15"/>
        <v>85.76</v>
      </c>
      <c r="N167" s="15">
        <f t="shared" si="16"/>
        <v>18.760000000000005</v>
      </c>
      <c r="O167" s="10">
        <f t="shared" si="17"/>
        <v>0.28000000000000008</v>
      </c>
      <c r="P167" t="str">
        <f t="shared" si="18"/>
        <v>06</v>
      </c>
      <c r="Q167" t="str">
        <f t="shared" si="19"/>
        <v>Aug</v>
      </c>
      <c r="R167" t="str">
        <f t="shared" si="20"/>
        <v>2021</v>
      </c>
    </row>
    <row r="168" spans="1:18" x14ac:dyDescent="0.2">
      <c r="A168" s="1">
        <v>44418</v>
      </c>
      <c r="B168" t="s">
        <v>15</v>
      </c>
      <c r="C168" t="str">
        <f>_xlfn.XLOOKUP(B168,PRODUCT_MASTER!$A:$A,PRODUCT_MASTER!$B:$B,2,0)</f>
        <v>Product05</v>
      </c>
      <c r="D168" t="str">
        <f>_xlfn.XLOOKUP(B168,PRODUCT_MASTER!$A:$A,PRODUCT_MASTER!$C:$C,2,0)</f>
        <v>Organic</v>
      </c>
      <c r="E168" t="str">
        <f>_xlfn.XLOOKUP(B168,PRODUCT_MASTER!$A:$A,PRODUCT_MASTER!$D:$D,2,0)</f>
        <v>Ft</v>
      </c>
      <c r="F168">
        <f>_xlfn.XLOOKUP(B168,PRODUCT_MASTER!$A:$A,PRODUCT_MASTER!$E:$E,2,0)</f>
        <v>133</v>
      </c>
      <c r="G168">
        <f>_xlfn.XLOOKUP(B168,PRODUCT_MASTER!$A:$A,PRODUCT_MASTER!$F:$F,2,0)</f>
        <v>155.61000000000001</v>
      </c>
      <c r="H168">
        <v>4</v>
      </c>
      <c r="I168" t="s">
        <v>100</v>
      </c>
      <c r="J168" t="s">
        <v>102</v>
      </c>
      <c r="K168">
        <v>0</v>
      </c>
      <c r="L168" s="15">
        <f t="shared" si="14"/>
        <v>532</v>
      </c>
      <c r="M168" s="15">
        <f t="shared" si="15"/>
        <v>622.44000000000005</v>
      </c>
      <c r="N168" s="15">
        <f t="shared" si="16"/>
        <v>90.440000000000055</v>
      </c>
      <c r="O168" s="10">
        <f t="shared" si="17"/>
        <v>0.1700000000000001</v>
      </c>
      <c r="P168" t="str">
        <f t="shared" si="18"/>
        <v>10</v>
      </c>
      <c r="Q168" t="str">
        <f t="shared" si="19"/>
        <v>Aug</v>
      </c>
      <c r="R168" t="str">
        <f t="shared" si="20"/>
        <v>2021</v>
      </c>
    </row>
    <row r="169" spans="1:18" x14ac:dyDescent="0.2">
      <c r="A169" s="1">
        <v>44418</v>
      </c>
      <c r="B169" t="s">
        <v>93</v>
      </c>
      <c r="C169" t="str">
        <f>_xlfn.XLOOKUP(B169,PRODUCT_MASTER!$A:$A,PRODUCT_MASTER!$B:$B,2,0)</f>
        <v>Product44</v>
      </c>
      <c r="D169" t="str">
        <f>_xlfn.XLOOKUP(B169,PRODUCT_MASTER!$A:$A,PRODUCT_MASTER!$C:$C,2,0)</f>
        <v>Candy</v>
      </c>
      <c r="E169" t="str">
        <f>_xlfn.XLOOKUP(B169,PRODUCT_MASTER!$A:$A,PRODUCT_MASTER!$D:$D,2,0)</f>
        <v>Kg</v>
      </c>
      <c r="F169">
        <f>_xlfn.XLOOKUP(B169,PRODUCT_MASTER!$A:$A,PRODUCT_MASTER!$E:$E,2,0)</f>
        <v>76</v>
      </c>
      <c r="G169">
        <f>_xlfn.XLOOKUP(B169,PRODUCT_MASTER!$A:$A,PRODUCT_MASTER!$F:$F,2,0)</f>
        <v>82.08</v>
      </c>
      <c r="H169">
        <v>10</v>
      </c>
      <c r="I169" t="s">
        <v>101</v>
      </c>
      <c r="J169" t="s">
        <v>102</v>
      </c>
      <c r="K169">
        <v>0</v>
      </c>
      <c r="L169" s="15">
        <f t="shared" si="14"/>
        <v>760</v>
      </c>
      <c r="M169" s="15">
        <f t="shared" si="15"/>
        <v>820.8</v>
      </c>
      <c r="N169" s="15">
        <f t="shared" si="16"/>
        <v>60.799999999999955</v>
      </c>
      <c r="O169" s="10">
        <f t="shared" si="17"/>
        <v>7.9999999999999946E-2</v>
      </c>
      <c r="P169" t="str">
        <f t="shared" si="18"/>
        <v>10</v>
      </c>
      <c r="Q169" t="str">
        <f t="shared" si="19"/>
        <v>Aug</v>
      </c>
      <c r="R169" t="str">
        <f t="shared" si="20"/>
        <v>2021</v>
      </c>
    </row>
    <row r="170" spans="1:18" x14ac:dyDescent="0.2">
      <c r="A170" s="1">
        <v>44418</v>
      </c>
      <c r="B170" t="s">
        <v>17</v>
      </c>
      <c r="C170" t="str">
        <f>_xlfn.XLOOKUP(B170,PRODUCT_MASTER!$A:$A,PRODUCT_MASTER!$B:$B,2,0)</f>
        <v>Product06</v>
      </c>
      <c r="D170" t="str">
        <f>_xlfn.XLOOKUP(B170,PRODUCT_MASTER!$A:$A,PRODUCT_MASTER!$C:$C,2,0)</f>
        <v>Gourmet Foods</v>
      </c>
      <c r="E170" t="str">
        <f>_xlfn.XLOOKUP(B170,PRODUCT_MASTER!$A:$A,PRODUCT_MASTER!$D:$D,2,0)</f>
        <v>Kg</v>
      </c>
      <c r="F170">
        <f>_xlfn.XLOOKUP(B170,PRODUCT_MASTER!$A:$A,PRODUCT_MASTER!$E:$E,2,0)</f>
        <v>75</v>
      </c>
      <c r="G170">
        <f>_xlfn.XLOOKUP(B170,PRODUCT_MASTER!$A:$A,PRODUCT_MASTER!$F:$F,2,0)</f>
        <v>85.5</v>
      </c>
      <c r="H170">
        <v>6</v>
      </c>
      <c r="I170" t="s">
        <v>103</v>
      </c>
      <c r="J170" t="s">
        <v>102</v>
      </c>
      <c r="K170">
        <v>0</v>
      </c>
      <c r="L170" s="15">
        <f t="shared" si="14"/>
        <v>450</v>
      </c>
      <c r="M170" s="15">
        <f t="shared" si="15"/>
        <v>513</v>
      </c>
      <c r="N170" s="15">
        <f t="shared" si="16"/>
        <v>63</v>
      </c>
      <c r="O170" s="10">
        <f t="shared" si="17"/>
        <v>0.14000000000000001</v>
      </c>
      <c r="P170" t="str">
        <f t="shared" si="18"/>
        <v>10</v>
      </c>
      <c r="Q170" t="str">
        <f t="shared" si="19"/>
        <v>Aug</v>
      </c>
      <c r="R170" t="str">
        <f t="shared" si="20"/>
        <v>2021</v>
      </c>
    </row>
    <row r="171" spans="1:18" x14ac:dyDescent="0.2">
      <c r="A171" s="1">
        <v>44419</v>
      </c>
      <c r="B171" t="s">
        <v>51</v>
      </c>
      <c r="C171" t="str">
        <f>_xlfn.XLOOKUP(B171,PRODUCT_MASTER!$A:$A,PRODUCT_MASTER!$B:$B,2,0)</f>
        <v>Product23</v>
      </c>
      <c r="D171" t="str">
        <f>_xlfn.XLOOKUP(B171,PRODUCT_MASTER!$A:$A,PRODUCT_MASTER!$C:$C,2,0)</f>
        <v>Seafood</v>
      </c>
      <c r="E171" t="str">
        <f>_xlfn.XLOOKUP(B171,PRODUCT_MASTER!$A:$A,PRODUCT_MASTER!$D:$D,2,0)</f>
        <v>Ft</v>
      </c>
      <c r="F171">
        <f>_xlfn.XLOOKUP(B171,PRODUCT_MASTER!$A:$A,PRODUCT_MASTER!$E:$E,2,0)</f>
        <v>141</v>
      </c>
      <c r="G171">
        <f>_xlfn.XLOOKUP(B171,PRODUCT_MASTER!$A:$A,PRODUCT_MASTER!$F:$F,2,0)</f>
        <v>149.46</v>
      </c>
      <c r="H171">
        <v>4</v>
      </c>
      <c r="I171" t="s">
        <v>103</v>
      </c>
      <c r="J171" t="s">
        <v>101</v>
      </c>
      <c r="K171">
        <v>0</v>
      </c>
      <c r="L171" s="15">
        <f t="shared" si="14"/>
        <v>564</v>
      </c>
      <c r="M171" s="15">
        <f t="shared" si="15"/>
        <v>597.84</v>
      </c>
      <c r="N171" s="15">
        <f t="shared" si="16"/>
        <v>33.840000000000032</v>
      </c>
      <c r="O171" s="10">
        <f t="shared" si="17"/>
        <v>6.0000000000000053E-2</v>
      </c>
      <c r="P171" t="str">
        <f t="shared" si="18"/>
        <v>11</v>
      </c>
      <c r="Q171" t="str">
        <f t="shared" si="19"/>
        <v>Aug</v>
      </c>
      <c r="R171" t="str">
        <f t="shared" si="20"/>
        <v>2021</v>
      </c>
    </row>
    <row r="172" spans="1:18" x14ac:dyDescent="0.2">
      <c r="A172" s="1">
        <v>44421</v>
      </c>
      <c r="B172" t="s">
        <v>27</v>
      </c>
      <c r="C172" t="str">
        <f>_xlfn.XLOOKUP(B172,PRODUCT_MASTER!$A:$A,PRODUCT_MASTER!$B:$B,2,0)</f>
        <v>Product11</v>
      </c>
      <c r="D172" t="str">
        <f>_xlfn.XLOOKUP(B172,PRODUCT_MASTER!$A:$A,PRODUCT_MASTER!$C:$C,2,0)</f>
        <v>Gourmet Foods</v>
      </c>
      <c r="E172" t="str">
        <f>_xlfn.XLOOKUP(B172,PRODUCT_MASTER!$A:$A,PRODUCT_MASTER!$D:$D,2,0)</f>
        <v>Lt</v>
      </c>
      <c r="F172">
        <f>_xlfn.XLOOKUP(B172,PRODUCT_MASTER!$A:$A,PRODUCT_MASTER!$E:$E,2,0)</f>
        <v>44</v>
      </c>
      <c r="G172">
        <f>_xlfn.XLOOKUP(B172,PRODUCT_MASTER!$A:$A,PRODUCT_MASTER!$F:$F,2,0)</f>
        <v>48.4</v>
      </c>
      <c r="H172">
        <v>13</v>
      </c>
      <c r="I172" t="s">
        <v>103</v>
      </c>
      <c r="J172" t="s">
        <v>101</v>
      </c>
      <c r="K172">
        <v>0</v>
      </c>
      <c r="L172" s="15">
        <f t="shared" si="14"/>
        <v>572</v>
      </c>
      <c r="M172" s="15">
        <f t="shared" si="15"/>
        <v>629.19999999999993</v>
      </c>
      <c r="N172" s="15">
        <f t="shared" si="16"/>
        <v>57.199999999999932</v>
      </c>
      <c r="O172" s="10">
        <f t="shared" si="17"/>
        <v>9.9999999999999881E-2</v>
      </c>
      <c r="P172" t="str">
        <f t="shared" si="18"/>
        <v>13</v>
      </c>
      <c r="Q172" t="str">
        <f t="shared" si="19"/>
        <v>Aug</v>
      </c>
      <c r="R172" t="str">
        <f t="shared" si="20"/>
        <v>2021</v>
      </c>
    </row>
    <row r="173" spans="1:18" x14ac:dyDescent="0.2">
      <c r="A173" s="1">
        <v>44421</v>
      </c>
      <c r="B173" t="s">
        <v>59</v>
      </c>
      <c r="C173" t="str">
        <f>_xlfn.XLOOKUP(B173,PRODUCT_MASTER!$A:$A,PRODUCT_MASTER!$B:$B,2,0)</f>
        <v>Product27</v>
      </c>
      <c r="D173" t="str">
        <f>_xlfn.XLOOKUP(B173,PRODUCT_MASTER!$A:$A,PRODUCT_MASTER!$C:$C,2,0)</f>
        <v>Cheese And Dairy</v>
      </c>
      <c r="E173" t="str">
        <f>_xlfn.XLOOKUP(B173,PRODUCT_MASTER!$A:$A,PRODUCT_MASTER!$D:$D,2,0)</f>
        <v>Lt</v>
      </c>
      <c r="F173">
        <f>_xlfn.XLOOKUP(B173,PRODUCT_MASTER!$A:$A,PRODUCT_MASTER!$E:$E,2,0)</f>
        <v>48</v>
      </c>
      <c r="G173">
        <f>_xlfn.XLOOKUP(B173,PRODUCT_MASTER!$A:$A,PRODUCT_MASTER!$F:$F,2,0)</f>
        <v>57.120000000000005</v>
      </c>
      <c r="H173">
        <v>9</v>
      </c>
      <c r="I173" t="s">
        <v>103</v>
      </c>
      <c r="J173" t="s">
        <v>101</v>
      </c>
      <c r="K173">
        <v>0</v>
      </c>
      <c r="L173" s="15">
        <f t="shared" si="14"/>
        <v>432</v>
      </c>
      <c r="M173" s="15">
        <f t="shared" si="15"/>
        <v>514.08000000000004</v>
      </c>
      <c r="N173" s="15">
        <f t="shared" si="16"/>
        <v>82.080000000000041</v>
      </c>
      <c r="O173" s="10">
        <f t="shared" si="17"/>
        <v>0.19000000000000009</v>
      </c>
      <c r="P173" t="str">
        <f t="shared" si="18"/>
        <v>13</v>
      </c>
      <c r="Q173" t="str">
        <f t="shared" si="19"/>
        <v>Aug</v>
      </c>
      <c r="R173" t="str">
        <f t="shared" si="20"/>
        <v>2021</v>
      </c>
    </row>
    <row r="174" spans="1:18" x14ac:dyDescent="0.2">
      <c r="A174" s="1">
        <v>44424</v>
      </c>
      <c r="B174" t="s">
        <v>11</v>
      </c>
      <c r="C174" t="str">
        <f>_xlfn.XLOOKUP(B174,PRODUCT_MASTER!$A:$A,PRODUCT_MASTER!$B:$B,2,0)</f>
        <v>Product03</v>
      </c>
      <c r="D174" t="str">
        <f>_xlfn.XLOOKUP(B174,PRODUCT_MASTER!$A:$A,PRODUCT_MASTER!$C:$C,2,0)</f>
        <v>Organic</v>
      </c>
      <c r="E174" t="str">
        <f>_xlfn.XLOOKUP(B174,PRODUCT_MASTER!$A:$A,PRODUCT_MASTER!$D:$D,2,0)</f>
        <v>Kg</v>
      </c>
      <c r="F174">
        <f>_xlfn.XLOOKUP(B174,PRODUCT_MASTER!$A:$A,PRODUCT_MASTER!$E:$E,2,0)</f>
        <v>71</v>
      </c>
      <c r="G174">
        <f>_xlfn.XLOOKUP(B174,PRODUCT_MASTER!$A:$A,PRODUCT_MASTER!$F:$F,2,0)</f>
        <v>80.94</v>
      </c>
      <c r="H174">
        <v>3</v>
      </c>
      <c r="I174" t="s">
        <v>101</v>
      </c>
      <c r="J174" t="s">
        <v>101</v>
      </c>
      <c r="K174">
        <v>0</v>
      </c>
      <c r="L174" s="15">
        <f t="shared" si="14"/>
        <v>213</v>
      </c>
      <c r="M174" s="15">
        <f t="shared" si="15"/>
        <v>242.82</v>
      </c>
      <c r="N174" s="15">
        <f t="shared" si="16"/>
        <v>29.819999999999993</v>
      </c>
      <c r="O174" s="10">
        <f t="shared" si="17"/>
        <v>0.13999999999999996</v>
      </c>
      <c r="P174" t="str">
        <f t="shared" si="18"/>
        <v>16</v>
      </c>
      <c r="Q174" t="str">
        <f t="shared" si="19"/>
        <v>Aug</v>
      </c>
      <c r="R174" t="str">
        <f t="shared" si="20"/>
        <v>2021</v>
      </c>
    </row>
    <row r="175" spans="1:18" x14ac:dyDescent="0.2">
      <c r="A175" s="1">
        <v>44426</v>
      </c>
      <c r="B175" t="s">
        <v>55</v>
      </c>
      <c r="C175" t="str">
        <f>_xlfn.XLOOKUP(B175,PRODUCT_MASTER!$A:$A,PRODUCT_MASTER!$B:$B,2,0)</f>
        <v>Product25</v>
      </c>
      <c r="D175" t="str">
        <f>_xlfn.XLOOKUP(B175,PRODUCT_MASTER!$A:$A,PRODUCT_MASTER!$C:$C,2,0)</f>
        <v>Seafood</v>
      </c>
      <c r="E175" t="str">
        <f>_xlfn.XLOOKUP(B175,PRODUCT_MASTER!$A:$A,PRODUCT_MASTER!$D:$D,2,0)</f>
        <v>No.</v>
      </c>
      <c r="F175">
        <f>_xlfn.XLOOKUP(B175,PRODUCT_MASTER!$A:$A,PRODUCT_MASTER!$E:$E,2,0)</f>
        <v>7</v>
      </c>
      <c r="G175">
        <f>_xlfn.XLOOKUP(B175,PRODUCT_MASTER!$A:$A,PRODUCT_MASTER!$F:$F,2,0)</f>
        <v>8.33</v>
      </c>
      <c r="H175">
        <v>6</v>
      </c>
      <c r="I175" t="s">
        <v>103</v>
      </c>
      <c r="J175" t="s">
        <v>101</v>
      </c>
      <c r="K175">
        <v>0</v>
      </c>
      <c r="L175" s="15">
        <f t="shared" si="14"/>
        <v>42</v>
      </c>
      <c r="M175" s="15">
        <f t="shared" si="15"/>
        <v>49.980000000000004</v>
      </c>
      <c r="N175" s="15">
        <f t="shared" si="16"/>
        <v>7.980000000000004</v>
      </c>
      <c r="O175" s="10">
        <f t="shared" si="17"/>
        <v>0.19000000000000009</v>
      </c>
      <c r="P175" t="str">
        <f t="shared" si="18"/>
        <v>18</v>
      </c>
      <c r="Q175" t="str">
        <f t="shared" si="19"/>
        <v>Aug</v>
      </c>
      <c r="R175" t="str">
        <f t="shared" si="20"/>
        <v>2021</v>
      </c>
    </row>
    <row r="176" spans="1:18" x14ac:dyDescent="0.2">
      <c r="A176" s="1">
        <v>44428</v>
      </c>
      <c r="B176" t="s">
        <v>45</v>
      </c>
      <c r="C176" t="str">
        <f>_xlfn.XLOOKUP(B176,PRODUCT_MASTER!$A:$A,PRODUCT_MASTER!$B:$B,2,0)</f>
        <v>Product20</v>
      </c>
      <c r="D176" t="str">
        <f>_xlfn.XLOOKUP(B176,PRODUCT_MASTER!$A:$A,PRODUCT_MASTER!$C:$C,2,0)</f>
        <v>Poultry</v>
      </c>
      <c r="E176" t="str">
        <f>_xlfn.XLOOKUP(B176,PRODUCT_MASTER!$A:$A,PRODUCT_MASTER!$D:$D,2,0)</f>
        <v>Lt</v>
      </c>
      <c r="F176">
        <f>_xlfn.XLOOKUP(B176,PRODUCT_MASTER!$A:$A,PRODUCT_MASTER!$E:$E,2,0)</f>
        <v>61</v>
      </c>
      <c r="G176">
        <f>_xlfn.XLOOKUP(B176,PRODUCT_MASTER!$A:$A,PRODUCT_MASTER!$F:$F,2,0)</f>
        <v>76.25</v>
      </c>
      <c r="H176">
        <v>15</v>
      </c>
      <c r="I176" t="s">
        <v>103</v>
      </c>
      <c r="J176" t="s">
        <v>102</v>
      </c>
      <c r="K176">
        <v>0</v>
      </c>
      <c r="L176" s="15">
        <f t="shared" si="14"/>
        <v>915</v>
      </c>
      <c r="M176" s="15">
        <f t="shared" si="15"/>
        <v>1143.75</v>
      </c>
      <c r="N176" s="15">
        <f t="shared" si="16"/>
        <v>228.75</v>
      </c>
      <c r="O176" s="10">
        <f t="shared" si="17"/>
        <v>0.25</v>
      </c>
      <c r="P176" t="str">
        <f t="shared" si="18"/>
        <v>20</v>
      </c>
      <c r="Q176" t="str">
        <f t="shared" si="19"/>
        <v>Aug</v>
      </c>
      <c r="R176" t="str">
        <f t="shared" si="20"/>
        <v>2021</v>
      </c>
    </row>
    <row r="177" spans="1:18" x14ac:dyDescent="0.2">
      <c r="A177" s="1">
        <v>44428</v>
      </c>
      <c r="B177" t="s">
        <v>67</v>
      </c>
      <c r="C177" t="str">
        <f>_xlfn.XLOOKUP(B177,PRODUCT_MASTER!$A:$A,PRODUCT_MASTER!$B:$B,2,0)</f>
        <v>Product31</v>
      </c>
      <c r="D177" t="str">
        <f>_xlfn.XLOOKUP(B177,PRODUCT_MASTER!$A:$A,PRODUCT_MASTER!$C:$C,2,0)</f>
        <v>Cheese And Dairy</v>
      </c>
      <c r="E177" t="str">
        <f>_xlfn.XLOOKUP(B177,PRODUCT_MASTER!$A:$A,PRODUCT_MASTER!$D:$D,2,0)</f>
        <v>Kg</v>
      </c>
      <c r="F177">
        <f>_xlfn.XLOOKUP(B177,PRODUCT_MASTER!$A:$A,PRODUCT_MASTER!$E:$E,2,0)</f>
        <v>93</v>
      </c>
      <c r="G177">
        <f>_xlfn.XLOOKUP(B177,PRODUCT_MASTER!$A:$A,PRODUCT_MASTER!$F:$F,2,0)</f>
        <v>104.16</v>
      </c>
      <c r="H177">
        <v>9</v>
      </c>
      <c r="I177" t="s">
        <v>103</v>
      </c>
      <c r="J177" t="s">
        <v>101</v>
      </c>
      <c r="K177">
        <v>0</v>
      </c>
      <c r="L177" s="15">
        <f t="shared" si="14"/>
        <v>837</v>
      </c>
      <c r="M177" s="15">
        <f t="shared" si="15"/>
        <v>937.43999999999994</v>
      </c>
      <c r="N177" s="15">
        <f t="shared" si="16"/>
        <v>100.43999999999994</v>
      </c>
      <c r="O177" s="10">
        <f t="shared" si="17"/>
        <v>0.11999999999999993</v>
      </c>
      <c r="P177" t="str">
        <f t="shared" si="18"/>
        <v>20</v>
      </c>
      <c r="Q177" t="str">
        <f t="shared" si="19"/>
        <v>Aug</v>
      </c>
      <c r="R177" t="str">
        <f t="shared" si="20"/>
        <v>2021</v>
      </c>
    </row>
    <row r="178" spans="1:18" x14ac:dyDescent="0.2">
      <c r="A178" s="1">
        <v>44428</v>
      </c>
      <c r="B178" t="s">
        <v>61</v>
      </c>
      <c r="C178" t="str">
        <f>_xlfn.XLOOKUP(B178,PRODUCT_MASTER!$A:$A,PRODUCT_MASTER!$B:$B,2,0)</f>
        <v>Product28</v>
      </c>
      <c r="D178" t="str">
        <f>_xlfn.XLOOKUP(B178,PRODUCT_MASTER!$A:$A,PRODUCT_MASTER!$C:$C,2,0)</f>
        <v>Cheese And Dairy</v>
      </c>
      <c r="E178" t="str">
        <f>_xlfn.XLOOKUP(B178,PRODUCT_MASTER!$A:$A,PRODUCT_MASTER!$D:$D,2,0)</f>
        <v>No.</v>
      </c>
      <c r="F178">
        <f>_xlfn.XLOOKUP(B178,PRODUCT_MASTER!$A:$A,PRODUCT_MASTER!$E:$E,2,0)</f>
        <v>37</v>
      </c>
      <c r="G178">
        <f>_xlfn.XLOOKUP(B178,PRODUCT_MASTER!$A:$A,PRODUCT_MASTER!$F:$F,2,0)</f>
        <v>41.81</v>
      </c>
      <c r="H178">
        <v>13</v>
      </c>
      <c r="I178" t="s">
        <v>103</v>
      </c>
      <c r="J178" t="s">
        <v>101</v>
      </c>
      <c r="K178">
        <v>0</v>
      </c>
      <c r="L178" s="15">
        <f t="shared" si="14"/>
        <v>481</v>
      </c>
      <c r="M178" s="15">
        <f t="shared" si="15"/>
        <v>543.53</v>
      </c>
      <c r="N178" s="15">
        <f t="shared" si="16"/>
        <v>62.529999999999973</v>
      </c>
      <c r="O178" s="10">
        <f t="shared" si="17"/>
        <v>0.12999999999999995</v>
      </c>
      <c r="P178" t="str">
        <f t="shared" si="18"/>
        <v>20</v>
      </c>
      <c r="Q178" t="str">
        <f t="shared" si="19"/>
        <v>Aug</v>
      </c>
      <c r="R178" t="str">
        <f t="shared" si="20"/>
        <v>2021</v>
      </c>
    </row>
    <row r="179" spans="1:18" x14ac:dyDescent="0.2">
      <c r="A179" s="1">
        <v>44434</v>
      </c>
      <c r="B179" t="s">
        <v>83</v>
      </c>
      <c r="C179" t="str">
        <f>_xlfn.XLOOKUP(B179,PRODUCT_MASTER!$A:$A,PRODUCT_MASTER!$B:$B,2,0)</f>
        <v>Product39</v>
      </c>
      <c r="D179" t="str">
        <f>_xlfn.XLOOKUP(B179,PRODUCT_MASTER!$A:$A,PRODUCT_MASTER!$C:$C,2,0)</f>
        <v>Snacks</v>
      </c>
      <c r="E179" t="str">
        <f>_xlfn.XLOOKUP(B179,PRODUCT_MASTER!$A:$A,PRODUCT_MASTER!$D:$D,2,0)</f>
        <v>No.</v>
      </c>
      <c r="F179">
        <f>_xlfn.XLOOKUP(B179,PRODUCT_MASTER!$A:$A,PRODUCT_MASTER!$E:$E,2,0)</f>
        <v>37</v>
      </c>
      <c r="G179">
        <f>_xlfn.XLOOKUP(B179,PRODUCT_MASTER!$A:$A,PRODUCT_MASTER!$F:$F,2,0)</f>
        <v>42.55</v>
      </c>
      <c r="H179">
        <v>4</v>
      </c>
      <c r="I179" t="s">
        <v>103</v>
      </c>
      <c r="J179" t="s">
        <v>101</v>
      </c>
      <c r="K179">
        <v>0</v>
      </c>
      <c r="L179" s="15">
        <f t="shared" si="14"/>
        <v>148</v>
      </c>
      <c r="M179" s="15">
        <f t="shared" si="15"/>
        <v>170.2</v>
      </c>
      <c r="N179" s="15">
        <f t="shared" si="16"/>
        <v>22.199999999999989</v>
      </c>
      <c r="O179" s="10">
        <f t="shared" si="17"/>
        <v>0.14999999999999991</v>
      </c>
      <c r="P179" t="str">
        <f t="shared" si="18"/>
        <v>26</v>
      </c>
      <c r="Q179" t="str">
        <f t="shared" si="19"/>
        <v>Aug</v>
      </c>
      <c r="R179" t="str">
        <f t="shared" si="20"/>
        <v>2021</v>
      </c>
    </row>
    <row r="180" spans="1:18" x14ac:dyDescent="0.2">
      <c r="A180" s="1">
        <v>44437</v>
      </c>
      <c r="B180" t="s">
        <v>73</v>
      </c>
      <c r="C180" t="str">
        <f>_xlfn.XLOOKUP(B180,PRODUCT_MASTER!$A:$A,PRODUCT_MASTER!$B:$B,2,0)</f>
        <v>Product34</v>
      </c>
      <c r="D180" t="str">
        <f>_xlfn.XLOOKUP(B180,PRODUCT_MASTER!$A:$A,PRODUCT_MASTER!$C:$C,2,0)</f>
        <v>Bakery And Desserts</v>
      </c>
      <c r="E180" t="str">
        <f>_xlfn.XLOOKUP(B180,PRODUCT_MASTER!$A:$A,PRODUCT_MASTER!$D:$D,2,0)</f>
        <v>Lt</v>
      </c>
      <c r="F180">
        <f>_xlfn.XLOOKUP(B180,PRODUCT_MASTER!$A:$A,PRODUCT_MASTER!$E:$E,2,0)</f>
        <v>55</v>
      </c>
      <c r="G180">
        <f>_xlfn.XLOOKUP(B180,PRODUCT_MASTER!$A:$A,PRODUCT_MASTER!$F:$F,2,0)</f>
        <v>58.3</v>
      </c>
      <c r="H180">
        <v>12</v>
      </c>
      <c r="I180" t="s">
        <v>100</v>
      </c>
      <c r="J180" t="s">
        <v>101</v>
      </c>
      <c r="K180">
        <v>0</v>
      </c>
      <c r="L180" s="15">
        <f t="shared" si="14"/>
        <v>660</v>
      </c>
      <c r="M180" s="15">
        <f t="shared" si="15"/>
        <v>699.59999999999991</v>
      </c>
      <c r="N180" s="15">
        <f t="shared" si="16"/>
        <v>39.599999999999909</v>
      </c>
      <c r="O180" s="10">
        <f t="shared" si="17"/>
        <v>5.9999999999999859E-2</v>
      </c>
      <c r="P180" t="str">
        <f t="shared" si="18"/>
        <v>29</v>
      </c>
      <c r="Q180" t="str">
        <f t="shared" si="19"/>
        <v>Aug</v>
      </c>
      <c r="R180" t="str">
        <f t="shared" si="20"/>
        <v>2021</v>
      </c>
    </row>
    <row r="181" spans="1:18" x14ac:dyDescent="0.2">
      <c r="A181" s="1">
        <v>44438</v>
      </c>
      <c r="B181" t="s">
        <v>31</v>
      </c>
      <c r="C181" t="str">
        <f>_xlfn.XLOOKUP(B181,PRODUCT_MASTER!$A:$A,PRODUCT_MASTER!$B:$B,2,0)</f>
        <v>Product13</v>
      </c>
      <c r="D181" t="str">
        <f>_xlfn.XLOOKUP(B181,PRODUCT_MASTER!$A:$A,PRODUCT_MASTER!$C:$C,2,0)</f>
        <v>Meat</v>
      </c>
      <c r="E181" t="str">
        <f>_xlfn.XLOOKUP(B181,PRODUCT_MASTER!$A:$A,PRODUCT_MASTER!$D:$D,2,0)</f>
        <v>Kg</v>
      </c>
      <c r="F181">
        <f>_xlfn.XLOOKUP(B181,PRODUCT_MASTER!$A:$A,PRODUCT_MASTER!$E:$E,2,0)</f>
        <v>112</v>
      </c>
      <c r="G181">
        <f>_xlfn.XLOOKUP(B181,PRODUCT_MASTER!$A:$A,PRODUCT_MASTER!$F:$F,2,0)</f>
        <v>122.08</v>
      </c>
      <c r="H181">
        <v>13</v>
      </c>
      <c r="I181" t="s">
        <v>103</v>
      </c>
      <c r="J181" t="s">
        <v>101</v>
      </c>
      <c r="K181">
        <v>0</v>
      </c>
      <c r="L181" s="15">
        <f t="shared" si="14"/>
        <v>1456</v>
      </c>
      <c r="M181" s="15">
        <f t="shared" si="15"/>
        <v>1587.04</v>
      </c>
      <c r="N181" s="15">
        <f t="shared" si="16"/>
        <v>131.03999999999996</v>
      </c>
      <c r="O181" s="10">
        <f t="shared" si="17"/>
        <v>8.9999999999999969E-2</v>
      </c>
      <c r="P181" t="str">
        <f t="shared" si="18"/>
        <v>30</v>
      </c>
      <c r="Q181" t="str">
        <f t="shared" si="19"/>
        <v>Aug</v>
      </c>
      <c r="R181" t="str">
        <f t="shared" si="20"/>
        <v>2021</v>
      </c>
    </row>
    <row r="182" spans="1:18" x14ac:dyDescent="0.2">
      <c r="A182" s="1">
        <v>44439</v>
      </c>
      <c r="B182" t="s">
        <v>6</v>
      </c>
      <c r="C182" t="str">
        <f>_xlfn.XLOOKUP(B182,PRODUCT_MASTER!$A:$A,PRODUCT_MASTER!$B:$B,2,0)</f>
        <v>Product01</v>
      </c>
      <c r="D182" t="str">
        <f>_xlfn.XLOOKUP(B182,PRODUCT_MASTER!$A:$A,PRODUCT_MASTER!$C:$C,2,0)</f>
        <v>Organic</v>
      </c>
      <c r="E182" t="str">
        <f>_xlfn.XLOOKUP(B182,PRODUCT_MASTER!$A:$A,PRODUCT_MASTER!$D:$D,2,0)</f>
        <v>Kg</v>
      </c>
      <c r="F182">
        <f>_xlfn.XLOOKUP(B182,PRODUCT_MASTER!$A:$A,PRODUCT_MASTER!$E:$E,2,0)</f>
        <v>98</v>
      </c>
      <c r="G182">
        <f>_xlfn.XLOOKUP(B182,PRODUCT_MASTER!$A:$A,PRODUCT_MASTER!$F:$F,2,0)</f>
        <v>103.88</v>
      </c>
      <c r="H182">
        <v>2</v>
      </c>
      <c r="I182" t="s">
        <v>103</v>
      </c>
      <c r="J182" t="s">
        <v>101</v>
      </c>
      <c r="K182">
        <v>0</v>
      </c>
      <c r="L182" s="15">
        <f t="shared" si="14"/>
        <v>196</v>
      </c>
      <c r="M182" s="15">
        <f t="shared" si="15"/>
        <v>207.76</v>
      </c>
      <c r="N182" s="15">
        <f t="shared" si="16"/>
        <v>11.759999999999991</v>
      </c>
      <c r="O182" s="10">
        <f t="shared" si="17"/>
        <v>5.9999999999999956E-2</v>
      </c>
      <c r="P182" t="str">
        <f t="shared" si="18"/>
        <v>31</v>
      </c>
      <c r="Q182" t="str">
        <f t="shared" si="19"/>
        <v>Aug</v>
      </c>
      <c r="R182" t="str">
        <f t="shared" si="20"/>
        <v>2021</v>
      </c>
    </row>
    <row r="183" spans="1:18" x14ac:dyDescent="0.2">
      <c r="A183" s="1">
        <v>44439</v>
      </c>
      <c r="B183" t="s">
        <v>75</v>
      </c>
      <c r="C183" t="str">
        <f>_xlfn.XLOOKUP(B183,PRODUCT_MASTER!$A:$A,PRODUCT_MASTER!$B:$B,2,0)</f>
        <v>Product35</v>
      </c>
      <c r="D183" t="str">
        <f>_xlfn.XLOOKUP(B183,PRODUCT_MASTER!$A:$A,PRODUCT_MASTER!$C:$C,2,0)</f>
        <v>Bakery And Desserts</v>
      </c>
      <c r="E183" t="str">
        <f>_xlfn.XLOOKUP(B183,PRODUCT_MASTER!$A:$A,PRODUCT_MASTER!$D:$D,2,0)</f>
        <v>No.</v>
      </c>
      <c r="F183">
        <f>_xlfn.XLOOKUP(B183,PRODUCT_MASTER!$A:$A,PRODUCT_MASTER!$E:$E,2,0)</f>
        <v>5</v>
      </c>
      <c r="G183">
        <f>_xlfn.XLOOKUP(B183,PRODUCT_MASTER!$A:$A,PRODUCT_MASTER!$F:$F,2,0)</f>
        <v>6.7</v>
      </c>
      <c r="H183">
        <v>11</v>
      </c>
      <c r="I183" t="s">
        <v>103</v>
      </c>
      <c r="J183" t="s">
        <v>101</v>
      </c>
      <c r="K183">
        <v>0</v>
      </c>
      <c r="L183" s="15">
        <f t="shared" si="14"/>
        <v>55</v>
      </c>
      <c r="M183" s="15">
        <f t="shared" si="15"/>
        <v>73.7</v>
      </c>
      <c r="N183" s="15">
        <f t="shared" si="16"/>
        <v>18.700000000000003</v>
      </c>
      <c r="O183" s="10">
        <f t="shared" si="17"/>
        <v>0.34</v>
      </c>
      <c r="P183" t="str">
        <f t="shared" si="18"/>
        <v>31</v>
      </c>
      <c r="Q183" t="str">
        <f t="shared" si="19"/>
        <v>Aug</v>
      </c>
      <c r="R183" t="str">
        <f t="shared" si="20"/>
        <v>2021</v>
      </c>
    </row>
    <row r="184" spans="1:18" x14ac:dyDescent="0.2">
      <c r="A184" s="1">
        <v>44440</v>
      </c>
      <c r="B184" t="s">
        <v>53</v>
      </c>
      <c r="C184" t="str">
        <f>_xlfn.XLOOKUP(B184,PRODUCT_MASTER!$A:$A,PRODUCT_MASTER!$B:$B,2,0)</f>
        <v>Product24</v>
      </c>
      <c r="D184" t="str">
        <f>_xlfn.XLOOKUP(B184,PRODUCT_MASTER!$A:$A,PRODUCT_MASTER!$C:$C,2,0)</f>
        <v>Seafood</v>
      </c>
      <c r="E184" t="str">
        <f>_xlfn.XLOOKUP(B184,PRODUCT_MASTER!$A:$A,PRODUCT_MASTER!$D:$D,2,0)</f>
        <v>Ft</v>
      </c>
      <c r="F184">
        <f>_xlfn.XLOOKUP(B184,PRODUCT_MASTER!$A:$A,PRODUCT_MASTER!$E:$E,2,0)</f>
        <v>144</v>
      </c>
      <c r="G184">
        <f>_xlfn.XLOOKUP(B184,PRODUCT_MASTER!$A:$A,PRODUCT_MASTER!$F:$F,2,0)</f>
        <v>156.96</v>
      </c>
      <c r="H184">
        <v>1</v>
      </c>
      <c r="I184" t="s">
        <v>100</v>
      </c>
      <c r="J184" t="s">
        <v>102</v>
      </c>
      <c r="K184">
        <v>0</v>
      </c>
      <c r="L184" s="15">
        <f t="shared" si="14"/>
        <v>144</v>
      </c>
      <c r="M184" s="15">
        <f t="shared" si="15"/>
        <v>156.96</v>
      </c>
      <c r="N184" s="15">
        <f t="shared" si="16"/>
        <v>12.960000000000008</v>
      </c>
      <c r="O184" s="10">
        <f t="shared" si="17"/>
        <v>9.0000000000000052E-2</v>
      </c>
      <c r="P184" t="str">
        <f t="shared" si="18"/>
        <v>01</v>
      </c>
      <c r="Q184" t="str">
        <f t="shared" si="19"/>
        <v>Sep</v>
      </c>
      <c r="R184" t="str">
        <f t="shared" si="20"/>
        <v>2021</v>
      </c>
    </row>
    <row r="185" spans="1:18" x14ac:dyDescent="0.2">
      <c r="A185" s="1">
        <v>44440</v>
      </c>
      <c r="B185" t="s">
        <v>11</v>
      </c>
      <c r="C185" t="str">
        <f>_xlfn.XLOOKUP(B185,PRODUCT_MASTER!$A:$A,PRODUCT_MASTER!$B:$B,2,0)</f>
        <v>Product03</v>
      </c>
      <c r="D185" t="str">
        <f>_xlfn.XLOOKUP(B185,PRODUCT_MASTER!$A:$A,PRODUCT_MASTER!$C:$C,2,0)</f>
        <v>Organic</v>
      </c>
      <c r="E185" t="str">
        <f>_xlfn.XLOOKUP(B185,PRODUCT_MASTER!$A:$A,PRODUCT_MASTER!$D:$D,2,0)</f>
        <v>Kg</v>
      </c>
      <c r="F185">
        <f>_xlfn.XLOOKUP(B185,PRODUCT_MASTER!$A:$A,PRODUCT_MASTER!$E:$E,2,0)</f>
        <v>71</v>
      </c>
      <c r="G185">
        <f>_xlfn.XLOOKUP(B185,PRODUCT_MASTER!$A:$A,PRODUCT_MASTER!$F:$F,2,0)</f>
        <v>80.94</v>
      </c>
      <c r="H185">
        <v>14</v>
      </c>
      <c r="I185" t="s">
        <v>101</v>
      </c>
      <c r="J185" t="s">
        <v>101</v>
      </c>
      <c r="K185">
        <v>0</v>
      </c>
      <c r="L185" s="15">
        <f t="shared" si="14"/>
        <v>994</v>
      </c>
      <c r="M185" s="15">
        <f t="shared" si="15"/>
        <v>1133.1599999999999</v>
      </c>
      <c r="N185" s="15">
        <f t="shared" si="16"/>
        <v>139.15999999999985</v>
      </c>
      <c r="O185" s="10">
        <f t="shared" si="17"/>
        <v>0.13999999999999985</v>
      </c>
      <c r="P185" t="str">
        <f t="shared" si="18"/>
        <v>01</v>
      </c>
      <c r="Q185" t="str">
        <f t="shared" si="19"/>
        <v>Sep</v>
      </c>
      <c r="R185" t="str">
        <f t="shared" si="20"/>
        <v>2021</v>
      </c>
    </row>
    <row r="186" spans="1:18" x14ac:dyDescent="0.2">
      <c r="A186" s="1">
        <v>44442</v>
      </c>
      <c r="B186" t="s">
        <v>87</v>
      </c>
      <c r="C186" t="str">
        <f>_xlfn.XLOOKUP(B186,PRODUCT_MASTER!$A:$A,PRODUCT_MASTER!$B:$B,2,0)</f>
        <v>Product41</v>
      </c>
      <c r="D186" t="str">
        <f>_xlfn.XLOOKUP(B186,PRODUCT_MASTER!$A:$A,PRODUCT_MASTER!$C:$C,2,0)</f>
        <v>Snacks</v>
      </c>
      <c r="E186" t="str">
        <f>_xlfn.XLOOKUP(B186,PRODUCT_MASTER!$A:$A,PRODUCT_MASTER!$D:$D,2,0)</f>
        <v>Ft</v>
      </c>
      <c r="F186">
        <f>_xlfn.XLOOKUP(B186,PRODUCT_MASTER!$A:$A,PRODUCT_MASTER!$E:$E,2,0)</f>
        <v>138</v>
      </c>
      <c r="G186">
        <f>_xlfn.XLOOKUP(B186,PRODUCT_MASTER!$A:$A,PRODUCT_MASTER!$F:$F,2,0)</f>
        <v>173.88</v>
      </c>
      <c r="H186">
        <v>8</v>
      </c>
      <c r="I186" t="s">
        <v>103</v>
      </c>
      <c r="J186" t="s">
        <v>101</v>
      </c>
      <c r="K186">
        <v>0</v>
      </c>
      <c r="L186" s="15">
        <f t="shared" si="14"/>
        <v>1104</v>
      </c>
      <c r="M186" s="15">
        <f t="shared" si="15"/>
        <v>1391.04</v>
      </c>
      <c r="N186" s="15">
        <f t="shared" si="16"/>
        <v>287.03999999999996</v>
      </c>
      <c r="O186" s="10">
        <f t="shared" si="17"/>
        <v>0.25999999999999995</v>
      </c>
      <c r="P186" t="str">
        <f t="shared" si="18"/>
        <v>03</v>
      </c>
      <c r="Q186" t="str">
        <f t="shared" si="19"/>
        <v>Sep</v>
      </c>
      <c r="R186" t="str">
        <f t="shared" si="20"/>
        <v>2021</v>
      </c>
    </row>
    <row r="187" spans="1:18" x14ac:dyDescent="0.2">
      <c r="A187" s="1">
        <v>44443</v>
      </c>
      <c r="B187" t="s">
        <v>61</v>
      </c>
      <c r="C187" t="str">
        <f>_xlfn.XLOOKUP(B187,PRODUCT_MASTER!$A:$A,PRODUCT_MASTER!$B:$B,2,0)</f>
        <v>Product28</v>
      </c>
      <c r="D187" t="str">
        <f>_xlfn.XLOOKUP(B187,PRODUCT_MASTER!$A:$A,PRODUCT_MASTER!$C:$C,2,0)</f>
        <v>Cheese And Dairy</v>
      </c>
      <c r="E187" t="str">
        <f>_xlfn.XLOOKUP(B187,PRODUCT_MASTER!$A:$A,PRODUCT_MASTER!$D:$D,2,0)</f>
        <v>No.</v>
      </c>
      <c r="F187">
        <f>_xlfn.XLOOKUP(B187,PRODUCT_MASTER!$A:$A,PRODUCT_MASTER!$E:$E,2,0)</f>
        <v>37</v>
      </c>
      <c r="G187">
        <f>_xlfn.XLOOKUP(B187,PRODUCT_MASTER!$A:$A,PRODUCT_MASTER!$F:$F,2,0)</f>
        <v>41.81</v>
      </c>
      <c r="H187">
        <v>7</v>
      </c>
      <c r="I187" t="s">
        <v>103</v>
      </c>
      <c r="J187" t="s">
        <v>101</v>
      </c>
      <c r="K187">
        <v>0</v>
      </c>
      <c r="L187" s="15">
        <f t="shared" si="14"/>
        <v>259</v>
      </c>
      <c r="M187" s="15">
        <f t="shared" si="15"/>
        <v>292.67</v>
      </c>
      <c r="N187" s="15">
        <f t="shared" si="16"/>
        <v>33.670000000000016</v>
      </c>
      <c r="O187" s="10">
        <f t="shared" si="17"/>
        <v>0.13000000000000006</v>
      </c>
      <c r="P187" t="str">
        <f t="shared" si="18"/>
        <v>04</v>
      </c>
      <c r="Q187" t="str">
        <f t="shared" si="19"/>
        <v>Sep</v>
      </c>
      <c r="R187" t="str">
        <f t="shared" si="20"/>
        <v>2021</v>
      </c>
    </row>
    <row r="188" spans="1:18" x14ac:dyDescent="0.2">
      <c r="A188" s="1">
        <v>44443</v>
      </c>
      <c r="B188" t="s">
        <v>51</v>
      </c>
      <c r="C188" t="str">
        <f>_xlfn.XLOOKUP(B188,PRODUCT_MASTER!$A:$A,PRODUCT_MASTER!$B:$B,2,0)</f>
        <v>Product23</v>
      </c>
      <c r="D188" t="str">
        <f>_xlfn.XLOOKUP(B188,PRODUCT_MASTER!$A:$A,PRODUCT_MASTER!$C:$C,2,0)</f>
        <v>Seafood</v>
      </c>
      <c r="E188" t="str">
        <f>_xlfn.XLOOKUP(B188,PRODUCT_MASTER!$A:$A,PRODUCT_MASTER!$D:$D,2,0)</f>
        <v>Ft</v>
      </c>
      <c r="F188">
        <f>_xlfn.XLOOKUP(B188,PRODUCT_MASTER!$A:$A,PRODUCT_MASTER!$E:$E,2,0)</f>
        <v>141</v>
      </c>
      <c r="G188">
        <f>_xlfn.XLOOKUP(B188,PRODUCT_MASTER!$A:$A,PRODUCT_MASTER!$F:$F,2,0)</f>
        <v>149.46</v>
      </c>
      <c r="H188">
        <v>15</v>
      </c>
      <c r="I188" t="s">
        <v>103</v>
      </c>
      <c r="J188" t="s">
        <v>101</v>
      </c>
      <c r="K188">
        <v>0</v>
      </c>
      <c r="L188" s="15">
        <f t="shared" si="14"/>
        <v>2115</v>
      </c>
      <c r="M188" s="15">
        <f t="shared" si="15"/>
        <v>2241.9</v>
      </c>
      <c r="N188" s="15">
        <f t="shared" si="16"/>
        <v>126.90000000000009</v>
      </c>
      <c r="O188" s="10">
        <f t="shared" si="17"/>
        <v>6.0000000000000046E-2</v>
      </c>
      <c r="P188" t="str">
        <f t="shared" si="18"/>
        <v>04</v>
      </c>
      <c r="Q188" t="str">
        <f t="shared" si="19"/>
        <v>Sep</v>
      </c>
      <c r="R188" t="str">
        <f t="shared" si="20"/>
        <v>2021</v>
      </c>
    </row>
    <row r="189" spans="1:18" x14ac:dyDescent="0.2">
      <c r="A189" s="1">
        <v>44444</v>
      </c>
      <c r="B189" t="s">
        <v>69</v>
      </c>
      <c r="C189" t="str">
        <f>_xlfn.XLOOKUP(B189,PRODUCT_MASTER!$A:$A,PRODUCT_MASTER!$B:$B,2,0)</f>
        <v>Product32</v>
      </c>
      <c r="D189" t="str">
        <f>_xlfn.XLOOKUP(B189,PRODUCT_MASTER!$A:$A,PRODUCT_MASTER!$C:$C,2,0)</f>
        <v>Bakery And Desserts</v>
      </c>
      <c r="E189" t="str">
        <f>_xlfn.XLOOKUP(B189,PRODUCT_MASTER!$A:$A,PRODUCT_MASTER!$D:$D,2,0)</f>
        <v>Kg</v>
      </c>
      <c r="F189">
        <f>_xlfn.XLOOKUP(B189,PRODUCT_MASTER!$A:$A,PRODUCT_MASTER!$E:$E,2,0)</f>
        <v>89</v>
      </c>
      <c r="G189">
        <f>_xlfn.XLOOKUP(B189,PRODUCT_MASTER!$A:$A,PRODUCT_MASTER!$F:$F,2,0)</f>
        <v>117.48</v>
      </c>
      <c r="H189">
        <v>1</v>
      </c>
      <c r="I189" t="s">
        <v>103</v>
      </c>
      <c r="J189" t="s">
        <v>102</v>
      </c>
      <c r="K189">
        <v>0</v>
      </c>
      <c r="L189" s="15">
        <f t="shared" si="14"/>
        <v>89</v>
      </c>
      <c r="M189" s="15">
        <f t="shared" si="15"/>
        <v>117.48</v>
      </c>
      <c r="N189" s="15">
        <f t="shared" si="16"/>
        <v>28.480000000000004</v>
      </c>
      <c r="O189" s="10">
        <f t="shared" si="17"/>
        <v>0.32000000000000006</v>
      </c>
      <c r="P189" t="str">
        <f t="shared" si="18"/>
        <v>05</v>
      </c>
      <c r="Q189" t="str">
        <f t="shared" si="19"/>
        <v>Sep</v>
      </c>
      <c r="R189" t="str">
        <f t="shared" si="20"/>
        <v>2021</v>
      </c>
    </row>
    <row r="190" spans="1:18" x14ac:dyDescent="0.2">
      <c r="A190" s="1">
        <v>44446</v>
      </c>
      <c r="B190" t="s">
        <v>43</v>
      </c>
      <c r="C190" t="str">
        <f>_xlfn.XLOOKUP(B190,PRODUCT_MASTER!$A:$A,PRODUCT_MASTER!$B:$B,2,0)</f>
        <v>Product19</v>
      </c>
      <c r="D190" t="str">
        <f>_xlfn.XLOOKUP(B190,PRODUCT_MASTER!$A:$A,PRODUCT_MASTER!$C:$C,2,0)</f>
        <v>Poultry</v>
      </c>
      <c r="E190" t="str">
        <f>_xlfn.XLOOKUP(B190,PRODUCT_MASTER!$A:$A,PRODUCT_MASTER!$D:$D,2,0)</f>
        <v>Ft</v>
      </c>
      <c r="F190">
        <f>_xlfn.XLOOKUP(B190,PRODUCT_MASTER!$A:$A,PRODUCT_MASTER!$E:$E,2,0)</f>
        <v>150</v>
      </c>
      <c r="G190">
        <f>_xlfn.XLOOKUP(B190,PRODUCT_MASTER!$A:$A,PRODUCT_MASTER!$F:$F,2,0)</f>
        <v>210</v>
      </c>
      <c r="H190">
        <v>5</v>
      </c>
      <c r="I190" t="s">
        <v>103</v>
      </c>
      <c r="J190" t="s">
        <v>101</v>
      </c>
      <c r="K190">
        <v>0</v>
      </c>
      <c r="L190" s="15">
        <f t="shared" si="14"/>
        <v>750</v>
      </c>
      <c r="M190" s="15">
        <f t="shared" si="15"/>
        <v>1050</v>
      </c>
      <c r="N190" s="15">
        <f t="shared" si="16"/>
        <v>300</v>
      </c>
      <c r="O190" s="10">
        <f t="shared" si="17"/>
        <v>0.4</v>
      </c>
      <c r="P190" t="str">
        <f t="shared" si="18"/>
        <v>07</v>
      </c>
      <c r="Q190" t="str">
        <f t="shared" si="19"/>
        <v>Sep</v>
      </c>
      <c r="R190" t="str">
        <f t="shared" si="20"/>
        <v>2021</v>
      </c>
    </row>
    <row r="191" spans="1:18" x14ac:dyDescent="0.2">
      <c r="A191" s="1">
        <v>44448</v>
      </c>
      <c r="B191" t="s">
        <v>93</v>
      </c>
      <c r="C191" t="str">
        <f>_xlfn.XLOOKUP(B191,PRODUCT_MASTER!$A:$A,PRODUCT_MASTER!$B:$B,2,0)</f>
        <v>Product44</v>
      </c>
      <c r="D191" t="str">
        <f>_xlfn.XLOOKUP(B191,PRODUCT_MASTER!$A:$A,PRODUCT_MASTER!$C:$C,2,0)</f>
        <v>Candy</v>
      </c>
      <c r="E191" t="str">
        <f>_xlfn.XLOOKUP(B191,PRODUCT_MASTER!$A:$A,PRODUCT_MASTER!$D:$D,2,0)</f>
        <v>Kg</v>
      </c>
      <c r="F191">
        <f>_xlfn.XLOOKUP(B191,PRODUCT_MASTER!$A:$A,PRODUCT_MASTER!$E:$E,2,0)</f>
        <v>76</v>
      </c>
      <c r="G191">
        <f>_xlfn.XLOOKUP(B191,PRODUCT_MASTER!$A:$A,PRODUCT_MASTER!$F:$F,2,0)</f>
        <v>82.08</v>
      </c>
      <c r="H191">
        <v>4</v>
      </c>
      <c r="I191" t="s">
        <v>103</v>
      </c>
      <c r="J191" t="s">
        <v>101</v>
      </c>
      <c r="K191">
        <v>0</v>
      </c>
      <c r="L191" s="15">
        <f t="shared" si="14"/>
        <v>304</v>
      </c>
      <c r="M191" s="15">
        <f t="shared" si="15"/>
        <v>328.32</v>
      </c>
      <c r="N191" s="15">
        <f t="shared" si="16"/>
        <v>24.319999999999993</v>
      </c>
      <c r="O191" s="10">
        <f t="shared" si="17"/>
        <v>7.9999999999999974E-2</v>
      </c>
      <c r="P191" t="str">
        <f t="shared" si="18"/>
        <v>09</v>
      </c>
      <c r="Q191" t="str">
        <f t="shared" si="19"/>
        <v>Sep</v>
      </c>
      <c r="R191" t="str">
        <f t="shared" si="20"/>
        <v>2021</v>
      </c>
    </row>
    <row r="192" spans="1:18" x14ac:dyDescent="0.2">
      <c r="A192" s="1">
        <v>44449</v>
      </c>
      <c r="B192" t="s">
        <v>65</v>
      </c>
      <c r="C192" t="str">
        <f>_xlfn.XLOOKUP(B192,PRODUCT_MASTER!$A:$A,PRODUCT_MASTER!$B:$B,2,0)</f>
        <v>Product30</v>
      </c>
      <c r="D192" t="str">
        <f>_xlfn.XLOOKUP(B192,PRODUCT_MASTER!$A:$A,PRODUCT_MASTER!$C:$C,2,0)</f>
        <v>Cheese And Dairy</v>
      </c>
      <c r="E192" t="str">
        <f>_xlfn.XLOOKUP(B192,PRODUCT_MASTER!$A:$A,PRODUCT_MASTER!$D:$D,2,0)</f>
        <v>Ft</v>
      </c>
      <c r="F192">
        <f>_xlfn.XLOOKUP(B192,PRODUCT_MASTER!$A:$A,PRODUCT_MASTER!$E:$E,2,0)</f>
        <v>148</v>
      </c>
      <c r="G192">
        <f>_xlfn.XLOOKUP(B192,PRODUCT_MASTER!$A:$A,PRODUCT_MASTER!$F:$F,2,0)</f>
        <v>201.28</v>
      </c>
      <c r="H192">
        <v>6</v>
      </c>
      <c r="I192" t="s">
        <v>103</v>
      </c>
      <c r="J192" t="s">
        <v>101</v>
      </c>
      <c r="K192">
        <v>0</v>
      </c>
      <c r="L192" s="15">
        <f t="shared" si="14"/>
        <v>888</v>
      </c>
      <c r="M192" s="15">
        <f t="shared" si="15"/>
        <v>1207.68</v>
      </c>
      <c r="N192" s="15">
        <f t="shared" si="16"/>
        <v>319.68000000000006</v>
      </c>
      <c r="O192" s="10">
        <f t="shared" si="17"/>
        <v>0.3600000000000001</v>
      </c>
      <c r="P192" t="str">
        <f t="shared" si="18"/>
        <v>10</v>
      </c>
      <c r="Q192" t="str">
        <f t="shared" si="19"/>
        <v>Sep</v>
      </c>
      <c r="R192" t="str">
        <f t="shared" si="20"/>
        <v>2021</v>
      </c>
    </row>
    <row r="193" spans="1:18" x14ac:dyDescent="0.2">
      <c r="A193" s="1">
        <v>44449</v>
      </c>
      <c r="B193" t="s">
        <v>6</v>
      </c>
      <c r="C193" t="str">
        <f>_xlfn.XLOOKUP(B193,PRODUCT_MASTER!$A:$A,PRODUCT_MASTER!$B:$B,2,0)</f>
        <v>Product01</v>
      </c>
      <c r="D193" t="str">
        <f>_xlfn.XLOOKUP(B193,PRODUCT_MASTER!$A:$A,PRODUCT_MASTER!$C:$C,2,0)</f>
        <v>Organic</v>
      </c>
      <c r="E193" t="str">
        <f>_xlfn.XLOOKUP(B193,PRODUCT_MASTER!$A:$A,PRODUCT_MASTER!$D:$D,2,0)</f>
        <v>Kg</v>
      </c>
      <c r="F193">
        <f>_xlfn.XLOOKUP(B193,PRODUCT_MASTER!$A:$A,PRODUCT_MASTER!$E:$E,2,0)</f>
        <v>98</v>
      </c>
      <c r="G193">
        <f>_xlfn.XLOOKUP(B193,PRODUCT_MASTER!$A:$A,PRODUCT_MASTER!$F:$F,2,0)</f>
        <v>103.88</v>
      </c>
      <c r="H193">
        <v>9</v>
      </c>
      <c r="I193" t="s">
        <v>100</v>
      </c>
      <c r="J193" t="s">
        <v>101</v>
      </c>
      <c r="K193">
        <v>0</v>
      </c>
      <c r="L193" s="15">
        <f t="shared" si="14"/>
        <v>882</v>
      </c>
      <c r="M193" s="15">
        <f t="shared" si="15"/>
        <v>934.92</v>
      </c>
      <c r="N193" s="15">
        <f t="shared" si="16"/>
        <v>52.919999999999959</v>
      </c>
      <c r="O193" s="10">
        <f t="shared" si="17"/>
        <v>5.9999999999999956E-2</v>
      </c>
      <c r="P193" t="str">
        <f t="shared" si="18"/>
        <v>10</v>
      </c>
      <c r="Q193" t="str">
        <f t="shared" si="19"/>
        <v>Sep</v>
      </c>
      <c r="R193" t="str">
        <f t="shared" si="20"/>
        <v>2021</v>
      </c>
    </row>
    <row r="194" spans="1:18" x14ac:dyDescent="0.2">
      <c r="A194" s="1">
        <v>44449</v>
      </c>
      <c r="B194" t="s">
        <v>57</v>
      </c>
      <c r="C194" t="str">
        <f>_xlfn.XLOOKUP(B194,PRODUCT_MASTER!$A:$A,PRODUCT_MASTER!$B:$B,2,0)</f>
        <v>Product26</v>
      </c>
      <c r="D194" t="str">
        <f>_xlfn.XLOOKUP(B194,PRODUCT_MASTER!$A:$A,PRODUCT_MASTER!$C:$C,2,0)</f>
        <v>Seafood</v>
      </c>
      <c r="E194" t="str">
        <f>_xlfn.XLOOKUP(B194,PRODUCT_MASTER!$A:$A,PRODUCT_MASTER!$D:$D,2,0)</f>
        <v>No.</v>
      </c>
      <c r="F194">
        <f>_xlfn.XLOOKUP(B194,PRODUCT_MASTER!$A:$A,PRODUCT_MASTER!$E:$E,2,0)</f>
        <v>18</v>
      </c>
      <c r="G194">
        <f>_xlfn.XLOOKUP(B194,PRODUCT_MASTER!$A:$A,PRODUCT_MASTER!$F:$F,2,0)</f>
        <v>24.66</v>
      </c>
      <c r="H194">
        <v>2</v>
      </c>
      <c r="I194" t="s">
        <v>103</v>
      </c>
      <c r="J194" t="s">
        <v>101</v>
      </c>
      <c r="K194">
        <v>0</v>
      </c>
      <c r="L194" s="15">
        <f t="shared" si="14"/>
        <v>36</v>
      </c>
      <c r="M194" s="15">
        <f t="shared" si="15"/>
        <v>49.32</v>
      </c>
      <c r="N194" s="15">
        <f t="shared" si="16"/>
        <v>13.32</v>
      </c>
      <c r="O194" s="10">
        <f t="shared" si="17"/>
        <v>0.37</v>
      </c>
      <c r="P194" t="str">
        <f t="shared" si="18"/>
        <v>10</v>
      </c>
      <c r="Q194" t="str">
        <f t="shared" si="19"/>
        <v>Sep</v>
      </c>
      <c r="R194" t="str">
        <f t="shared" si="20"/>
        <v>2021</v>
      </c>
    </row>
    <row r="195" spans="1:18" x14ac:dyDescent="0.2">
      <c r="A195" s="1">
        <v>44450</v>
      </c>
      <c r="B195" t="s">
        <v>6</v>
      </c>
      <c r="C195" t="str">
        <f>_xlfn.XLOOKUP(B195,PRODUCT_MASTER!$A:$A,PRODUCT_MASTER!$B:$B,2,0)</f>
        <v>Product01</v>
      </c>
      <c r="D195" t="str">
        <f>_xlfn.XLOOKUP(B195,PRODUCT_MASTER!$A:$A,PRODUCT_MASTER!$C:$C,2,0)</f>
        <v>Organic</v>
      </c>
      <c r="E195" t="str">
        <f>_xlfn.XLOOKUP(B195,PRODUCT_MASTER!$A:$A,PRODUCT_MASTER!$D:$D,2,0)</f>
        <v>Kg</v>
      </c>
      <c r="F195">
        <f>_xlfn.XLOOKUP(B195,PRODUCT_MASTER!$A:$A,PRODUCT_MASTER!$E:$E,2,0)</f>
        <v>98</v>
      </c>
      <c r="G195">
        <f>_xlfn.XLOOKUP(B195,PRODUCT_MASTER!$A:$A,PRODUCT_MASTER!$F:$F,2,0)</f>
        <v>103.88</v>
      </c>
      <c r="H195">
        <v>6</v>
      </c>
      <c r="I195" t="s">
        <v>100</v>
      </c>
      <c r="J195" t="s">
        <v>101</v>
      </c>
      <c r="K195">
        <v>0</v>
      </c>
      <c r="L195" s="15">
        <f t="shared" ref="L195:L258" si="21">F195*H195</f>
        <v>588</v>
      </c>
      <c r="M195" s="15">
        <f t="shared" ref="M195:M258" si="22">G195*H195</f>
        <v>623.28</v>
      </c>
      <c r="N195" s="15">
        <f t="shared" ref="N195:N258" si="23">M195-L195</f>
        <v>35.279999999999973</v>
      </c>
      <c r="O195" s="10">
        <f t="shared" ref="O195:O258" si="24">N195/L195</f>
        <v>5.9999999999999956E-2</v>
      </c>
      <c r="P195" t="str">
        <f t="shared" ref="P195:P258" si="25">TEXT(A195,"DD")</f>
        <v>11</v>
      </c>
      <c r="Q195" t="str">
        <f t="shared" ref="Q195:Q258" si="26">TEXT(A195,"MMM")</f>
        <v>Sep</v>
      </c>
      <c r="R195" t="str">
        <f t="shared" ref="R195:R258" si="27">TEXT(A195,"YYYY")</f>
        <v>2021</v>
      </c>
    </row>
    <row r="196" spans="1:18" x14ac:dyDescent="0.2">
      <c r="A196" s="1">
        <v>44452</v>
      </c>
      <c r="B196" t="s">
        <v>87</v>
      </c>
      <c r="C196" t="str">
        <f>_xlfn.XLOOKUP(B196,PRODUCT_MASTER!$A:$A,PRODUCT_MASTER!$B:$B,2,0)</f>
        <v>Product41</v>
      </c>
      <c r="D196" t="str">
        <f>_xlfn.XLOOKUP(B196,PRODUCT_MASTER!$A:$A,PRODUCT_MASTER!$C:$C,2,0)</f>
        <v>Snacks</v>
      </c>
      <c r="E196" t="str">
        <f>_xlfn.XLOOKUP(B196,PRODUCT_MASTER!$A:$A,PRODUCT_MASTER!$D:$D,2,0)</f>
        <v>Ft</v>
      </c>
      <c r="F196">
        <f>_xlfn.XLOOKUP(B196,PRODUCT_MASTER!$A:$A,PRODUCT_MASTER!$E:$E,2,0)</f>
        <v>138</v>
      </c>
      <c r="G196">
        <f>_xlfn.XLOOKUP(B196,PRODUCT_MASTER!$A:$A,PRODUCT_MASTER!$F:$F,2,0)</f>
        <v>173.88</v>
      </c>
      <c r="H196">
        <v>7</v>
      </c>
      <c r="I196" t="s">
        <v>103</v>
      </c>
      <c r="J196" t="s">
        <v>102</v>
      </c>
      <c r="K196">
        <v>0</v>
      </c>
      <c r="L196" s="15">
        <f t="shared" si="21"/>
        <v>966</v>
      </c>
      <c r="M196" s="15">
        <f t="shared" si="22"/>
        <v>1217.1599999999999</v>
      </c>
      <c r="N196" s="15">
        <f t="shared" si="23"/>
        <v>251.15999999999985</v>
      </c>
      <c r="O196" s="10">
        <f t="shared" si="24"/>
        <v>0.25999999999999984</v>
      </c>
      <c r="P196" t="str">
        <f t="shared" si="25"/>
        <v>13</v>
      </c>
      <c r="Q196" t="str">
        <f t="shared" si="26"/>
        <v>Sep</v>
      </c>
      <c r="R196" t="str">
        <f t="shared" si="27"/>
        <v>2021</v>
      </c>
    </row>
    <row r="197" spans="1:18" x14ac:dyDescent="0.2">
      <c r="A197" s="1">
        <v>44454</v>
      </c>
      <c r="B197" t="s">
        <v>89</v>
      </c>
      <c r="C197" t="str">
        <f>_xlfn.XLOOKUP(B197,PRODUCT_MASTER!$A:$A,PRODUCT_MASTER!$B:$B,2,0)</f>
        <v>Product42</v>
      </c>
      <c r="D197" t="str">
        <f>_xlfn.XLOOKUP(B197,PRODUCT_MASTER!$A:$A,PRODUCT_MASTER!$C:$C,2,0)</f>
        <v>Candy</v>
      </c>
      <c r="E197" t="str">
        <f>_xlfn.XLOOKUP(B197,PRODUCT_MASTER!$A:$A,PRODUCT_MASTER!$D:$D,2,0)</f>
        <v>Ft</v>
      </c>
      <c r="F197">
        <f>_xlfn.XLOOKUP(B197,PRODUCT_MASTER!$A:$A,PRODUCT_MASTER!$E:$E,2,0)</f>
        <v>120</v>
      </c>
      <c r="G197">
        <f>_xlfn.XLOOKUP(B197,PRODUCT_MASTER!$A:$A,PRODUCT_MASTER!$F:$F,2,0)</f>
        <v>162</v>
      </c>
      <c r="H197">
        <v>6</v>
      </c>
      <c r="I197" t="s">
        <v>103</v>
      </c>
      <c r="J197" t="s">
        <v>101</v>
      </c>
      <c r="K197">
        <v>0</v>
      </c>
      <c r="L197" s="15">
        <f t="shared" si="21"/>
        <v>720</v>
      </c>
      <c r="M197" s="15">
        <f t="shared" si="22"/>
        <v>972</v>
      </c>
      <c r="N197" s="15">
        <f t="shared" si="23"/>
        <v>252</v>
      </c>
      <c r="O197" s="10">
        <f t="shared" si="24"/>
        <v>0.35</v>
      </c>
      <c r="P197" t="str">
        <f t="shared" si="25"/>
        <v>15</v>
      </c>
      <c r="Q197" t="str">
        <f t="shared" si="26"/>
        <v>Sep</v>
      </c>
      <c r="R197" t="str">
        <f t="shared" si="27"/>
        <v>2021</v>
      </c>
    </row>
    <row r="198" spans="1:18" x14ac:dyDescent="0.2">
      <c r="A198" s="1">
        <v>44454</v>
      </c>
      <c r="B198" t="s">
        <v>89</v>
      </c>
      <c r="C198" t="str">
        <f>_xlfn.XLOOKUP(B198,PRODUCT_MASTER!$A:$A,PRODUCT_MASTER!$B:$B,2,0)</f>
        <v>Product42</v>
      </c>
      <c r="D198" t="str">
        <f>_xlfn.XLOOKUP(B198,PRODUCT_MASTER!$A:$A,PRODUCT_MASTER!$C:$C,2,0)</f>
        <v>Candy</v>
      </c>
      <c r="E198" t="str">
        <f>_xlfn.XLOOKUP(B198,PRODUCT_MASTER!$A:$A,PRODUCT_MASTER!$D:$D,2,0)</f>
        <v>Ft</v>
      </c>
      <c r="F198">
        <f>_xlfn.XLOOKUP(B198,PRODUCT_MASTER!$A:$A,PRODUCT_MASTER!$E:$E,2,0)</f>
        <v>120</v>
      </c>
      <c r="G198">
        <f>_xlfn.XLOOKUP(B198,PRODUCT_MASTER!$A:$A,PRODUCT_MASTER!$F:$F,2,0)</f>
        <v>162</v>
      </c>
      <c r="H198">
        <v>14</v>
      </c>
      <c r="I198" t="s">
        <v>103</v>
      </c>
      <c r="J198" t="s">
        <v>101</v>
      </c>
      <c r="K198">
        <v>0</v>
      </c>
      <c r="L198" s="15">
        <f t="shared" si="21"/>
        <v>1680</v>
      </c>
      <c r="M198" s="15">
        <f t="shared" si="22"/>
        <v>2268</v>
      </c>
      <c r="N198" s="15">
        <f t="shared" si="23"/>
        <v>588</v>
      </c>
      <c r="O198" s="10">
        <f t="shared" si="24"/>
        <v>0.35</v>
      </c>
      <c r="P198" t="str">
        <f t="shared" si="25"/>
        <v>15</v>
      </c>
      <c r="Q198" t="str">
        <f t="shared" si="26"/>
        <v>Sep</v>
      </c>
      <c r="R198" t="str">
        <f t="shared" si="27"/>
        <v>2021</v>
      </c>
    </row>
    <row r="199" spans="1:18" x14ac:dyDescent="0.2">
      <c r="A199" s="1">
        <v>44460</v>
      </c>
      <c r="B199" t="s">
        <v>45</v>
      </c>
      <c r="C199" t="str">
        <f>_xlfn.XLOOKUP(B199,PRODUCT_MASTER!$A:$A,PRODUCT_MASTER!$B:$B,2,0)</f>
        <v>Product20</v>
      </c>
      <c r="D199" t="str">
        <f>_xlfn.XLOOKUP(B199,PRODUCT_MASTER!$A:$A,PRODUCT_MASTER!$C:$C,2,0)</f>
        <v>Poultry</v>
      </c>
      <c r="E199" t="str">
        <f>_xlfn.XLOOKUP(B199,PRODUCT_MASTER!$A:$A,PRODUCT_MASTER!$D:$D,2,0)</f>
        <v>Lt</v>
      </c>
      <c r="F199">
        <f>_xlfn.XLOOKUP(B199,PRODUCT_MASTER!$A:$A,PRODUCT_MASTER!$E:$E,2,0)</f>
        <v>61</v>
      </c>
      <c r="G199">
        <f>_xlfn.XLOOKUP(B199,PRODUCT_MASTER!$A:$A,PRODUCT_MASTER!$F:$F,2,0)</f>
        <v>76.25</v>
      </c>
      <c r="H199">
        <v>7</v>
      </c>
      <c r="I199" t="s">
        <v>100</v>
      </c>
      <c r="J199" t="s">
        <v>102</v>
      </c>
      <c r="K199">
        <v>0</v>
      </c>
      <c r="L199" s="15">
        <f t="shared" si="21"/>
        <v>427</v>
      </c>
      <c r="M199" s="15">
        <f t="shared" si="22"/>
        <v>533.75</v>
      </c>
      <c r="N199" s="15">
        <f t="shared" si="23"/>
        <v>106.75</v>
      </c>
      <c r="O199" s="10">
        <f t="shared" si="24"/>
        <v>0.25</v>
      </c>
      <c r="P199" t="str">
        <f t="shared" si="25"/>
        <v>21</v>
      </c>
      <c r="Q199" t="str">
        <f t="shared" si="26"/>
        <v>Sep</v>
      </c>
      <c r="R199" t="str">
        <f t="shared" si="27"/>
        <v>2021</v>
      </c>
    </row>
    <row r="200" spans="1:18" x14ac:dyDescent="0.2">
      <c r="A200" s="1">
        <v>44461</v>
      </c>
      <c r="B200" t="s">
        <v>85</v>
      </c>
      <c r="C200" t="str">
        <f>_xlfn.XLOOKUP(B200,PRODUCT_MASTER!$A:$A,PRODUCT_MASTER!$B:$B,2,0)</f>
        <v>Product40</v>
      </c>
      <c r="D200" t="str">
        <f>_xlfn.XLOOKUP(B200,PRODUCT_MASTER!$A:$A,PRODUCT_MASTER!$C:$C,2,0)</f>
        <v>Snacks</v>
      </c>
      <c r="E200" t="str">
        <f>_xlfn.XLOOKUP(B200,PRODUCT_MASTER!$A:$A,PRODUCT_MASTER!$D:$D,2,0)</f>
        <v>Kg</v>
      </c>
      <c r="F200">
        <f>_xlfn.XLOOKUP(B200,PRODUCT_MASTER!$A:$A,PRODUCT_MASTER!$E:$E,2,0)</f>
        <v>90</v>
      </c>
      <c r="G200">
        <f>_xlfn.XLOOKUP(B200,PRODUCT_MASTER!$A:$A,PRODUCT_MASTER!$F:$F,2,0)</f>
        <v>115.2</v>
      </c>
      <c r="H200">
        <v>2</v>
      </c>
      <c r="I200" t="s">
        <v>101</v>
      </c>
      <c r="J200" t="s">
        <v>102</v>
      </c>
      <c r="K200">
        <v>0</v>
      </c>
      <c r="L200" s="15">
        <f t="shared" si="21"/>
        <v>180</v>
      </c>
      <c r="M200" s="15">
        <f t="shared" si="22"/>
        <v>230.4</v>
      </c>
      <c r="N200" s="15">
        <f t="shared" si="23"/>
        <v>50.400000000000006</v>
      </c>
      <c r="O200" s="10">
        <f t="shared" si="24"/>
        <v>0.28000000000000003</v>
      </c>
      <c r="P200" t="str">
        <f t="shared" si="25"/>
        <v>22</v>
      </c>
      <c r="Q200" t="str">
        <f t="shared" si="26"/>
        <v>Sep</v>
      </c>
      <c r="R200" t="str">
        <f t="shared" si="27"/>
        <v>2021</v>
      </c>
    </row>
    <row r="201" spans="1:18" x14ac:dyDescent="0.2">
      <c r="A201" s="1">
        <v>44461</v>
      </c>
      <c r="B201" t="s">
        <v>9</v>
      </c>
      <c r="C201" t="str">
        <f>_xlfn.XLOOKUP(B201,PRODUCT_MASTER!$A:$A,PRODUCT_MASTER!$B:$B,2,0)</f>
        <v>Product02</v>
      </c>
      <c r="D201" t="str">
        <f>_xlfn.XLOOKUP(B201,PRODUCT_MASTER!$A:$A,PRODUCT_MASTER!$C:$C,2,0)</f>
        <v>Organic</v>
      </c>
      <c r="E201" t="str">
        <f>_xlfn.XLOOKUP(B201,PRODUCT_MASTER!$A:$A,PRODUCT_MASTER!$D:$D,2,0)</f>
        <v>Kg</v>
      </c>
      <c r="F201">
        <f>_xlfn.XLOOKUP(B201,PRODUCT_MASTER!$A:$A,PRODUCT_MASTER!$E:$E,2,0)</f>
        <v>105</v>
      </c>
      <c r="G201">
        <f>_xlfn.XLOOKUP(B201,PRODUCT_MASTER!$A:$A,PRODUCT_MASTER!$F:$F,2,0)</f>
        <v>142.80000000000001</v>
      </c>
      <c r="H201">
        <v>4</v>
      </c>
      <c r="I201" t="s">
        <v>103</v>
      </c>
      <c r="J201" t="s">
        <v>102</v>
      </c>
      <c r="K201">
        <v>0</v>
      </c>
      <c r="L201" s="15">
        <f t="shared" si="21"/>
        <v>420</v>
      </c>
      <c r="M201" s="15">
        <f t="shared" si="22"/>
        <v>571.20000000000005</v>
      </c>
      <c r="N201" s="15">
        <f t="shared" si="23"/>
        <v>151.20000000000005</v>
      </c>
      <c r="O201" s="10">
        <f t="shared" si="24"/>
        <v>0.3600000000000001</v>
      </c>
      <c r="P201" t="str">
        <f t="shared" si="25"/>
        <v>22</v>
      </c>
      <c r="Q201" t="str">
        <f t="shared" si="26"/>
        <v>Sep</v>
      </c>
      <c r="R201" t="str">
        <f t="shared" si="27"/>
        <v>2021</v>
      </c>
    </row>
    <row r="202" spans="1:18" x14ac:dyDescent="0.2">
      <c r="A202" s="1">
        <v>44462</v>
      </c>
      <c r="B202" t="s">
        <v>41</v>
      </c>
      <c r="C202" t="str">
        <f>_xlfn.XLOOKUP(B202,PRODUCT_MASTER!$A:$A,PRODUCT_MASTER!$B:$B,2,0)</f>
        <v>Product18</v>
      </c>
      <c r="D202" t="str">
        <f>_xlfn.XLOOKUP(B202,PRODUCT_MASTER!$A:$A,PRODUCT_MASTER!$C:$C,2,0)</f>
        <v>Poultry</v>
      </c>
      <c r="E202" t="str">
        <f>_xlfn.XLOOKUP(B202,PRODUCT_MASTER!$A:$A,PRODUCT_MASTER!$D:$D,2,0)</f>
        <v>No.</v>
      </c>
      <c r="F202">
        <f>_xlfn.XLOOKUP(B202,PRODUCT_MASTER!$A:$A,PRODUCT_MASTER!$E:$E,2,0)</f>
        <v>37</v>
      </c>
      <c r="G202">
        <f>_xlfn.XLOOKUP(B202,PRODUCT_MASTER!$A:$A,PRODUCT_MASTER!$F:$F,2,0)</f>
        <v>49.21</v>
      </c>
      <c r="H202">
        <v>12</v>
      </c>
      <c r="I202" t="s">
        <v>103</v>
      </c>
      <c r="J202" t="s">
        <v>102</v>
      </c>
      <c r="K202">
        <v>0</v>
      </c>
      <c r="L202" s="15">
        <f t="shared" si="21"/>
        <v>444</v>
      </c>
      <c r="M202" s="15">
        <f t="shared" si="22"/>
        <v>590.52</v>
      </c>
      <c r="N202" s="15">
        <f t="shared" si="23"/>
        <v>146.51999999999998</v>
      </c>
      <c r="O202" s="10">
        <f t="shared" si="24"/>
        <v>0.32999999999999996</v>
      </c>
      <c r="P202" t="str">
        <f t="shared" si="25"/>
        <v>23</v>
      </c>
      <c r="Q202" t="str">
        <f t="shared" si="26"/>
        <v>Sep</v>
      </c>
      <c r="R202" t="str">
        <f t="shared" si="27"/>
        <v>2021</v>
      </c>
    </row>
    <row r="203" spans="1:18" x14ac:dyDescent="0.2">
      <c r="A203" s="1">
        <v>44462</v>
      </c>
      <c r="B203" t="s">
        <v>47</v>
      </c>
      <c r="C203" t="str">
        <f>_xlfn.XLOOKUP(B203,PRODUCT_MASTER!$A:$A,PRODUCT_MASTER!$B:$B,2,0)</f>
        <v>Product21</v>
      </c>
      <c r="D203" t="str">
        <f>_xlfn.XLOOKUP(B203,PRODUCT_MASTER!$A:$A,PRODUCT_MASTER!$C:$C,2,0)</f>
        <v>Poultry</v>
      </c>
      <c r="E203" t="str">
        <f>_xlfn.XLOOKUP(B203,PRODUCT_MASTER!$A:$A,PRODUCT_MASTER!$D:$D,2,0)</f>
        <v>Ft</v>
      </c>
      <c r="F203">
        <f>_xlfn.XLOOKUP(B203,PRODUCT_MASTER!$A:$A,PRODUCT_MASTER!$E:$E,2,0)</f>
        <v>126</v>
      </c>
      <c r="G203">
        <f>_xlfn.XLOOKUP(B203,PRODUCT_MASTER!$A:$A,PRODUCT_MASTER!$F:$F,2,0)</f>
        <v>162.54</v>
      </c>
      <c r="H203">
        <v>7</v>
      </c>
      <c r="I203" t="s">
        <v>101</v>
      </c>
      <c r="J203" t="s">
        <v>101</v>
      </c>
      <c r="K203">
        <v>0</v>
      </c>
      <c r="L203" s="15">
        <f t="shared" si="21"/>
        <v>882</v>
      </c>
      <c r="M203" s="15">
        <f t="shared" si="22"/>
        <v>1137.78</v>
      </c>
      <c r="N203" s="15">
        <f t="shared" si="23"/>
        <v>255.77999999999997</v>
      </c>
      <c r="O203" s="10">
        <f t="shared" si="24"/>
        <v>0.28999999999999998</v>
      </c>
      <c r="P203" t="str">
        <f t="shared" si="25"/>
        <v>23</v>
      </c>
      <c r="Q203" t="str">
        <f t="shared" si="26"/>
        <v>Sep</v>
      </c>
      <c r="R203" t="str">
        <f t="shared" si="27"/>
        <v>2021</v>
      </c>
    </row>
    <row r="204" spans="1:18" x14ac:dyDescent="0.2">
      <c r="A204" s="1">
        <v>44466</v>
      </c>
      <c r="B204" t="s">
        <v>73</v>
      </c>
      <c r="C204" t="str">
        <f>_xlfn.XLOOKUP(B204,PRODUCT_MASTER!$A:$A,PRODUCT_MASTER!$B:$B,2,0)</f>
        <v>Product34</v>
      </c>
      <c r="D204" t="str">
        <f>_xlfn.XLOOKUP(B204,PRODUCT_MASTER!$A:$A,PRODUCT_MASTER!$C:$C,2,0)</f>
        <v>Bakery And Desserts</v>
      </c>
      <c r="E204" t="str">
        <f>_xlfn.XLOOKUP(B204,PRODUCT_MASTER!$A:$A,PRODUCT_MASTER!$D:$D,2,0)</f>
        <v>Lt</v>
      </c>
      <c r="F204">
        <f>_xlfn.XLOOKUP(B204,PRODUCT_MASTER!$A:$A,PRODUCT_MASTER!$E:$E,2,0)</f>
        <v>55</v>
      </c>
      <c r="G204">
        <f>_xlfn.XLOOKUP(B204,PRODUCT_MASTER!$A:$A,PRODUCT_MASTER!$F:$F,2,0)</f>
        <v>58.3</v>
      </c>
      <c r="H204">
        <v>1</v>
      </c>
      <c r="I204" t="s">
        <v>103</v>
      </c>
      <c r="J204" t="s">
        <v>102</v>
      </c>
      <c r="K204">
        <v>0</v>
      </c>
      <c r="L204" s="15">
        <f t="shared" si="21"/>
        <v>55</v>
      </c>
      <c r="M204" s="15">
        <f t="shared" si="22"/>
        <v>58.3</v>
      </c>
      <c r="N204" s="15">
        <f t="shared" si="23"/>
        <v>3.2999999999999972</v>
      </c>
      <c r="O204" s="10">
        <f t="shared" si="24"/>
        <v>5.9999999999999949E-2</v>
      </c>
      <c r="P204" t="str">
        <f t="shared" si="25"/>
        <v>27</v>
      </c>
      <c r="Q204" t="str">
        <f t="shared" si="26"/>
        <v>Sep</v>
      </c>
      <c r="R204" t="str">
        <f t="shared" si="27"/>
        <v>2021</v>
      </c>
    </row>
    <row r="205" spans="1:18" x14ac:dyDescent="0.2">
      <c r="A205" s="1">
        <v>44469</v>
      </c>
      <c r="B205" t="s">
        <v>33</v>
      </c>
      <c r="C205" t="str">
        <f>_xlfn.XLOOKUP(B205,PRODUCT_MASTER!$A:$A,PRODUCT_MASTER!$B:$B,2,0)</f>
        <v>Product14</v>
      </c>
      <c r="D205" t="str">
        <f>_xlfn.XLOOKUP(B205,PRODUCT_MASTER!$A:$A,PRODUCT_MASTER!$C:$C,2,0)</f>
        <v>Meat</v>
      </c>
      <c r="E205" t="str">
        <f>_xlfn.XLOOKUP(B205,PRODUCT_MASTER!$A:$A,PRODUCT_MASTER!$D:$D,2,0)</f>
        <v>Kg</v>
      </c>
      <c r="F205">
        <f>_xlfn.XLOOKUP(B205,PRODUCT_MASTER!$A:$A,PRODUCT_MASTER!$E:$E,2,0)</f>
        <v>112</v>
      </c>
      <c r="G205">
        <f>_xlfn.XLOOKUP(B205,PRODUCT_MASTER!$A:$A,PRODUCT_MASTER!$F:$F,2,0)</f>
        <v>146.72</v>
      </c>
      <c r="H205">
        <v>9</v>
      </c>
      <c r="I205" t="s">
        <v>101</v>
      </c>
      <c r="J205" t="s">
        <v>101</v>
      </c>
      <c r="K205">
        <v>0</v>
      </c>
      <c r="L205" s="15">
        <f t="shared" si="21"/>
        <v>1008</v>
      </c>
      <c r="M205" s="15">
        <f t="shared" si="22"/>
        <v>1320.48</v>
      </c>
      <c r="N205" s="15">
        <f t="shared" si="23"/>
        <v>312.48</v>
      </c>
      <c r="O205" s="10">
        <f t="shared" si="24"/>
        <v>0.31</v>
      </c>
      <c r="P205" t="str">
        <f t="shared" si="25"/>
        <v>30</v>
      </c>
      <c r="Q205" t="str">
        <f t="shared" si="26"/>
        <v>Sep</v>
      </c>
      <c r="R205" t="str">
        <f t="shared" si="27"/>
        <v>2021</v>
      </c>
    </row>
    <row r="206" spans="1:18" x14ac:dyDescent="0.2">
      <c r="A206" s="1">
        <v>44469</v>
      </c>
      <c r="B206" t="s">
        <v>17</v>
      </c>
      <c r="C206" t="str">
        <f>_xlfn.XLOOKUP(B206,PRODUCT_MASTER!$A:$A,PRODUCT_MASTER!$B:$B,2,0)</f>
        <v>Product06</v>
      </c>
      <c r="D206" t="str">
        <f>_xlfn.XLOOKUP(B206,PRODUCT_MASTER!$A:$A,PRODUCT_MASTER!$C:$C,2,0)</f>
        <v>Gourmet Foods</v>
      </c>
      <c r="E206" t="str">
        <f>_xlfn.XLOOKUP(B206,PRODUCT_MASTER!$A:$A,PRODUCT_MASTER!$D:$D,2,0)</f>
        <v>Kg</v>
      </c>
      <c r="F206">
        <f>_xlfn.XLOOKUP(B206,PRODUCT_MASTER!$A:$A,PRODUCT_MASTER!$E:$E,2,0)</f>
        <v>75</v>
      </c>
      <c r="G206">
        <f>_xlfn.XLOOKUP(B206,PRODUCT_MASTER!$A:$A,PRODUCT_MASTER!$F:$F,2,0)</f>
        <v>85.5</v>
      </c>
      <c r="H206">
        <v>5</v>
      </c>
      <c r="I206" t="s">
        <v>101</v>
      </c>
      <c r="J206" t="s">
        <v>101</v>
      </c>
      <c r="K206">
        <v>0</v>
      </c>
      <c r="L206" s="15">
        <f t="shared" si="21"/>
        <v>375</v>
      </c>
      <c r="M206" s="15">
        <f t="shared" si="22"/>
        <v>427.5</v>
      </c>
      <c r="N206" s="15">
        <f t="shared" si="23"/>
        <v>52.5</v>
      </c>
      <c r="O206" s="10">
        <f t="shared" si="24"/>
        <v>0.14000000000000001</v>
      </c>
      <c r="P206" t="str">
        <f t="shared" si="25"/>
        <v>30</v>
      </c>
      <c r="Q206" t="str">
        <f t="shared" si="26"/>
        <v>Sep</v>
      </c>
      <c r="R206" t="str">
        <f t="shared" si="27"/>
        <v>2021</v>
      </c>
    </row>
    <row r="207" spans="1:18" x14ac:dyDescent="0.2">
      <c r="A207" s="1">
        <v>44470</v>
      </c>
      <c r="B207" t="s">
        <v>65</v>
      </c>
      <c r="C207" t="str">
        <f>_xlfn.XLOOKUP(B207,PRODUCT_MASTER!$A:$A,PRODUCT_MASTER!$B:$B,2,0)</f>
        <v>Product30</v>
      </c>
      <c r="D207" t="str">
        <f>_xlfn.XLOOKUP(B207,PRODUCT_MASTER!$A:$A,PRODUCT_MASTER!$C:$C,2,0)</f>
        <v>Cheese And Dairy</v>
      </c>
      <c r="E207" t="str">
        <f>_xlfn.XLOOKUP(B207,PRODUCT_MASTER!$A:$A,PRODUCT_MASTER!$D:$D,2,0)</f>
        <v>Ft</v>
      </c>
      <c r="F207">
        <f>_xlfn.XLOOKUP(B207,PRODUCT_MASTER!$A:$A,PRODUCT_MASTER!$E:$E,2,0)</f>
        <v>148</v>
      </c>
      <c r="G207">
        <f>_xlfn.XLOOKUP(B207,PRODUCT_MASTER!$A:$A,PRODUCT_MASTER!$F:$F,2,0)</f>
        <v>201.28</v>
      </c>
      <c r="H207">
        <v>14</v>
      </c>
      <c r="I207" t="s">
        <v>101</v>
      </c>
      <c r="J207" t="s">
        <v>102</v>
      </c>
      <c r="K207">
        <v>0</v>
      </c>
      <c r="L207" s="15">
        <f t="shared" si="21"/>
        <v>2072</v>
      </c>
      <c r="M207" s="15">
        <f t="shared" si="22"/>
        <v>2817.92</v>
      </c>
      <c r="N207" s="15">
        <f t="shared" si="23"/>
        <v>745.92000000000007</v>
      </c>
      <c r="O207" s="10">
        <f t="shared" si="24"/>
        <v>0.36000000000000004</v>
      </c>
      <c r="P207" t="str">
        <f t="shared" si="25"/>
        <v>01</v>
      </c>
      <c r="Q207" t="str">
        <f t="shared" si="26"/>
        <v>Oct</v>
      </c>
      <c r="R207" t="str">
        <f t="shared" si="27"/>
        <v>2021</v>
      </c>
    </row>
    <row r="208" spans="1:18" x14ac:dyDescent="0.2">
      <c r="A208" s="1">
        <v>44471</v>
      </c>
      <c r="B208" t="s">
        <v>33</v>
      </c>
      <c r="C208" t="str">
        <f>_xlfn.XLOOKUP(B208,PRODUCT_MASTER!$A:$A,PRODUCT_MASTER!$B:$B,2,0)</f>
        <v>Product14</v>
      </c>
      <c r="D208" t="str">
        <f>_xlfn.XLOOKUP(B208,PRODUCT_MASTER!$A:$A,PRODUCT_MASTER!$C:$C,2,0)</f>
        <v>Meat</v>
      </c>
      <c r="E208" t="str">
        <f>_xlfn.XLOOKUP(B208,PRODUCT_MASTER!$A:$A,PRODUCT_MASTER!$D:$D,2,0)</f>
        <v>Kg</v>
      </c>
      <c r="F208">
        <f>_xlfn.XLOOKUP(B208,PRODUCT_MASTER!$A:$A,PRODUCT_MASTER!$E:$E,2,0)</f>
        <v>112</v>
      </c>
      <c r="G208">
        <f>_xlfn.XLOOKUP(B208,PRODUCT_MASTER!$A:$A,PRODUCT_MASTER!$F:$F,2,0)</f>
        <v>146.72</v>
      </c>
      <c r="H208">
        <v>15</v>
      </c>
      <c r="I208" t="s">
        <v>103</v>
      </c>
      <c r="J208" t="s">
        <v>101</v>
      </c>
      <c r="K208">
        <v>0</v>
      </c>
      <c r="L208" s="15">
        <f t="shared" si="21"/>
        <v>1680</v>
      </c>
      <c r="M208" s="15">
        <f t="shared" si="22"/>
        <v>2200.8000000000002</v>
      </c>
      <c r="N208" s="15">
        <f t="shared" si="23"/>
        <v>520.80000000000018</v>
      </c>
      <c r="O208" s="10">
        <f t="shared" si="24"/>
        <v>0.31000000000000011</v>
      </c>
      <c r="P208" t="str">
        <f t="shared" si="25"/>
        <v>02</v>
      </c>
      <c r="Q208" t="str">
        <f t="shared" si="26"/>
        <v>Oct</v>
      </c>
      <c r="R208" t="str">
        <f t="shared" si="27"/>
        <v>2021</v>
      </c>
    </row>
    <row r="209" spans="1:18" x14ac:dyDescent="0.2">
      <c r="A209" s="1">
        <v>44472</v>
      </c>
      <c r="B209" t="s">
        <v>43</v>
      </c>
      <c r="C209" t="str">
        <f>_xlfn.XLOOKUP(B209,PRODUCT_MASTER!$A:$A,PRODUCT_MASTER!$B:$B,2,0)</f>
        <v>Product19</v>
      </c>
      <c r="D209" t="str">
        <f>_xlfn.XLOOKUP(B209,PRODUCT_MASTER!$A:$A,PRODUCT_MASTER!$C:$C,2,0)</f>
        <v>Poultry</v>
      </c>
      <c r="E209" t="str">
        <f>_xlfn.XLOOKUP(B209,PRODUCT_MASTER!$A:$A,PRODUCT_MASTER!$D:$D,2,0)</f>
        <v>Ft</v>
      </c>
      <c r="F209">
        <f>_xlfn.XLOOKUP(B209,PRODUCT_MASTER!$A:$A,PRODUCT_MASTER!$E:$E,2,0)</f>
        <v>150</v>
      </c>
      <c r="G209">
        <f>_xlfn.XLOOKUP(B209,PRODUCT_MASTER!$A:$A,PRODUCT_MASTER!$F:$F,2,0)</f>
        <v>210</v>
      </c>
      <c r="H209">
        <v>9</v>
      </c>
      <c r="I209" t="s">
        <v>103</v>
      </c>
      <c r="J209" t="s">
        <v>101</v>
      </c>
      <c r="K209">
        <v>0</v>
      </c>
      <c r="L209" s="15">
        <f t="shared" si="21"/>
        <v>1350</v>
      </c>
      <c r="M209" s="15">
        <f t="shared" si="22"/>
        <v>1890</v>
      </c>
      <c r="N209" s="15">
        <f t="shared" si="23"/>
        <v>540</v>
      </c>
      <c r="O209" s="10">
        <f t="shared" si="24"/>
        <v>0.4</v>
      </c>
      <c r="P209" t="str">
        <f t="shared" si="25"/>
        <v>03</v>
      </c>
      <c r="Q209" t="str">
        <f t="shared" si="26"/>
        <v>Oct</v>
      </c>
      <c r="R209" t="str">
        <f t="shared" si="27"/>
        <v>2021</v>
      </c>
    </row>
    <row r="210" spans="1:18" x14ac:dyDescent="0.2">
      <c r="A210" s="1">
        <v>44475</v>
      </c>
      <c r="B210" t="s">
        <v>75</v>
      </c>
      <c r="C210" t="str">
        <f>_xlfn.XLOOKUP(B210,PRODUCT_MASTER!$A:$A,PRODUCT_MASTER!$B:$B,2,0)</f>
        <v>Product35</v>
      </c>
      <c r="D210" t="str">
        <f>_xlfn.XLOOKUP(B210,PRODUCT_MASTER!$A:$A,PRODUCT_MASTER!$C:$C,2,0)</f>
        <v>Bakery And Desserts</v>
      </c>
      <c r="E210" t="str">
        <f>_xlfn.XLOOKUP(B210,PRODUCT_MASTER!$A:$A,PRODUCT_MASTER!$D:$D,2,0)</f>
        <v>No.</v>
      </c>
      <c r="F210">
        <f>_xlfn.XLOOKUP(B210,PRODUCT_MASTER!$A:$A,PRODUCT_MASTER!$E:$E,2,0)</f>
        <v>5</v>
      </c>
      <c r="G210">
        <f>_xlfn.XLOOKUP(B210,PRODUCT_MASTER!$A:$A,PRODUCT_MASTER!$F:$F,2,0)</f>
        <v>6.7</v>
      </c>
      <c r="H210">
        <v>1</v>
      </c>
      <c r="I210" t="s">
        <v>103</v>
      </c>
      <c r="J210" t="s">
        <v>101</v>
      </c>
      <c r="K210">
        <v>0</v>
      </c>
      <c r="L210" s="15">
        <f t="shared" si="21"/>
        <v>5</v>
      </c>
      <c r="M210" s="15">
        <f t="shared" si="22"/>
        <v>6.7</v>
      </c>
      <c r="N210" s="15">
        <f t="shared" si="23"/>
        <v>1.7000000000000002</v>
      </c>
      <c r="O210" s="10">
        <f t="shared" si="24"/>
        <v>0.34</v>
      </c>
      <c r="P210" t="str">
        <f t="shared" si="25"/>
        <v>06</v>
      </c>
      <c r="Q210" t="str">
        <f t="shared" si="26"/>
        <v>Oct</v>
      </c>
      <c r="R210" t="str">
        <f t="shared" si="27"/>
        <v>2021</v>
      </c>
    </row>
    <row r="211" spans="1:18" x14ac:dyDescent="0.2">
      <c r="A211" s="1">
        <v>44475</v>
      </c>
      <c r="B211" t="s">
        <v>77</v>
      </c>
      <c r="C211" t="str">
        <f>_xlfn.XLOOKUP(B211,PRODUCT_MASTER!$A:$A,PRODUCT_MASTER!$B:$B,2,0)</f>
        <v>Product36</v>
      </c>
      <c r="D211" t="str">
        <f>_xlfn.XLOOKUP(B211,PRODUCT_MASTER!$A:$A,PRODUCT_MASTER!$C:$C,2,0)</f>
        <v>Bakery And Desserts</v>
      </c>
      <c r="E211" t="str">
        <f>_xlfn.XLOOKUP(B211,PRODUCT_MASTER!$A:$A,PRODUCT_MASTER!$D:$D,2,0)</f>
        <v>Kg</v>
      </c>
      <c r="F211">
        <f>_xlfn.XLOOKUP(B211,PRODUCT_MASTER!$A:$A,PRODUCT_MASTER!$E:$E,2,0)</f>
        <v>90</v>
      </c>
      <c r="G211">
        <f>_xlfn.XLOOKUP(B211,PRODUCT_MASTER!$A:$A,PRODUCT_MASTER!$F:$F,2,0)</f>
        <v>96.3</v>
      </c>
      <c r="H211">
        <v>12</v>
      </c>
      <c r="I211" t="s">
        <v>101</v>
      </c>
      <c r="J211" t="s">
        <v>101</v>
      </c>
      <c r="K211">
        <v>0</v>
      </c>
      <c r="L211" s="15">
        <f t="shared" si="21"/>
        <v>1080</v>
      </c>
      <c r="M211" s="15">
        <f t="shared" si="22"/>
        <v>1155.5999999999999</v>
      </c>
      <c r="N211" s="15">
        <f t="shared" si="23"/>
        <v>75.599999999999909</v>
      </c>
      <c r="O211" s="10">
        <f t="shared" si="24"/>
        <v>6.999999999999991E-2</v>
      </c>
      <c r="P211" t="str">
        <f t="shared" si="25"/>
        <v>06</v>
      </c>
      <c r="Q211" t="str">
        <f t="shared" si="26"/>
        <v>Oct</v>
      </c>
      <c r="R211" t="str">
        <f t="shared" si="27"/>
        <v>2021</v>
      </c>
    </row>
    <row r="212" spans="1:18" x14ac:dyDescent="0.2">
      <c r="A212" s="1">
        <v>44476</v>
      </c>
      <c r="B212" t="s">
        <v>57</v>
      </c>
      <c r="C212" t="str">
        <f>_xlfn.XLOOKUP(B212,PRODUCT_MASTER!$A:$A,PRODUCT_MASTER!$B:$B,2,0)</f>
        <v>Product26</v>
      </c>
      <c r="D212" t="str">
        <f>_xlfn.XLOOKUP(B212,PRODUCT_MASTER!$A:$A,PRODUCT_MASTER!$C:$C,2,0)</f>
        <v>Seafood</v>
      </c>
      <c r="E212" t="str">
        <f>_xlfn.XLOOKUP(B212,PRODUCT_MASTER!$A:$A,PRODUCT_MASTER!$D:$D,2,0)</f>
        <v>No.</v>
      </c>
      <c r="F212">
        <f>_xlfn.XLOOKUP(B212,PRODUCT_MASTER!$A:$A,PRODUCT_MASTER!$E:$E,2,0)</f>
        <v>18</v>
      </c>
      <c r="G212">
        <f>_xlfn.XLOOKUP(B212,PRODUCT_MASTER!$A:$A,PRODUCT_MASTER!$F:$F,2,0)</f>
        <v>24.66</v>
      </c>
      <c r="H212">
        <v>6</v>
      </c>
      <c r="I212" t="s">
        <v>103</v>
      </c>
      <c r="J212" t="s">
        <v>102</v>
      </c>
      <c r="K212">
        <v>0</v>
      </c>
      <c r="L212" s="15">
        <f t="shared" si="21"/>
        <v>108</v>
      </c>
      <c r="M212" s="15">
        <f t="shared" si="22"/>
        <v>147.96</v>
      </c>
      <c r="N212" s="15">
        <f t="shared" si="23"/>
        <v>39.960000000000008</v>
      </c>
      <c r="O212" s="10">
        <f t="shared" si="24"/>
        <v>0.37000000000000005</v>
      </c>
      <c r="P212" t="str">
        <f t="shared" si="25"/>
        <v>07</v>
      </c>
      <c r="Q212" t="str">
        <f t="shared" si="26"/>
        <v>Oct</v>
      </c>
      <c r="R212" t="str">
        <f t="shared" si="27"/>
        <v>2021</v>
      </c>
    </row>
    <row r="213" spans="1:18" x14ac:dyDescent="0.2">
      <c r="A213" s="1">
        <v>44478</v>
      </c>
      <c r="B213" t="s">
        <v>81</v>
      </c>
      <c r="C213" t="str">
        <f>_xlfn.XLOOKUP(B213,PRODUCT_MASTER!$A:$A,PRODUCT_MASTER!$B:$B,2,0)</f>
        <v>Product38</v>
      </c>
      <c r="D213" t="str">
        <f>_xlfn.XLOOKUP(B213,PRODUCT_MASTER!$A:$A,PRODUCT_MASTER!$C:$C,2,0)</f>
        <v>Snacks</v>
      </c>
      <c r="E213" t="str">
        <f>_xlfn.XLOOKUP(B213,PRODUCT_MASTER!$A:$A,PRODUCT_MASTER!$D:$D,2,0)</f>
        <v>Kg</v>
      </c>
      <c r="F213">
        <f>_xlfn.XLOOKUP(B213,PRODUCT_MASTER!$A:$A,PRODUCT_MASTER!$E:$E,2,0)</f>
        <v>72</v>
      </c>
      <c r="G213">
        <f>_xlfn.XLOOKUP(B213,PRODUCT_MASTER!$A:$A,PRODUCT_MASTER!$F:$F,2,0)</f>
        <v>79.92</v>
      </c>
      <c r="H213">
        <v>5</v>
      </c>
      <c r="I213" t="s">
        <v>103</v>
      </c>
      <c r="J213" t="s">
        <v>102</v>
      </c>
      <c r="K213">
        <v>0</v>
      </c>
      <c r="L213" s="15">
        <f t="shared" si="21"/>
        <v>360</v>
      </c>
      <c r="M213" s="15">
        <f t="shared" si="22"/>
        <v>399.6</v>
      </c>
      <c r="N213" s="15">
        <f t="shared" si="23"/>
        <v>39.600000000000023</v>
      </c>
      <c r="O213" s="10">
        <f t="shared" si="24"/>
        <v>0.11000000000000007</v>
      </c>
      <c r="P213" t="str">
        <f t="shared" si="25"/>
        <v>09</v>
      </c>
      <c r="Q213" t="str">
        <f t="shared" si="26"/>
        <v>Oct</v>
      </c>
      <c r="R213" t="str">
        <f t="shared" si="27"/>
        <v>2021</v>
      </c>
    </row>
    <row r="214" spans="1:18" x14ac:dyDescent="0.2">
      <c r="A214" s="1">
        <v>44478</v>
      </c>
      <c r="B214" t="s">
        <v>69</v>
      </c>
      <c r="C214" t="str">
        <f>_xlfn.XLOOKUP(B214,PRODUCT_MASTER!$A:$A,PRODUCT_MASTER!$B:$B,2,0)</f>
        <v>Product32</v>
      </c>
      <c r="D214" t="str">
        <f>_xlfn.XLOOKUP(B214,PRODUCT_MASTER!$A:$A,PRODUCT_MASTER!$C:$C,2,0)</f>
        <v>Bakery And Desserts</v>
      </c>
      <c r="E214" t="str">
        <f>_xlfn.XLOOKUP(B214,PRODUCT_MASTER!$A:$A,PRODUCT_MASTER!$D:$D,2,0)</f>
        <v>Kg</v>
      </c>
      <c r="F214">
        <f>_xlfn.XLOOKUP(B214,PRODUCT_MASTER!$A:$A,PRODUCT_MASTER!$E:$E,2,0)</f>
        <v>89</v>
      </c>
      <c r="G214">
        <f>_xlfn.XLOOKUP(B214,PRODUCT_MASTER!$A:$A,PRODUCT_MASTER!$F:$F,2,0)</f>
        <v>117.48</v>
      </c>
      <c r="H214">
        <v>11</v>
      </c>
      <c r="I214" t="s">
        <v>101</v>
      </c>
      <c r="J214" t="s">
        <v>102</v>
      </c>
      <c r="K214">
        <v>0</v>
      </c>
      <c r="L214" s="15">
        <f t="shared" si="21"/>
        <v>979</v>
      </c>
      <c r="M214" s="15">
        <f t="shared" si="22"/>
        <v>1292.28</v>
      </c>
      <c r="N214" s="15">
        <f t="shared" si="23"/>
        <v>313.27999999999997</v>
      </c>
      <c r="O214" s="10">
        <f t="shared" si="24"/>
        <v>0.31999999999999995</v>
      </c>
      <c r="P214" t="str">
        <f t="shared" si="25"/>
        <v>09</v>
      </c>
      <c r="Q214" t="str">
        <f t="shared" si="26"/>
        <v>Oct</v>
      </c>
      <c r="R214" t="str">
        <f t="shared" si="27"/>
        <v>2021</v>
      </c>
    </row>
    <row r="215" spans="1:18" x14ac:dyDescent="0.2">
      <c r="A215" s="1">
        <v>44479</v>
      </c>
      <c r="B215" t="s">
        <v>75</v>
      </c>
      <c r="C215" t="str">
        <f>_xlfn.XLOOKUP(B215,PRODUCT_MASTER!$A:$A,PRODUCT_MASTER!$B:$B,2,0)</f>
        <v>Product35</v>
      </c>
      <c r="D215" t="str">
        <f>_xlfn.XLOOKUP(B215,PRODUCT_MASTER!$A:$A,PRODUCT_MASTER!$C:$C,2,0)</f>
        <v>Bakery And Desserts</v>
      </c>
      <c r="E215" t="str">
        <f>_xlfn.XLOOKUP(B215,PRODUCT_MASTER!$A:$A,PRODUCT_MASTER!$D:$D,2,0)</f>
        <v>No.</v>
      </c>
      <c r="F215">
        <f>_xlfn.XLOOKUP(B215,PRODUCT_MASTER!$A:$A,PRODUCT_MASTER!$E:$E,2,0)</f>
        <v>5</v>
      </c>
      <c r="G215">
        <f>_xlfn.XLOOKUP(B215,PRODUCT_MASTER!$A:$A,PRODUCT_MASTER!$F:$F,2,0)</f>
        <v>6.7</v>
      </c>
      <c r="H215">
        <v>14</v>
      </c>
      <c r="I215" t="s">
        <v>103</v>
      </c>
      <c r="J215" t="s">
        <v>102</v>
      </c>
      <c r="K215">
        <v>0</v>
      </c>
      <c r="L215" s="15">
        <f t="shared" si="21"/>
        <v>70</v>
      </c>
      <c r="M215" s="15">
        <f t="shared" si="22"/>
        <v>93.8</v>
      </c>
      <c r="N215" s="15">
        <f t="shared" si="23"/>
        <v>23.799999999999997</v>
      </c>
      <c r="O215" s="10">
        <f t="shared" si="24"/>
        <v>0.33999999999999997</v>
      </c>
      <c r="P215" t="str">
        <f t="shared" si="25"/>
        <v>10</v>
      </c>
      <c r="Q215" t="str">
        <f t="shared" si="26"/>
        <v>Oct</v>
      </c>
      <c r="R215" t="str">
        <f t="shared" si="27"/>
        <v>2021</v>
      </c>
    </row>
    <row r="216" spans="1:18" x14ac:dyDescent="0.2">
      <c r="A216" s="1">
        <v>44480</v>
      </c>
      <c r="B216" t="s">
        <v>27</v>
      </c>
      <c r="C216" t="str">
        <f>_xlfn.XLOOKUP(B216,PRODUCT_MASTER!$A:$A,PRODUCT_MASTER!$B:$B,2,0)</f>
        <v>Product11</v>
      </c>
      <c r="D216" t="str">
        <f>_xlfn.XLOOKUP(B216,PRODUCT_MASTER!$A:$A,PRODUCT_MASTER!$C:$C,2,0)</f>
        <v>Gourmet Foods</v>
      </c>
      <c r="E216" t="str">
        <f>_xlfn.XLOOKUP(B216,PRODUCT_MASTER!$A:$A,PRODUCT_MASTER!$D:$D,2,0)</f>
        <v>Lt</v>
      </c>
      <c r="F216">
        <f>_xlfn.XLOOKUP(B216,PRODUCT_MASTER!$A:$A,PRODUCT_MASTER!$E:$E,2,0)</f>
        <v>44</v>
      </c>
      <c r="G216">
        <f>_xlfn.XLOOKUP(B216,PRODUCT_MASTER!$A:$A,PRODUCT_MASTER!$F:$F,2,0)</f>
        <v>48.4</v>
      </c>
      <c r="H216">
        <v>15</v>
      </c>
      <c r="I216" t="s">
        <v>103</v>
      </c>
      <c r="J216" t="s">
        <v>102</v>
      </c>
      <c r="K216">
        <v>0</v>
      </c>
      <c r="L216" s="15">
        <f t="shared" si="21"/>
        <v>660</v>
      </c>
      <c r="M216" s="15">
        <f t="shared" si="22"/>
        <v>726</v>
      </c>
      <c r="N216" s="15">
        <f t="shared" si="23"/>
        <v>66</v>
      </c>
      <c r="O216" s="10">
        <f t="shared" si="24"/>
        <v>0.1</v>
      </c>
      <c r="P216" t="str">
        <f t="shared" si="25"/>
        <v>11</v>
      </c>
      <c r="Q216" t="str">
        <f t="shared" si="26"/>
        <v>Oct</v>
      </c>
      <c r="R216" t="str">
        <f t="shared" si="27"/>
        <v>2021</v>
      </c>
    </row>
    <row r="217" spans="1:18" x14ac:dyDescent="0.2">
      <c r="A217" s="1">
        <v>44481</v>
      </c>
      <c r="B217" t="s">
        <v>59</v>
      </c>
      <c r="C217" t="str">
        <f>_xlfn.XLOOKUP(B217,PRODUCT_MASTER!$A:$A,PRODUCT_MASTER!$B:$B,2,0)</f>
        <v>Product27</v>
      </c>
      <c r="D217" t="str">
        <f>_xlfn.XLOOKUP(B217,PRODUCT_MASTER!$A:$A,PRODUCT_MASTER!$C:$C,2,0)</f>
        <v>Cheese And Dairy</v>
      </c>
      <c r="E217" t="str">
        <f>_xlfn.XLOOKUP(B217,PRODUCT_MASTER!$A:$A,PRODUCT_MASTER!$D:$D,2,0)</f>
        <v>Lt</v>
      </c>
      <c r="F217">
        <f>_xlfn.XLOOKUP(B217,PRODUCT_MASTER!$A:$A,PRODUCT_MASTER!$E:$E,2,0)</f>
        <v>48</v>
      </c>
      <c r="G217">
        <f>_xlfn.XLOOKUP(B217,PRODUCT_MASTER!$A:$A,PRODUCT_MASTER!$F:$F,2,0)</f>
        <v>57.120000000000005</v>
      </c>
      <c r="H217">
        <v>8</v>
      </c>
      <c r="I217" t="s">
        <v>101</v>
      </c>
      <c r="J217" t="s">
        <v>101</v>
      </c>
      <c r="K217">
        <v>0</v>
      </c>
      <c r="L217" s="15">
        <f t="shared" si="21"/>
        <v>384</v>
      </c>
      <c r="M217" s="15">
        <f t="shared" si="22"/>
        <v>456.96000000000004</v>
      </c>
      <c r="N217" s="15">
        <f t="shared" si="23"/>
        <v>72.960000000000036</v>
      </c>
      <c r="O217" s="10">
        <f t="shared" si="24"/>
        <v>0.19000000000000009</v>
      </c>
      <c r="P217" t="str">
        <f t="shared" si="25"/>
        <v>12</v>
      </c>
      <c r="Q217" t="str">
        <f t="shared" si="26"/>
        <v>Oct</v>
      </c>
      <c r="R217" t="str">
        <f t="shared" si="27"/>
        <v>2021</v>
      </c>
    </row>
    <row r="218" spans="1:18" x14ac:dyDescent="0.2">
      <c r="A218" s="1">
        <v>44486</v>
      </c>
      <c r="B218" t="s">
        <v>6</v>
      </c>
      <c r="C218" t="str">
        <f>_xlfn.XLOOKUP(B218,PRODUCT_MASTER!$A:$A,PRODUCT_MASTER!$B:$B,2,0)</f>
        <v>Product01</v>
      </c>
      <c r="D218" t="str">
        <f>_xlfn.XLOOKUP(B218,PRODUCT_MASTER!$A:$A,PRODUCT_MASTER!$C:$C,2,0)</f>
        <v>Organic</v>
      </c>
      <c r="E218" t="str">
        <f>_xlfn.XLOOKUP(B218,PRODUCT_MASTER!$A:$A,PRODUCT_MASTER!$D:$D,2,0)</f>
        <v>Kg</v>
      </c>
      <c r="F218">
        <f>_xlfn.XLOOKUP(B218,PRODUCT_MASTER!$A:$A,PRODUCT_MASTER!$E:$E,2,0)</f>
        <v>98</v>
      </c>
      <c r="G218">
        <f>_xlfn.XLOOKUP(B218,PRODUCT_MASTER!$A:$A,PRODUCT_MASTER!$F:$F,2,0)</f>
        <v>103.88</v>
      </c>
      <c r="H218">
        <v>13</v>
      </c>
      <c r="I218" t="s">
        <v>103</v>
      </c>
      <c r="J218" t="s">
        <v>101</v>
      </c>
      <c r="K218">
        <v>0</v>
      </c>
      <c r="L218" s="15">
        <f t="shared" si="21"/>
        <v>1274</v>
      </c>
      <c r="M218" s="15">
        <f t="shared" si="22"/>
        <v>1350.44</v>
      </c>
      <c r="N218" s="15">
        <f t="shared" si="23"/>
        <v>76.440000000000055</v>
      </c>
      <c r="O218" s="10">
        <f t="shared" si="24"/>
        <v>6.0000000000000039E-2</v>
      </c>
      <c r="P218" t="str">
        <f t="shared" si="25"/>
        <v>17</v>
      </c>
      <c r="Q218" t="str">
        <f t="shared" si="26"/>
        <v>Oct</v>
      </c>
      <c r="R218" t="str">
        <f t="shared" si="27"/>
        <v>2021</v>
      </c>
    </row>
    <row r="219" spans="1:18" x14ac:dyDescent="0.2">
      <c r="A219" s="1">
        <v>44487</v>
      </c>
      <c r="B219" t="s">
        <v>55</v>
      </c>
      <c r="C219" t="str">
        <f>_xlfn.XLOOKUP(B219,PRODUCT_MASTER!$A:$A,PRODUCT_MASTER!$B:$B,2,0)</f>
        <v>Product25</v>
      </c>
      <c r="D219" t="str">
        <f>_xlfn.XLOOKUP(B219,PRODUCT_MASTER!$A:$A,PRODUCT_MASTER!$C:$C,2,0)</f>
        <v>Seafood</v>
      </c>
      <c r="E219" t="str">
        <f>_xlfn.XLOOKUP(B219,PRODUCT_MASTER!$A:$A,PRODUCT_MASTER!$D:$D,2,0)</f>
        <v>No.</v>
      </c>
      <c r="F219">
        <f>_xlfn.XLOOKUP(B219,PRODUCT_MASTER!$A:$A,PRODUCT_MASTER!$E:$E,2,0)</f>
        <v>7</v>
      </c>
      <c r="G219">
        <f>_xlfn.XLOOKUP(B219,PRODUCT_MASTER!$A:$A,PRODUCT_MASTER!$F:$F,2,0)</f>
        <v>8.33</v>
      </c>
      <c r="H219">
        <v>6</v>
      </c>
      <c r="I219" t="s">
        <v>101</v>
      </c>
      <c r="J219" t="s">
        <v>102</v>
      </c>
      <c r="K219">
        <v>0</v>
      </c>
      <c r="L219" s="15">
        <f t="shared" si="21"/>
        <v>42</v>
      </c>
      <c r="M219" s="15">
        <f t="shared" si="22"/>
        <v>49.980000000000004</v>
      </c>
      <c r="N219" s="15">
        <f t="shared" si="23"/>
        <v>7.980000000000004</v>
      </c>
      <c r="O219" s="10">
        <f t="shared" si="24"/>
        <v>0.19000000000000009</v>
      </c>
      <c r="P219" t="str">
        <f t="shared" si="25"/>
        <v>18</v>
      </c>
      <c r="Q219" t="str">
        <f t="shared" si="26"/>
        <v>Oct</v>
      </c>
      <c r="R219" t="str">
        <f t="shared" si="27"/>
        <v>2021</v>
      </c>
    </row>
    <row r="220" spans="1:18" x14ac:dyDescent="0.2">
      <c r="A220" s="1">
        <v>44487</v>
      </c>
      <c r="B220" t="s">
        <v>47</v>
      </c>
      <c r="C220" t="str">
        <f>_xlfn.XLOOKUP(B220,PRODUCT_MASTER!$A:$A,PRODUCT_MASTER!$B:$B,2,0)</f>
        <v>Product21</v>
      </c>
      <c r="D220" t="str">
        <f>_xlfn.XLOOKUP(B220,PRODUCT_MASTER!$A:$A,PRODUCT_MASTER!$C:$C,2,0)</f>
        <v>Poultry</v>
      </c>
      <c r="E220" t="str">
        <f>_xlfn.XLOOKUP(B220,PRODUCT_MASTER!$A:$A,PRODUCT_MASTER!$D:$D,2,0)</f>
        <v>Ft</v>
      </c>
      <c r="F220">
        <f>_xlfn.XLOOKUP(B220,PRODUCT_MASTER!$A:$A,PRODUCT_MASTER!$E:$E,2,0)</f>
        <v>126</v>
      </c>
      <c r="G220">
        <f>_xlfn.XLOOKUP(B220,PRODUCT_MASTER!$A:$A,PRODUCT_MASTER!$F:$F,2,0)</f>
        <v>162.54</v>
      </c>
      <c r="H220">
        <v>13</v>
      </c>
      <c r="I220" t="s">
        <v>101</v>
      </c>
      <c r="J220" t="s">
        <v>102</v>
      </c>
      <c r="K220">
        <v>0</v>
      </c>
      <c r="L220" s="15">
        <f t="shared" si="21"/>
        <v>1638</v>
      </c>
      <c r="M220" s="15">
        <f t="shared" si="22"/>
        <v>2113.02</v>
      </c>
      <c r="N220" s="15">
        <f t="shared" si="23"/>
        <v>475.02</v>
      </c>
      <c r="O220" s="10">
        <f t="shared" si="24"/>
        <v>0.28999999999999998</v>
      </c>
      <c r="P220" t="str">
        <f t="shared" si="25"/>
        <v>18</v>
      </c>
      <c r="Q220" t="str">
        <f t="shared" si="26"/>
        <v>Oct</v>
      </c>
      <c r="R220" t="str">
        <f t="shared" si="27"/>
        <v>2021</v>
      </c>
    </row>
    <row r="221" spans="1:18" x14ac:dyDescent="0.2">
      <c r="A221" s="1">
        <v>44491</v>
      </c>
      <c r="B221" t="s">
        <v>27</v>
      </c>
      <c r="C221" t="str">
        <f>_xlfn.XLOOKUP(B221,PRODUCT_MASTER!$A:$A,PRODUCT_MASTER!$B:$B,2,0)</f>
        <v>Product11</v>
      </c>
      <c r="D221" t="str">
        <f>_xlfn.XLOOKUP(B221,PRODUCT_MASTER!$A:$A,PRODUCT_MASTER!$C:$C,2,0)</f>
        <v>Gourmet Foods</v>
      </c>
      <c r="E221" t="str">
        <f>_xlfn.XLOOKUP(B221,PRODUCT_MASTER!$A:$A,PRODUCT_MASTER!$D:$D,2,0)</f>
        <v>Lt</v>
      </c>
      <c r="F221">
        <f>_xlfn.XLOOKUP(B221,PRODUCT_MASTER!$A:$A,PRODUCT_MASTER!$E:$E,2,0)</f>
        <v>44</v>
      </c>
      <c r="G221">
        <f>_xlfn.XLOOKUP(B221,PRODUCT_MASTER!$A:$A,PRODUCT_MASTER!$F:$F,2,0)</f>
        <v>48.4</v>
      </c>
      <c r="H221">
        <v>7</v>
      </c>
      <c r="I221" t="s">
        <v>103</v>
      </c>
      <c r="J221" t="s">
        <v>102</v>
      </c>
      <c r="K221">
        <v>0</v>
      </c>
      <c r="L221" s="15">
        <f t="shared" si="21"/>
        <v>308</v>
      </c>
      <c r="M221" s="15">
        <f t="shared" si="22"/>
        <v>338.8</v>
      </c>
      <c r="N221" s="15">
        <f t="shared" si="23"/>
        <v>30.800000000000011</v>
      </c>
      <c r="O221" s="10">
        <f t="shared" si="24"/>
        <v>0.10000000000000003</v>
      </c>
      <c r="P221" t="str">
        <f t="shared" si="25"/>
        <v>22</v>
      </c>
      <c r="Q221" t="str">
        <f t="shared" si="26"/>
        <v>Oct</v>
      </c>
      <c r="R221" t="str">
        <f t="shared" si="27"/>
        <v>2021</v>
      </c>
    </row>
    <row r="222" spans="1:18" x14ac:dyDescent="0.2">
      <c r="A222" s="1">
        <v>44491</v>
      </c>
      <c r="B222" t="s">
        <v>53</v>
      </c>
      <c r="C222" t="str">
        <f>_xlfn.XLOOKUP(B222,PRODUCT_MASTER!$A:$A,PRODUCT_MASTER!$B:$B,2,0)</f>
        <v>Product24</v>
      </c>
      <c r="D222" t="str">
        <f>_xlfn.XLOOKUP(B222,PRODUCT_MASTER!$A:$A,PRODUCT_MASTER!$C:$C,2,0)</f>
        <v>Seafood</v>
      </c>
      <c r="E222" t="str">
        <f>_xlfn.XLOOKUP(B222,PRODUCT_MASTER!$A:$A,PRODUCT_MASTER!$D:$D,2,0)</f>
        <v>Ft</v>
      </c>
      <c r="F222">
        <f>_xlfn.XLOOKUP(B222,PRODUCT_MASTER!$A:$A,PRODUCT_MASTER!$E:$E,2,0)</f>
        <v>144</v>
      </c>
      <c r="G222">
        <f>_xlfn.XLOOKUP(B222,PRODUCT_MASTER!$A:$A,PRODUCT_MASTER!$F:$F,2,0)</f>
        <v>156.96</v>
      </c>
      <c r="H222">
        <v>13</v>
      </c>
      <c r="I222" t="s">
        <v>101</v>
      </c>
      <c r="J222" t="s">
        <v>102</v>
      </c>
      <c r="K222">
        <v>0</v>
      </c>
      <c r="L222" s="15">
        <f t="shared" si="21"/>
        <v>1872</v>
      </c>
      <c r="M222" s="15">
        <f t="shared" si="22"/>
        <v>2040.48</v>
      </c>
      <c r="N222" s="15">
        <f t="shared" si="23"/>
        <v>168.48000000000002</v>
      </c>
      <c r="O222" s="10">
        <f t="shared" si="24"/>
        <v>9.0000000000000011E-2</v>
      </c>
      <c r="P222" t="str">
        <f t="shared" si="25"/>
        <v>22</v>
      </c>
      <c r="Q222" t="str">
        <f t="shared" si="26"/>
        <v>Oct</v>
      </c>
      <c r="R222" t="str">
        <f t="shared" si="27"/>
        <v>2021</v>
      </c>
    </row>
    <row r="223" spans="1:18" x14ac:dyDescent="0.2">
      <c r="A223" s="1">
        <v>44491</v>
      </c>
      <c r="B223" t="s">
        <v>23</v>
      </c>
      <c r="C223" t="str">
        <f>_xlfn.XLOOKUP(B223,PRODUCT_MASTER!$A:$A,PRODUCT_MASTER!$B:$B,2,0)</f>
        <v>Product09</v>
      </c>
      <c r="D223" t="str">
        <f>_xlfn.XLOOKUP(B223,PRODUCT_MASTER!$A:$A,PRODUCT_MASTER!$C:$C,2,0)</f>
        <v>Gourmet Foods</v>
      </c>
      <c r="E223" t="str">
        <f>_xlfn.XLOOKUP(B223,PRODUCT_MASTER!$A:$A,PRODUCT_MASTER!$D:$D,2,0)</f>
        <v>No.</v>
      </c>
      <c r="F223">
        <f>_xlfn.XLOOKUP(B223,PRODUCT_MASTER!$A:$A,PRODUCT_MASTER!$E:$E,2,0)</f>
        <v>6</v>
      </c>
      <c r="G223">
        <f>_xlfn.XLOOKUP(B223,PRODUCT_MASTER!$A:$A,PRODUCT_MASTER!$F:$F,2,0)</f>
        <v>7.8599999999999994</v>
      </c>
      <c r="H223">
        <v>1</v>
      </c>
      <c r="I223" t="s">
        <v>103</v>
      </c>
      <c r="J223" t="s">
        <v>102</v>
      </c>
      <c r="K223">
        <v>0</v>
      </c>
      <c r="L223" s="15">
        <f t="shared" si="21"/>
        <v>6</v>
      </c>
      <c r="M223" s="15">
        <f t="shared" si="22"/>
        <v>7.8599999999999994</v>
      </c>
      <c r="N223" s="15">
        <f t="shared" si="23"/>
        <v>1.8599999999999994</v>
      </c>
      <c r="O223" s="10">
        <f t="shared" si="24"/>
        <v>0.30999999999999989</v>
      </c>
      <c r="P223" t="str">
        <f t="shared" si="25"/>
        <v>22</v>
      </c>
      <c r="Q223" t="str">
        <f t="shared" si="26"/>
        <v>Oct</v>
      </c>
      <c r="R223" t="str">
        <f t="shared" si="27"/>
        <v>2021</v>
      </c>
    </row>
    <row r="224" spans="1:18" x14ac:dyDescent="0.2">
      <c r="A224" s="1">
        <v>44493</v>
      </c>
      <c r="B224" t="s">
        <v>27</v>
      </c>
      <c r="C224" t="str">
        <f>_xlfn.XLOOKUP(B224,PRODUCT_MASTER!$A:$A,PRODUCT_MASTER!$B:$B,2,0)</f>
        <v>Product11</v>
      </c>
      <c r="D224" t="str">
        <f>_xlfn.XLOOKUP(B224,PRODUCT_MASTER!$A:$A,PRODUCT_MASTER!$C:$C,2,0)</f>
        <v>Gourmet Foods</v>
      </c>
      <c r="E224" t="str">
        <f>_xlfn.XLOOKUP(B224,PRODUCT_MASTER!$A:$A,PRODUCT_MASTER!$D:$D,2,0)</f>
        <v>Lt</v>
      </c>
      <c r="F224">
        <f>_xlfn.XLOOKUP(B224,PRODUCT_MASTER!$A:$A,PRODUCT_MASTER!$E:$E,2,0)</f>
        <v>44</v>
      </c>
      <c r="G224">
        <f>_xlfn.XLOOKUP(B224,PRODUCT_MASTER!$A:$A,PRODUCT_MASTER!$F:$F,2,0)</f>
        <v>48.4</v>
      </c>
      <c r="H224">
        <v>3</v>
      </c>
      <c r="I224" t="s">
        <v>100</v>
      </c>
      <c r="J224" t="s">
        <v>102</v>
      </c>
      <c r="K224">
        <v>0</v>
      </c>
      <c r="L224" s="15">
        <f t="shared" si="21"/>
        <v>132</v>
      </c>
      <c r="M224" s="15">
        <f t="shared" si="22"/>
        <v>145.19999999999999</v>
      </c>
      <c r="N224" s="15">
        <f t="shared" si="23"/>
        <v>13.199999999999989</v>
      </c>
      <c r="O224" s="10">
        <f t="shared" si="24"/>
        <v>9.9999999999999908E-2</v>
      </c>
      <c r="P224" t="str">
        <f t="shared" si="25"/>
        <v>24</v>
      </c>
      <c r="Q224" t="str">
        <f t="shared" si="26"/>
        <v>Oct</v>
      </c>
      <c r="R224" t="str">
        <f t="shared" si="27"/>
        <v>2021</v>
      </c>
    </row>
    <row r="225" spans="1:18" x14ac:dyDescent="0.2">
      <c r="A225" s="1">
        <v>44494</v>
      </c>
      <c r="B225" t="s">
        <v>93</v>
      </c>
      <c r="C225" t="str">
        <f>_xlfn.XLOOKUP(B225,PRODUCT_MASTER!$A:$A,PRODUCT_MASTER!$B:$B,2,0)</f>
        <v>Product44</v>
      </c>
      <c r="D225" t="str">
        <f>_xlfn.XLOOKUP(B225,PRODUCT_MASTER!$A:$A,PRODUCT_MASTER!$C:$C,2,0)</f>
        <v>Candy</v>
      </c>
      <c r="E225" t="str">
        <f>_xlfn.XLOOKUP(B225,PRODUCT_MASTER!$A:$A,PRODUCT_MASTER!$D:$D,2,0)</f>
        <v>Kg</v>
      </c>
      <c r="F225">
        <f>_xlfn.XLOOKUP(B225,PRODUCT_MASTER!$A:$A,PRODUCT_MASTER!$E:$E,2,0)</f>
        <v>76</v>
      </c>
      <c r="G225">
        <f>_xlfn.XLOOKUP(B225,PRODUCT_MASTER!$A:$A,PRODUCT_MASTER!$F:$F,2,0)</f>
        <v>82.08</v>
      </c>
      <c r="H225">
        <v>9</v>
      </c>
      <c r="I225" t="s">
        <v>101</v>
      </c>
      <c r="J225" t="s">
        <v>102</v>
      </c>
      <c r="K225">
        <v>0</v>
      </c>
      <c r="L225" s="15">
        <f t="shared" si="21"/>
        <v>684</v>
      </c>
      <c r="M225" s="15">
        <f t="shared" si="22"/>
        <v>738.72</v>
      </c>
      <c r="N225" s="15">
        <f t="shared" si="23"/>
        <v>54.720000000000027</v>
      </c>
      <c r="O225" s="10">
        <f t="shared" si="24"/>
        <v>8.0000000000000043E-2</v>
      </c>
      <c r="P225" t="str">
        <f t="shared" si="25"/>
        <v>25</v>
      </c>
      <c r="Q225" t="str">
        <f t="shared" si="26"/>
        <v>Oct</v>
      </c>
      <c r="R225" t="str">
        <f t="shared" si="27"/>
        <v>2021</v>
      </c>
    </row>
    <row r="226" spans="1:18" x14ac:dyDescent="0.2">
      <c r="A226" s="1">
        <v>44495</v>
      </c>
      <c r="B226" t="s">
        <v>13</v>
      </c>
      <c r="C226" t="str">
        <f>_xlfn.XLOOKUP(B226,PRODUCT_MASTER!$A:$A,PRODUCT_MASTER!$B:$B,2,0)</f>
        <v>Product04</v>
      </c>
      <c r="D226" t="str">
        <f>_xlfn.XLOOKUP(B226,PRODUCT_MASTER!$A:$A,PRODUCT_MASTER!$C:$C,2,0)</f>
        <v>Organic</v>
      </c>
      <c r="E226" t="str">
        <f>_xlfn.XLOOKUP(B226,PRODUCT_MASTER!$A:$A,PRODUCT_MASTER!$D:$D,2,0)</f>
        <v>Lt</v>
      </c>
      <c r="F226">
        <f>_xlfn.XLOOKUP(B226,PRODUCT_MASTER!$A:$A,PRODUCT_MASTER!$E:$E,2,0)</f>
        <v>44</v>
      </c>
      <c r="G226">
        <f>_xlfn.XLOOKUP(B226,PRODUCT_MASTER!$A:$A,PRODUCT_MASTER!$F:$F,2,0)</f>
        <v>48.84</v>
      </c>
      <c r="H226">
        <v>6</v>
      </c>
      <c r="I226" t="s">
        <v>100</v>
      </c>
      <c r="J226" t="s">
        <v>102</v>
      </c>
      <c r="K226">
        <v>0</v>
      </c>
      <c r="L226" s="15">
        <f t="shared" si="21"/>
        <v>264</v>
      </c>
      <c r="M226" s="15">
        <f t="shared" si="22"/>
        <v>293.04000000000002</v>
      </c>
      <c r="N226" s="15">
        <f t="shared" si="23"/>
        <v>29.04000000000002</v>
      </c>
      <c r="O226" s="10">
        <f t="shared" si="24"/>
        <v>0.11000000000000008</v>
      </c>
      <c r="P226" t="str">
        <f t="shared" si="25"/>
        <v>26</v>
      </c>
      <c r="Q226" t="str">
        <f t="shared" si="26"/>
        <v>Oct</v>
      </c>
      <c r="R226" t="str">
        <f t="shared" si="27"/>
        <v>2021</v>
      </c>
    </row>
    <row r="227" spans="1:18" x14ac:dyDescent="0.2">
      <c r="A227" s="1">
        <v>44497</v>
      </c>
      <c r="B227" t="s">
        <v>21</v>
      </c>
      <c r="C227" t="str">
        <f>_xlfn.XLOOKUP(B227,PRODUCT_MASTER!$A:$A,PRODUCT_MASTER!$B:$B,2,0)</f>
        <v>Product08</v>
      </c>
      <c r="D227" t="str">
        <f>_xlfn.XLOOKUP(B227,PRODUCT_MASTER!$A:$A,PRODUCT_MASTER!$C:$C,2,0)</f>
        <v>Gourmet Foods</v>
      </c>
      <c r="E227" t="str">
        <f>_xlfn.XLOOKUP(B227,PRODUCT_MASTER!$A:$A,PRODUCT_MASTER!$D:$D,2,0)</f>
        <v>Kg</v>
      </c>
      <c r="F227">
        <f>_xlfn.XLOOKUP(B227,PRODUCT_MASTER!$A:$A,PRODUCT_MASTER!$E:$E,2,0)</f>
        <v>83</v>
      </c>
      <c r="G227">
        <f>_xlfn.XLOOKUP(B227,PRODUCT_MASTER!$A:$A,PRODUCT_MASTER!$F:$F,2,0)</f>
        <v>94.62</v>
      </c>
      <c r="H227">
        <v>1</v>
      </c>
      <c r="I227" t="s">
        <v>103</v>
      </c>
      <c r="J227" t="s">
        <v>102</v>
      </c>
      <c r="K227">
        <v>0</v>
      </c>
      <c r="L227" s="15">
        <f t="shared" si="21"/>
        <v>83</v>
      </c>
      <c r="M227" s="15">
        <f t="shared" si="22"/>
        <v>94.62</v>
      </c>
      <c r="N227" s="15">
        <f t="shared" si="23"/>
        <v>11.620000000000005</v>
      </c>
      <c r="O227" s="10">
        <f t="shared" si="24"/>
        <v>0.14000000000000004</v>
      </c>
      <c r="P227" t="str">
        <f t="shared" si="25"/>
        <v>28</v>
      </c>
      <c r="Q227" t="str">
        <f t="shared" si="26"/>
        <v>Oct</v>
      </c>
      <c r="R227" t="str">
        <f t="shared" si="27"/>
        <v>2021</v>
      </c>
    </row>
    <row r="228" spans="1:18" x14ac:dyDescent="0.2">
      <c r="A228" s="1">
        <v>44498</v>
      </c>
      <c r="B228" t="s">
        <v>81</v>
      </c>
      <c r="C228" t="str">
        <f>_xlfn.XLOOKUP(B228,PRODUCT_MASTER!$A:$A,PRODUCT_MASTER!$B:$B,2,0)</f>
        <v>Product38</v>
      </c>
      <c r="D228" t="str">
        <f>_xlfn.XLOOKUP(B228,PRODUCT_MASTER!$A:$A,PRODUCT_MASTER!$C:$C,2,0)</f>
        <v>Snacks</v>
      </c>
      <c r="E228" t="str">
        <f>_xlfn.XLOOKUP(B228,PRODUCT_MASTER!$A:$A,PRODUCT_MASTER!$D:$D,2,0)</f>
        <v>Kg</v>
      </c>
      <c r="F228">
        <f>_xlfn.XLOOKUP(B228,PRODUCT_MASTER!$A:$A,PRODUCT_MASTER!$E:$E,2,0)</f>
        <v>72</v>
      </c>
      <c r="G228">
        <f>_xlfn.XLOOKUP(B228,PRODUCT_MASTER!$A:$A,PRODUCT_MASTER!$F:$F,2,0)</f>
        <v>79.92</v>
      </c>
      <c r="H228">
        <v>14</v>
      </c>
      <c r="I228" t="s">
        <v>101</v>
      </c>
      <c r="J228" t="s">
        <v>101</v>
      </c>
      <c r="K228">
        <v>0</v>
      </c>
      <c r="L228" s="15">
        <f t="shared" si="21"/>
        <v>1008</v>
      </c>
      <c r="M228" s="15">
        <f t="shared" si="22"/>
        <v>1118.8800000000001</v>
      </c>
      <c r="N228" s="15">
        <f t="shared" si="23"/>
        <v>110.88000000000011</v>
      </c>
      <c r="O228" s="10">
        <f t="shared" si="24"/>
        <v>0.11000000000000011</v>
      </c>
      <c r="P228" t="str">
        <f t="shared" si="25"/>
        <v>29</v>
      </c>
      <c r="Q228" t="str">
        <f t="shared" si="26"/>
        <v>Oct</v>
      </c>
      <c r="R228" t="str">
        <f t="shared" si="27"/>
        <v>2021</v>
      </c>
    </row>
    <row r="229" spans="1:18" x14ac:dyDescent="0.2">
      <c r="A229" s="1">
        <v>44500</v>
      </c>
      <c r="B229" t="s">
        <v>47</v>
      </c>
      <c r="C229" t="str">
        <f>_xlfn.XLOOKUP(B229,PRODUCT_MASTER!$A:$A,PRODUCT_MASTER!$B:$B,2,0)</f>
        <v>Product21</v>
      </c>
      <c r="D229" t="str">
        <f>_xlfn.XLOOKUP(B229,PRODUCT_MASTER!$A:$A,PRODUCT_MASTER!$C:$C,2,0)</f>
        <v>Poultry</v>
      </c>
      <c r="E229" t="str">
        <f>_xlfn.XLOOKUP(B229,PRODUCT_MASTER!$A:$A,PRODUCT_MASTER!$D:$D,2,0)</f>
        <v>Ft</v>
      </c>
      <c r="F229">
        <f>_xlfn.XLOOKUP(B229,PRODUCT_MASTER!$A:$A,PRODUCT_MASTER!$E:$E,2,0)</f>
        <v>126</v>
      </c>
      <c r="G229">
        <f>_xlfn.XLOOKUP(B229,PRODUCT_MASTER!$A:$A,PRODUCT_MASTER!$F:$F,2,0)</f>
        <v>162.54</v>
      </c>
      <c r="H229">
        <v>6</v>
      </c>
      <c r="I229" t="s">
        <v>101</v>
      </c>
      <c r="J229" t="s">
        <v>102</v>
      </c>
      <c r="K229">
        <v>0</v>
      </c>
      <c r="L229" s="15">
        <f t="shared" si="21"/>
        <v>756</v>
      </c>
      <c r="M229" s="15">
        <f t="shared" si="22"/>
        <v>975.24</v>
      </c>
      <c r="N229" s="15">
        <f t="shared" si="23"/>
        <v>219.24</v>
      </c>
      <c r="O229" s="10">
        <f t="shared" si="24"/>
        <v>0.29000000000000004</v>
      </c>
      <c r="P229" t="str">
        <f t="shared" si="25"/>
        <v>31</v>
      </c>
      <c r="Q229" t="str">
        <f t="shared" si="26"/>
        <v>Oct</v>
      </c>
      <c r="R229" t="str">
        <f t="shared" si="27"/>
        <v>2021</v>
      </c>
    </row>
    <row r="230" spans="1:18" x14ac:dyDescent="0.2">
      <c r="A230" s="1">
        <v>44503</v>
      </c>
      <c r="B230" t="s">
        <v>31</v>
      </c>
      <c r="C230" t="str">
        <f>_xlfn.XLOOKUP(B230,PRODUCT_MASTER!$A:$A,PRODUCT_MASTER!$B:$B,2,0)</f>
        <v>Product13</v>
      </c>
      <c r="D230" t="str">
        <f>_xlfn.XLOOKUP(B230,PRODUCT_MASTER!$A:$A,PRODUCT_MASTER!$C:$C,2,0)</f>
        <v>Meat</v>
      </c>
      <c r="E230" t="str">
        <f>_xlfn.XLOOKUP(B230,PRODUCT_MASTER!$A:$A,PRODUCT_MASTER!$D:$D,2,0)</f>
        <v>Kg</v>
      </c>
      <c r="F230">
        <f>_xlfn.XLOOKUP(B230,PRODUCT_MASTER!$A:$A,PRODUCT_MASTER!$E:$E,2,0)</f>
        <v>112</v>
      </c>
      <c r="G230">
        <f>_xlfn.XLOOKUP(B230,PRODUCT_MASTER!$A:$A,PRODUCT_MASTER!$F:$F,2,0)</f>
        <v>122.08</v>
      </c>
      <c r="H230">
        <v>12</v>
      </c>
      <c r="I230" t="s">
        <v>103</v>
      </c>
      <c r="J230" t="s">
        <v>102</v>
      </c>
      <c r="K230">
        <v>0</v>
      </c>
      <c r="L230" s="15">
        <f t="shared" si="21"/>
        <v>1344</v>
      </c>
      <c r="M230" s="15">
        <f t="shared" si="22"/>
        <v>1464.96</v>
      </c>
      <c r="N230" s="15">
        <f t="shared" si="23"/>
        <v>120.96000000000004</v>
      </c>
      <c r="O230" s="10">
        <f t="shared" si="24"/>
        <v>9.0000000000000024E-2</v>
      </c>
      <c r="P230" t="str">
        <f t="shared" si="25"/>
        <v>03</v>
      </c>
      <c r="Q230" t="str">
        <f t="shared" si="26"/>
        <v>Nov</v>
      </c>
      <c r="R230" t="str">
        <f t="shared" si="27"/>
        <v>2021</v>
      </c>
    </row>
    <row r="231" spans="1:18" x14ac:dyDescent="0.2">
      <c r="A231" s="1">
        <v>44506</v>
      </c>
      <c r="B231" t="s">
        <v>77</v>
      </c>
      <c r="C231" t="str">
        <f>_xlfn.XLOOKUP(B231,PRODUCT_MASTER!$A:$A,PRODUCT_MASTER!$B:$B,2,0)</f>
        <v>Product36</v>
      </c>
      <c r="D231" t="str">
        <f>_xlfn.XLOOKUP(B231,PRODUCT_MASTER!$A:$A,PRODUCT_MASTER!$C:$C,2,0)</f>
        <v>Bakery And Desserts</v>
      </c>
      <c r="E231" t="str">
        <f>_xlfn.XLOOKUP(B231,PRODUCT_MASTER!$A:$A,PRODUCT_MASTER!$D:$D,2,0)</f>
        <v>Kg</v>
      </c>
      <c r="F231">
        <f>_xlfn.XLOOKUP(B231,PRODUCT_MASTER!$A:$A,PRODUCT_MASTER!$E:$E,2,0)</f>
        <v>90</v>
      </c>
      <c r="G231">
        <f>_xlfn.XLOOKUP(B231,PRODUCT_MASTER!$A:$A,PRODUCT_MASTER!$F:$F,2,0)</f>
        <v>96.3</v>
      </c>
      <c r="H231">
        <v>10</v>
      </c>
      <c r="I231" t="s">
        <v>103</v>
      </c>
      <c r="J231" t="s">
        <v>101</v>
      </c>
      <c r="K231">
        <v>0</v>
      </c>
      <c r="L231" s="15">
        <f t="shared" si="21"/>
        <v>900</v>
      </c>
      <c r="M231" s="15">
        <f t="shared" si="22"/>
        <v>963</v>
      </c>
      <c r="N231" s="15">
        <f t="shared" si="23"/>
        <v>63</v>
      </c>
      <c r="O231" s="10">
        <f t="shared" si="24"/>
        <v>7.0000000000000007E-2</v>
      </c>
      <c r="P231" t="str">
        <f t="shared" si="25"/>
        <v>06</v>
      </c>
      <c r="Q231" t="str">
        <f t="shared" si="26"/>
        <v>Nov</v>
      </c>
      <c r="R231" t="str">
        <f t="shared" si="27"/>
        <v>2021</v>
      </c>
    </row>
    <row r="232" spans="1:18" x14ac:dyDescent="0.2">
      <c r="A232" s="1">
        <v>44508</v>
      </c>
      <c r="B232" t="s">
        <v>19</v>
      </c>
      <c r="C232" t="str">
        <f>_xlfn.XLOOKUP(B232,PRODUCT_MASTER!$A:$A,PRODUCT_MASTER!$B:$B,2,0)</f>
        <v>Product07</v>
      </c>
      <c r="D232" t="str">
        <f>_xlfn.XLOOKUP(B232,PRODUCT_MASTER!$A:$A,PRODUCT_MASTER!$C:$C,2,0)</f>
        <v>Gourmet Foods</v>
      </c>
      <c r="E232" t="str">
        <f>_xlfn.XLOOKUP(B232,PRODUCT_MASTER!$A:$A,PRODUCT_MASTER!$D:$D,2,0)</f>
        <v>Lt</v>
      </c>
      <c r="F232">
        <f>_xlfn.XLOOKUP(B232,PRODUCT_MASTER!$A:$A,PRODUCT_MASTER!$E:$E,2,0)</f>
        <v>43</v>
      </c>
      <c r="G232">
        <f>_xlfn.XLOOKUP(B232,PRODUCT_MASTER!$A:$A,PRODUCT_MASTER!$F:$F,2,0)</f>
        <v>47.730000000000004</v>
      </c>
      <c r="H232">
        <v>15</v>
      </c>
      <c r="I232" t="s">
        <v>103</v>
      </c>
      <c r="J232" t="s">
        <v>101</v>
      </c>
      <c r="K232">
        <v>0</v>
      </c>
      <c r="L232" s="15">
        <f t="shared" si="21"/>
        <v>645</v>
      </c>
      <c r="M232" s="15">
        <f t="shared" si="22"/>
        <v>715.95</v>
      </c>
      <c r="N232" s="15">
        <f t="shared" si="23"/>
        <v>70.950000000000045</v>
      </c>
      <c r="O232" s="10">
        <f t="shared" si="24"/>
        <v>0.11000000000000007</v>
      </c>
      <c r="P232" t="str">
        <f t="shared" si="25"/>
        <v>08</v>
      </c>
      <c r="Q232" t="str">
        <f t="shared" si="26"/>
        <v>Nov</v>
      </c>
      <c r="R232" t="str">
        <f t="shared" si="27"/>
        <v>2021</v>
      </c>
    </row>
    <row r="233" spans="1:18" x14ac:dyDescent="0.2">
      <c r="A233" s="1">
        <v>44510</v>
      </c>
      <c r="B233" t="s">
        <v>89</v>
      </c>
      <c r="C233" t="str">
        <f>_xlfn.XLOOKUP(B233,PRODUCT_MASTER!$A:$A,PRODUCT_MASTER!$B:$B,2,0)</f>
        <v>Product42</v>
      </c>
      <c r="D233" t="str">
        <f>_xlfn.XLOOKUP(B233,PRODUCT_MASTER!$A:$A,PRODUCT_MASTER!$C:$C,2,0)</f>
        <v>Candy</v>
      </c>
      <c r="E233" t="str">
        <f>_xlfn.XLOOKUP(B233,PRODUCT_MASTER!$A:$A,PRODUCT_MASTER!$D:$D,2,0)</f>
        <v>Ft</v>
      </c>
      <c r="F233">
        <f>_xlfn.XLOOKUP(B233,PRODUCT_MASTER!$A:$A,PRODUCT_MASTER!$E:$E,2,0)</f>
        <v>120</v>
      </c>
      <c r="G233">
        <f>_xlfn.XLOOKUP(B233,PRODUCT_MASTER!$A:$A,PRODUCT_MASTER!$F:$F,2,0)</f>
        <v>162</v>
      </c>
      <c r="H233">
        <v>6</v>
      </c>
      <c r="I233" t="s">
        <v>101</v>
      </c>
      <c r="J233" t="s">
        <v>102</v>
      </c>
      <c r="K233">
        <v>0</v>
      </c>
      <c r="L233" s="15">
        <f t="shared" si="21"/>
        <v>720</v>
      </c>
      <c r="M233" s="15">
        <f t="shared" si="22"/>
        <v>972</v>
      </c>
      <c r="N233" s="15">
        <f t="shared" si="23"/>
        <v>252</v>
      </c>
      <c r="O233" s="10">
        <f t="shared" si="24"/>
        <v>0.35</v>
      </c>
      <c r="P233" t="str">
        <f t="shared" si="25"/>
        <v>10</v>
      </c>
      <c r="Q233" t="str">
        <f t="shared" si="26"/>
        <v>Nov</v>
      </c>
      <c r="R233" t="str">
        <f t="shared" si="27"/>
        <v>2021</v>
      </c>
    </row>
    <row r="234" spans="1:18" x14ac:dyDescent="0.2">
      <c r="A234" s="1">
        <v>44511</v>
      </c>
      <c r="B234" t="s">
        <v>85</v>
      </c>
      <c r="C234" t="str">
        <f>_xlfn.XLOOKUP(B234,PRODUCT_MASTER!$A:$A,PRODUCT_MASTER!$B:$B,2,0)</f>
        <v>Product40</v>
      </c>
      <c r="D234" t="str">
        <f>_xlfn.XLOOKUP(B234,PRODUCT_MASTER!$A:$A,PRODUCT_MASTER!$C:$C,2,0)</f>
        <v>Snacks</v>
      </c>
      <c r="E234" t="str">
        <f>_xlfn.XLOOKUP(B234,PRODUCT_MASTER!$A:$A,PRODUCT_MASTER!$D:$D,2,0)</f>
        <v>Kg</v>
      </c>
      <c r="F234">
        <f>_xlfn.XLOOKUP(B234,PRODUCT_MASTER!$A:$A,PRODUCT_MASTER!$E:$E,2,0)</f>
        <v>90</v>
      </c>
      <c r="G234">
        <f>_xlfn.XLOOKUP(B234,PRODUCT_MASTER!$A:$A,PRODUCT_MASTER!$F:$F,2,0)</f>
        <v>115.2</v>
      </c>
      <c r="H234">
        <v>12</v>
      </c>
      <c r="I234" t="s">
        <v>100</v>
      </c>
      <c r="J234" t="s">
        <v>101</v>
      </c>
      <c r="K234">
        <v>0</v>
      </c>
      <c r="L234" s="15">
        <f t="shared" si="21"/>
        <v>1080</v>
      </c>
      <c r="M234" s="15">
        <f t="shared" si="22"/>
        <v>1382.4</v>
      </c>
      <c r="N234" s="15">
        <f t="shared" si="23"/>
        <v>302.40000000000009</v>
      </c>
      <c r="O234" s="10">
        <f t="shared" si="24"/>
        <v>0.28000000000000008</v>
      </c>
      <c r="P234" t="str">
        <f t="shared" si="25"/>
        <v>11</v>
      </c>
      <c r="Q234" t="str">
        <f t="shared" si="26"/>
        <v>Nov</v>
      </c>
      <c r="R234" t="str">
        <f t="shared" si="27"/>
        <v>2021</v>
      </c>
    </row>
    <row r="235" spans="1:18" x14ac:dyDescent="0.2">
      <c r="A235" s="1">
        <v>44512</v>
      </c>
      <c r="B235" t="s">
        <v>25</v>
      </c>
      <c r="C235" t="str">
        <f>_xlfn.XLOOKUP(B235,PRODUCT_MASTER!$A:$A,PRODUCT_MASTER!$B:$B,2,0)</f>
        <v>Product10</v>
      </c>
      <c r="D235" t="str">
        <f>_xlfn.XLOOKUP(B235,PRODUCT_MASTER!$A:$A,PRODUCT_MASTER!$C:$C,2,0)</f>
        <v>Gourmet Foods</v>
      </c>
      <c r="E235" t="str">
        <f>_xlfn.XLOOKUP(B235,PRODUCT_MASTER!$A:$A,PRODUCT_MASTER!$D:$D,2,0)</f>
        <v>Ft</v>
      </c>
      <c r="F235">
        <f>_xlfn.XLOOKUP(B235,PRODUCT_MASTER!$A:$A,PRODUCT_MASTER!$E:$E,2,0)</f>
        <v>148</v>
      </c>
      <c r="G235">
        <f>_xlfn.XLOOKUP(B235,PRODUCT_MASTER!$A:$A,PRODUCT_MASTER!$F:$F,2,0)</f>
        <v>164.28</v>
      </c>
      <c r="H235">
        <v>3</v>
      </c>
      <c r="I235" t="s">
        <v>101</v>
      </c>
      <c r="J235" t="s">
        <v>102</v>
      </c>
      <c r="K235">
        <v>0</v>
      </c>
      <c r="L235" s="15">
        <f t="shared" si="21"/>
        <v>444</v>
      </c>
      <c r="M235" s="15">
        <f t="shared" si="22"/>
        <v>492.84000000000003</v>
      </c>
      <c r="N235" s="15">
        <f t="shared" si="23"/>
        <v>48.840000000000032</v>
      </c>
      <c r="O235" s="10">
        <f t="shared" si="24"/>
        <v>0.11000000000000007</v>
      </c>
      <c r="P235" t="str">
        <f t="shared" si="25"/>
        <v>12</v>
      </c>
      <c r="Q235" t="str">
        <f t="shared" si="26"/>
        <v>Nov</v>
      </c>
      <c r="R235" t="str">
        <f t="shared" si="27"/>
        <v>2021</v>
      </c>
    </row>
    <row r="236" spans="1:18" x14ac:dyDescent="0.2">
      <c r="A236" s="1">
        <v>44520</v>
      </c>
      <c r="B236" t="s">
        <v>73</v>
      </c>
      <c r="C236" t="str">
        <f>_xlfn.XLOOKUP(B236,PRODUCT_MASTER!$A:$A,PRODUCT_MASTER!$B:$B,2,0)</f>
        <v>Product34</v>
      </c>
      <c r="D236" t="str">
        <f>_xlfn.XLOOKUP(B236,PRODUCT_MASTER!$A:$A,PRODUCT_MASTER!$C:$C,2,0)</f>
        <v>Bakery And Desserts</v>
      </c>
      <c r="E236" t="str">
        <f>_xlfn.XLOOKUP(B236,PRODUCT_MASTER!$A:$A,PRODUCT_MASTER!$D:$D,2,0)</f>
        <v>Lt</v>
      </c>
      <c r="F236">
        <f>_xlfn.XLOOKUP(B236,PRODUCT_MASTER!$A:$A,PRODUCT_MASTER!$E:$E,2,0)</f>
        <v>55</v>
      </c>
      <c r="G236">
        <f>_xlfn.XLOOKUP(B236,PRODUCT_MASTER!$A:$A,PRODUCT_MASTER!$F:$F,2,0)</f>
        <v>58.3</v>
      </c>
      <c r="H236">
        <v>14</v>
      </c>
      <c r="I236" t="s">
        <v>101</v>
      </c>
      <c r="J236" t="s">
        <v>101</v>
      </c>
      <c r="K236">
        <v>0</v>
      </c>
      <c r="L236" s="15">
        <f t="shared" si="21"/>
        <v>770</v>
      </c>
      <c r="M236" s="15">
        <f t="shared" si="22"/>
        <v>816.19999999999993</v>
      </c>
      <c r="N236" s="15">
        <f t="shared" si="23"/>
        <v>46.199999999999932</v>
      </c>
      <c r="O236" s="10">
        <f t="shared" si="24"/>
        <v>5.9999999999999915E-2</v>
      </c>
      <c r="P236" t="str">
        <f t="shared" si="25"/>
        <v>20</v>
      </c>
      <c r="Q236" t="str">
        <f t="shared" si="26"/>
        <v>Nov</v>
      </c>
      <c r="R236" t="str">
        <f t="shared" si="27"/>
        <v>2021</v>
      </c>
    </row>
    <row r="237" spans="1:18" x14ac:dyDescent="0.2">
      <c r="A237" s="1">
        <v>44520</v>
      </c>
      <c r="B237" t="s">
        <v>21</v>
      </c>
      <c r="C237" t="str">
        <f>_xlfn.XLOOKUP(B237,PRODUCT_MASTER!$A:$A,PRODUCT_MASTER!$B:$B,2,0)</f>
        <v>Product08</v>
      </c>
      <c r="D237" t="str">
        <f>_xlfn.XLOOKUP(B237,PRODUCT_MASTER!$A:$A,PRODUCT_MASTER!$C:$C,2,0)</f>
        <v>Gourmet Foods</v>
      </c>
      <c r="E237" t="str">
        <f>_xlfn.XLOOKUP(B237,PRODUCT_MASTER!$A:$A,PRODUCT_MASTER!$D:$D,2,0)</f>
        <v>Kg</v>
      </c>
      <c r="F237">
        <f>_xlfn.XLOOKUP(B237,PRODUCT_MASTER!$A:$A,PRODUCT_MASTER!$E:$E,2,0)</f>
        <v>83</v>
      </c>
      <c r="G237">
        <f>_xlfn.XLOOKUP(B237,PRODUCT_MASTER!$A:$A,PRODUCT_MASTER!$F:$F,2,0)</f>
        <v>94.62</v>
      </c>
      <c r="H237">
        <v>11</v>
      </c>
      <c r="I237" t="s">
        <v>101</v>
      </c>
      <c r="J237" t="s">
        <v>102</v>
      </c>
      <c r="K237">
        <v>0</v>
      </c>
      <c r="L237" s="15">
        <f t="shared" si="21"/>
        <v>913</v>
      </c>
      <c r="M237" s="15">
        <f t="shared" si="22"/>
        <v>1040.8200000000002</v>
      </c>
      <c r="N237" s="15">
        <f t="shared" si="23"/>
        <v>127.82000000000016</v>
      </c>
      <c r="O237" s="10">
        <f t="shared" si="24"/>
        <v>0.14000000000000018</v>
      </c>
      <c r="P237" t="str">
        <f t="shared" si="25"/>
        <v>20</v>
      </c>
      <c r="Q237" t="str">
        <f t="shared" si="26"/>
        <v>Nov</v>
      </c>
      <c r="R237" t="str">
        <f t="shared" si="27"/>
        <v>2021</v>
      </c>
    </row>
    <row r="238" spans="1:18" x14ac:dyDescent="0.2">
      <c r="A238" s="1">
        <v>44521</v>
      </c>
      <c r="B238" t="s">
        <v>33</v>
      </c>
      <c r="C238" t="str">
        <f>_xlfn.XLOOKUP(B238,PRODUCT_MASTER!$A:$A,PRODUCT_MASTER!$B:$B,2,0)</f>
        <v>Product14</v>
      </c>
      <c r="D238" t="str">
        <f>_xlfn.XLOOKUP(B238,PRODUCT_MASTER!$A:$A,PRODUCT_MASTER!$C:$C,2,0)</f>
        <v>Meat</v>
      </c>
      <c r="E238" t="str">
        <f>_xlfn.XLOOKUP(B238,PRODUCT_MASTER!$A:$A,PRODUCT_MASTER!$D:$D,2,0)</f>
        <v>Kg</v>
      </c>
      <c r="F238">
        <f>_xlfn.XLOOKUP(B238,PRODUCT_MASTER!$A:$A,PRODUCT_MASTER!$E:$E,2,0)</f>
        <v>112</v>
      </c>
      <c r="G238">
        <f>_xlfn.XLOOKUP(B238,PRODUCT_MASTER!$A:$A,PRODUCT_MASTER!$F:$F,2,0)</f>
        <v>146.72</v>
      </c>
      <c r="H238">
        <v>1</v>
      </c>
      <c r="I238" t="s">
        <v>100</v>
      </c>
      <c r="J238" t="s">
        <v>101</v>
      </c>
      <c r="K238">
        <v>0</v>
      </c>
      <c r="L238" s="15">
        <f t="shared" si="21"/>
        <v>112</v>
      </c>
      <c r="M238" s="15">
        <f t="shared" si="22"/>
        <v>146.72</v>
      </c>
      <c r="N238" s="15">
        <f t="shared" si="23"/>
        <v>34.72</v>
      </c>
      <c r="O238" s="10">
        <f t="shared" si="24"/>
        <v>0.31</v>
      </c>
      <c r="P238" t="str">
        <f t="shared" si="25"/>
        <v>21</v>
      </c>
      <c r="Q238" t="str">
        <f t="shared" si="26"/>
        <v>Nov</v>
      </c>
      <c r="R238" t="str">
        <f t="shared" si="27"/>
        <v>2021</v>
      </c>
    </row>
    <row r="239" spans="1:18" x14ac:dyDescent="0.2">
      <c r="A239" s="1">
        <v>44521</v>
      </c>
      <c r="B239" t="s">
        <v>17</v>
      </c>
      <c r="C239" t="str">
        <f>_xlfn.XLOOKUP(B239,PRODUCT_MASTER!$A:$A,PRODUCT_MASTER!$B:$B,2,0)</f>
        <v>Product06</v>
      </c>
      <c r="D239" t="str">
        <f>_xlfn.XLOOKUP(B239,PRODUCT_MASTER!$A:$A,PRODUCT_MASTER!$C:$C,2,0)</f>
        <v>Gourmet Foods</v>
      </c>
      <c r="E239" t="str">
        <f>_xlfn.XLOOKUP(B239,PRODUCT_MASTER!$A:$A,PRODUCT_MASTER!$D:$D,2,0)</f>
        <v>Kg</v>
      </c>
      <c r="F239">
        <f>_xlfn.XLOOKUP(B239,PRODUCT_MASTER!$A:$A,PRODUCT_MASTER!$E:$E,2,0)</f>
        <v>75</v>
      </c>
      <c r="G239">
        <f>_xlfn.XLOOKUP(B239,PRODUCT_MASTER!$A:$A,PRODUCT_MASTER!$F:$F,2,0)</f>
        <v>85.5</v>
      </c>
      <c r="H239">
        <v>1</v>
      </c>
      <c r="I239" t="s">
        <v>101</v>
      </c>
      <c r="J239" t="s">
        <v>102</v>
      </c>
      <c r="K239">
        <v>0</v>
      </c>
      <c r="L239" s="15">
        <f t="shared" si="21"/>
        <v>75</v>
      </c>
      <c r="M239" s="15">
        <f t="shared" si="22"/>
        <v>85.5</v>
      </c>
      <c r="N239" s="15">
        <f t="shared" si="23"/>
        <v>10.5</v>
      </c>
      <c r="O239" s="10">
        <f t="shared" si="24"/>
        <v>0.14000000000000001</v>
      </c>
      <c r="P239" t="str">
        <f t="shared" si="25"/>
        <v>21</v>
      </c>
      <c r="Q239" t="str">
        <f t="shared" si="26"/>
        <v>Nov</v>
      </c>
      <c r="R239" t="str">
        <f t="shared" si="27"/>
        <v>2021</v>
      </c>
    </row>
    <row r="240" spans="1:18" x14ac:dyDescent="0.2">
      <c r="A240" s="1">
        <v>44527</v>
      </c>
      <c r="B240" t="s">
        <v>29</v>
      </c>
      <c r="C240" t="str">
        <f>_xlfn.XLOOKUP(B240,PRODUCT_MASTER!$A:$A,PRODUCT_MASTER!$B:$B,2,0)</f>
        <v>Product12</v>
      </c>
      <c r="D240" t="str">
        <f>_xlfn.XLOOKUP(B240,PRODUCT_MASTER!$A:$A,PRODUCT_MASTER!$C:$C,2,0)</f>
        <v>Meat</v>
      </c>
      <c r="E240" t="str">
        <f>_xlfn.XLOOKUP(B240,PRODUCT_MASTER!$A:$A,PRODUCT_MASTER!$D:$D,2,0)</f>
        <v>Kg</v>
      </c>
      <c r="F240">
        <f>_xlfn.XLOOKUP(B240,PRODUCT_MASTER!$A:$A,PRODUCT_MASTER!$E:$E,2,0)</f>
        <v>73</v>
      </c>
      <c r="G240">
        <f>_xlfn.XLOOKUP(B240,PRODUCT_MASTER!$A:$A,PRODUCT_MASTER!$F:$F,2,0)</f>
        <v>94.17</v>
      </c>
      <c r="H240">
        <v>8</v>
      </c>
      <c r="I240" t="s">
        <v>101</v>
      </c>
      <c r="J240" t="s">
        <v>101</v>
      </c>
      <c r="K240">
        <v>0</v>
      </c>
      <c r="L240" s="15">
        <f t="shared" si="21"/>
        <v>584</v>
      </c>
      <c r="M240" s="15">
        <f t="shared" si="22"/>
        <v>753.36</v>
      </c>
      <c r="N240" s="15">
        <f t="shared" si="23"/>
        <v>169.36</v>
      </c>
      <c r="O240" s="10">
        <f t="shared" si="24"/>
        <v>0.29000000000000004</v>
      </c>
      <c r="P240" t="str">
        <f t="shared" si="25"/>
        <v>27</v>
      </c>
      <c r="Q240" t="str">
        <f t="shared" si="26"/>
        <v>Nov</v>
      </c>
      <c r="R240" t="str">
        <f t="shared" si="27"/>
        <v>2021</v>
      </c>
    </row>
    <row r="241" spans="1:18" x14ac:dyDescent="0.2">
      <c r="A241" s="1">
        <v>44528</v>
      </c>
      <c r="B241" t="s">
        <v>85</v>
      </c>
      <c r="C241" t="str">
        <f>_xlfn.XLOOKUP(B241,PRODUCT_MASTER!$A:$A,PRODUCT_MASTER!$B:$B,2,0)</f>
        <v>Product40</v>
      </c>
      <c r="D241" t="str">
        <f>_xlfn.XLOOKUP(B241,PRODUCT_MASTER!$A:$A,PRODUCT_MASTER!$C:$C,2,0)</f>
        <v>Snacks</v>
      </c>
      <c r="E241" t="str">
        <f>_xlfn.XLOOKUP(B241,PRODUCT_MASTER!$A:$A,PRODUCT_MASTER!$D:$D,2,0)</f>
        <v>Kg</v>
      </c>
      <c r="F241">
        <f>_xlfn.XLOOKUP(B241,PRODUCT_MASTER!$A:$A,PRODUCT_MASTER!$E:$E,2,0)</f>
        <v>90</v>
      </c>
      <c r="G241">
        <f>_xlfn.XLOOKUP(B241,PRODUCT_MASTER!$A:$A,PRODUCT_MASTER!$F:$F,2,0)</f>
        <v>115.2</v>
      </c>
      <c r="H241">
        <v>2</v>
      </c>
      <c r="I241" t="s">
        <v>103</v>
      </c>
      <c r="J241" t="s">
        <v>102</v>
      </c>
      <c r="K241">
        <v>0</v>
      </c>
      <c r="L241" s="15">
        <f t="shared" si="21"/>
        <v>180</v>
      </c>
      <c r="M241" s="15">
        <f t="shared" si="22"/>
        <v>230.4</v>
      </c>
      <c r="N241" s="15">
        <f t="shared" si="23"/>
        <v>50.400000000000006</v>
      </c>
      <c r="O241" s="10">
        <f t="shared" si="24"/>
        <v>0.28000000000000003</v>
      </c>
      <c r="P241" t="str">
        <f t="shared" si="25"/>
        <v>28</v>
      </c>
      <c r="Q241" t="str">
        <f t="shared" si="26"/>
        <v>Nov</v>
      </c>
      <c r="R241" t="str">
        <f t="shared" si="27"/>
        <v>2021</v>
      </c>
    </row>
    <row r="242" spans="1:18" x14ac:dyDescent="0.2">
      <c r="A242" s="1">
        <v>44530</v>
      </c>
      <c r="B242" t="s">
        <v>83</v>
      </c>
      <c r="C242" t="str">
        <f>_xlfn.XLOOKUP(B242,PRODUCT_MASTER!$A:$A,PRODUCT_MASTER!$B:$B,2,0)</f>
        <v>Product39</v>
      </c>
      <c r="D242" t="str">
        <f>_xlfn.XLOOKUP(B242,PRODUCT_MASTER!$A:$A,PRODUCT_MASTER!$C:$C,2,0)</f>
        <v>Snacks</v>
      </c>
      <c r="E242" t="str">
        <f>_xlfn.XLOOKUP(B242,PRODUCT_MASTER!$A:$A,PRODUCT_MASTER!$D:$D,2,0)</f>
        <v>No.</v>
      </c>
      <c r="F242">
        <f>_xlfn.XLOOKUP(B242,PRODUCT_MASTER!$A:$A,PRODUCT_MASTER!$E:$E,2,0)</f>
        <v>37</v>
      </c>
      <c r="G242">
        <f>_xlfn.XLOOKUP(B242,PRODUCT_MASTER!$A:$A,PRODUCT_MASTER!$F:$F,2,0)</f>
        <v>42.55</v>
      </c>
      <c r="H242">
        <v>15</v>
      </c>
      <c r="I242" t="s">
        <v>103</v>
      </c>
      <c r="J242" t="s">
        <v>101</v>
      </c>
      <c r="K242">
        <v>0</v>
      </c>
      <c r="L242" s="15">
        <f t="shared" si="21"/>
        <v>555</v>
      </c>
      <c r="M242" s="15">
        <f t="shared" si="22"/>
        <v>638.25</v>
      </c>
      <c r="N242" s="15">
        <f t="shared" si="23"/>
        <v>83.25</v>
      </c>
      <c r="O242" s="10">
        <f t="shared" si="24"/>
        <v>0.15</v>
      </c>
      <c r="P242" t="str">
        <f t="shared" si="25"/>
        <v>30</v>
      </c>
      <c r="Q242" t="str">
        <f t="shared" si="26"/>
        <v>Nov</v>
      </c>
      <c r="R242" t="str">
        <f t="shared" si="27"/>
        <v>2021</v>
      </c>
    </row>
    <row r="243" spans="1:18" x14ac:dyDescent="0.2">
      <c r="A243" s="1">
        <v>44532</v>
      </c>
      <c r="B243" t="s">
        <v>37</v>
      </c>
      <c r="C243" t="str">
        <f>_xlfn.XLOOKUP(B243,PRODUCT_MASTER!$A:$A,PRODUCT_MASTER!$B:$B,2,0)</f>
        <v>Product16</v>
      </c>
      <c r="D243" t="str">
        <f>_xlfn.XLOOKUP(B243,PRODUCT_MASTER!$A:$A,PRODUCT_MASTER!$C:$C,2,0)</f>
        <v>Meat</v>
      </c>
      <c r="E243" t="str">
        <f>_xlfn.XLOOKUP(B243,PRODUCT_MASTER!$A:$A,PRODUCT_MASTER!$D:$D,2,0)</f>
        <v>No.</v>
      </c>
      <c r="F243">
        <f>_xlfn.XLOOKUP(B243,PRODUCT_MASTER!$A:$A,PRODUCT_MASTER!$E:$E,2,0)</f>
        <v>13</v>
      </c>
      <c r="G243">
        <f>_xlfn.XLOOKUP(B243,PRODUCT_MASTER!$A:$A,PRODUCT_MASTER!$F:$F,2,0)</f>
        <v>16.64</v>
      </c>
      <c r="H243">
        <v>10</v>
      </c>
      <c r="I243" t="s">
        <v>103</v>
      </c>
      <c r="J243" t="s">
        <v>102</v>
      </c>
      <c r="K243">
        <v>0</v>
      </c>
      <c r="L243" s="15">
        <f t="shared" si="21"/>
        <v>130</v>
      </c>
      <c r="M243" s="15">
        <f t="shared" si="22"/>
        <v>166.4</v>
      </c>
      <c r="N243" s="15">
        <f t="shared" si="23"/>
        <v>36.400000000000006</v>
      </c>
      <c r="O243" s="10">
        <f t="shared" si="24"/>
        <v>0.28000000000000003</v>
      </c>
      <c r="P243" t="str">
        <f t="shared" si="25"/>
        <v>02</v>
      </c>
      <c r="Q243" t="str">
        <f t="shared" si="26"/>
        <v>Dec</v>
      </c>
      <c r="R243" t="str">
        <f t="shared" si="27"/>
        <v>2021</v>
      </c>
    </row>
    <row r="244" spans="1:18" x14ac:dyDescent="0.2">
      <c r="A244" s="1">
        <v>44533</v>
      </c>
      <c r="B244" t="s">
        <v>73</v>
      </c>
      <c r="C244" t="str">
        <f>_xlfn.XLOOKUP(B244,PRODUCT_MASTER!$A:$A,PRODUCT_MASTER!$B:$B,2,0)</f>
        <v>Product34</v>
      </c>
      <c r="D244" t="str">
        <f>_xlfn.XLOOKUP(B244,PRODUCT_MASTER!$A:$A,PRODUCT_MASTER!$C:$C,2,0)</f>
        <v>Bakery And Desserts</v>
      </c>
      <c r="E244" t="str">
        <f>_xlfn.XLOOKUP(B244,PRODUCT_MASTER!$A:$A,PRODUCT_MASTER!$D:$D,2,0)</f>
        <v>Lt</v>
      </c>
      <c r="F244">
        <f>_xlfn.XLOOKUP(B244,PRODUCT_MASTER!$A:$A,PRODUCT_MASTER!$E:$E,2,0)</f>
        <v>55</v>
      </c>
      <c r="G244">
        <f>_xlfn.XLOOKUP(B244,PRODUCT_MASTER!$A:$A,PRODUCT_MASTER!$F:$F,2,0)</f>
        <v>58.3</v>
      </c>
      <c r="H244">
        <v>2</v>
      </c>
      <c r="I244" t="s">
        <v>101</v>
      </c>
      <c r="J244" t="s">
        <v>102</v>
      </c>
      <c r="K244">
        <v>0</v>
      </c>
      <c r="L244" s="15">
        <f t="shared" si="21"/>
        <v>110</v>
      </c>
      <c r="M244" s="15">
        <f t="shared" si="22"/>
        <v>116.6</v>
      </c>
      <c r="N244" s="15">
        <f t="shared" si="23"/>
        <v>6.5999999999999943</v>
      </c>
      <c r="O244" s="10">
        <f t="shared" si="24"/>
        <v>5.9999999999999949E-2</v>
      </c>
      <c r="P244" t="str">
        <f t="shared" si="25"/>
        <v>03</v>
      </c>
      <c r="Q244" t="str">
        <f t="shared" si="26"/>
        <v>Dec</v>
      </c>
      <c r="R244" t="str">
        <f t="shared" si="27"/>
        <v>2021</v>
      </c>
    </row>
    <row r="245" spans="1:18" x14ac:dyDescent="0.2">
      <c r="A245" s="1">
        <v>44533</v>
      </c>
      <c r="B245" t="s">
        <v>43</v>
      </c>
      <c r="C245" t="str">
        <f>_xlfn.XLOOKUP(B245,PRODUCT_MASTER!$A:$A,PRODUCT_MASTER!$B:$B,2,0)</f>
        <v>Product19</v>
      </c>
      <c r="D245" t="str">
        <f>_xlfn.XLOOKUP(B245,PRODUCT_MASTER!$A:$A,PRODUCT_MASTER!$C:$C,2,0)</f>
        <v>Poultry</v>
      </c>
      <c r="E245" t="str">
        <f>_xlfn.XLOOKUP(B245,PRODUCT_MASTER!$A:$A,PRODUCT_MASTER!$D:$D,2,0)</f>
        <v>Ft</v>
      </c>
      <c r="F245">
        <f>_xlfn.XLOOKUP(B245,PRODUCT_MASTER!$A:$A,PRODUCT_MASTER!$E:$E,2,0)</f>
        <v>150</v>
      </c>
      <c r="G245">
        <f>_xlfn.XLOOKUP(B245,PRODUCT_MASTER!$A:$A,PRODUCT_MASTER!$F:$F,2,0)</f>
        <v>210</v>
      </c>
      <c r="H245">
        <v>8</v>
      </c>
      <c r="I245" t="s">
        <v>101</v>
      </c>
      <c r="J245" t="s">
        <v>101</v>
      </c>
      <c r="K245">
        <v>0</v>
      </c>
      <c r="L245" s="15">
        <f t="shared" si="21"/>
        <v>1200</v>
      </c>
      <c r="M245" s="15">
        <f t="shared" si="22"/>
        <v>1680</v>
      </c>
      <c r="N245" s="15">
        <f t="shared" si="23"/>
        <v>480</v>
      </c>
      <c r="O245" s="10">
        <f t="shared" si="24"/>
        <v>0.4</v>
      </c>
      <c r="P245" t="str">
        <f t="shared" si="25"/>
        <v>03</v>
      </c>
      <c r="Q245" t="str">
        <f t="shared" si="26"/>
        <v>Dec</v>
      </c>
      <c r="R245" t="str">
        <f t="shared" si="27"/>
        <v>2021</v>
      </c>
    </row>
    <row r="246" spans="1:18" x14ac:dyDescent="0.2">
      <c r="A246" s="1">
        <v>44535</v>
      </c>
      <c r="B246" t="s">
        <v>13</v>
      </c>
      <c r="C246" t="str">
        <f>_xlfn.XLOOKUP(B246,PRODUCT_MASTER!$A:$A,PRODUCT_MASTER!$B:$B,2,0)</f>
        <v>Product04</v>
      </c>
      <c r="D246" t="str">
        <f>_xlfn.XLOOKUP(B246,PRODUCT_MASTER!$A:$A,PRODUCT_MASTER!$C:$C,2,0)</f>
        <v>Organic</v>
      </c>
      <c r="E246" t="str">
        <f>_xlfn.XLOOKUP(B246,PRODUCT_MASTER!$A:$A,PRODUCT_MASTER!$D:$D,2,0)</f>
        <v>Lt</v>
      </c>
      <c r="F246">
        <f>_xlfn.XLOOKUP(B246,PRODUCT_MASTER!$A:$A,PRODUCT_MASTER!$E:$E,2,0)</f>
        <v>44</v>
      </c>
      <c r="G246">
        <f>_xlfn.XLOOKUP(B246,PRODUCT_MASTER!$A:$A,PRODUCT_MASTER!$F:$F,2,0)</f>
        <v>48.84</v>
      </c>
      <c r="H246">
        <v>15</v>
      </c>
      <c r="I246" t="s">
        <v>103</v>
      </c>
      <c r="J246" t="s">
        <v>102</v>
      </c>
      <c r="K246">
        <v>0</v>
      </c>
      <c r="L246" s="15">
        <f t="shared" si="21"/>
        <v>660</v>
      </c>
      <c r="M246" s="15">
        <f t="shared" si="22"/>
        <v>732.6</v>
      </c>
      <c r="N246" s="15">
        <f t="shared" si="23"/>
        <v>72.600000000000023</v>
      </c>
      <c r="O246" s="10">
        <f t="shared" si="24"/>
        <v>0.11000000000000003</v>
      </c>
      <c r="P246" t="str">
        <f t="shared" si="25"/>
        <v>05</v>
      </c>
      <c r="Q246" t="str">
        <f t="shared" si="26"/>
        <v>Dec</v>
      </c>
      <c r="R246" t="str">
        <f t="shared" si="27"/>
        <v>2021</v>
      </c>
    </row>
    <row r="247" spans="1:18" x14ac:dyDescent="0.2">
      <c r="A247" s="1">
        <v>44535</v>
      </c>
      <c r="B247" t="s">
        <v>25</v>
      </c>
      <c r="C247" t="str">
        <f>_xlfn.XLOOKUP(B247,PRODUCT_MASTER!$A:$A,PRODUCT_MASTER!$B:$B,2,0)</f>
        <v>Product10</v>
      </c>
      <c r="D247" t="str">
        <f>_xlfn.XLOOKUP(B247,PRODUCT_MASTER!$A:$A,PRODUCT_MASTER!$C:$C,2,0)</f>
        <v>Gourmet Foods</v>
      </c>
      <c r="E247" t="str">
        <f>_xlfn.XLOOKUP(B247,PRODUCT_MASTER!$A:$A,PRODUCT_MASTER!$D:$D,2,0)</f>
        <v>Ft</v>
      </c>
      <c r="F247">
        <f>_xlfn.XLOOKUP(B247,PRODUCT_MASTER!$A:$A,PRODUCT_MASTER!$E:$E,2,0)</f>
        <v>148</v>
      </c>
      <c r="G247">
        <f>_xlfn.XLOOKUP(B247,PRODUCT_MASTER!$A:$A,PRODUCT_MASTER!$F:$F,2,0)</f>
        <v>164.28</v>
      </c>
      <c r="H247">
        <v>1</v>
      </c>
      <c r="I247" t="s">
        <v>103</v>
      </c>
      <c r="J247" t="s">
        <v>101</v>
      </c>
      <c r="K247">
        <v>0</v>
      </c>
      <c r="L247" s="15">
        <f t="shared" si="21"/>
        <v>148</v>
      </c>
      <c r="M247" s="15">
        <f t="shared" si="22"/>
        <v>164.28</v>
      </c>
      <c r="N247" s="15">
        <f t="shared" si="23"/>
        <v>16.28</v>
      </c>
      <c r="O247" s="10">
        <f t="shared" si="24"/>
        <v>0.11000000000000001</v>
      </c>
      <c r="P247" t="str">
        <f t="shared" si="25"/>
        <v>05</v>
      </c>
      <c r="Q247" t="str">
        <f t="shared" si="26"/>
        <v>Dec</v>
      </c>
      <c r="R247" t="str">
        <f t="shared" si="27"/>
        <v>2021</v>
      </c>
    </row>
    <row r="248" spans="1:18" x14ac:dyDescent="0.2">
      <c r="A248" s="1">
        <v>44537</v>
      </c>
      <c r="B248" t="s">
        <v>31</v>
      </c>
      <c r="C248" t="str">
        <f>_xlfn.XLOOKUP(B248,PRODUCT_MASTER!$A:$A,PRODUCT_MASTER!$B:$B,2,0)</f>
        <v>Product13</v>
      </c>
      <c r="D248" t="str">
        <f>_xlfn.XLOOKUP(B248,PRODUCT_MASTER!$A:$A,PRODUCT_MASTER!$C:$C,2,0)</f>
        <v>Meat</v>
      </c>
      <c r="E248" t="str">
        <f>_xlfn.XLOOKUP(B248,PRODUCT_MASTER!$A:$A,PRODUCT_MASTER!$D:$D,2,0)</f>
        <v>Kg</v>
      </c>
      <c r="F248">
        <f>_xlfn.XLOOKUP(B248,PRODUCT_MASTER!$A:$A,PRODUCT_MASTER!$E:$E,2,0)</f>
        <v>112</v>
      </c>
      <c r="G248">
        <f>_xlfn.XLOOKUP(B248,PRODUCT_MASTER!$A:$A,PRODUCT_MASTER!$F:$F,2,0)</f>
        <v>122.08</v>
      </c>
      <c r="H248">
        <v>8</v>
      </c>
      <c r="I248" t="s">
        <v>103</v>
      </c>
      <c r="J248" t="s">
        <v>101</v>
      </c>
      <c r="K248">
        <v>0</v>
      </c>
      <c r="L248" s="15">
        <f t="shared" si="21"/>
        <v>896</v>
      </c>
      <c r="M248" s="15">
        <f t="shared" si="22"/>
        <v>976.64</v>
      </c>
      <c r="N248" s="15">
        <f t="shared" si="23"/>
        <v>80.639999999999986</v>
      </c>
      <c r="O248" s="10">
        <f t="shared" si="24"/>
        <v>8.9999999999999983E-2</v>
      </c>
      <c r="P248" t="str">
        <f t="shared" si="25"/>
        <v>07</v>
      </c>
      <c r="Q248" t="str">
        <f t="shared" si="26"/>
        <v>Dec</v>
      </c>
      <c r="R248" t="str">
        <f t="shared" si="27"/>
        <v>2021</v>
      </c>
    </row>
    <row r="249" spans="1:18" x14ac:dyDescent="0.2">
      <c r="A249" s="1">
        <v>44538</v>
      </c>
      <c r="B249" t="s">
        <v>93</v>
      </c>
      <c r="C249" t="str">
        <f>_xlfn.XLOOKUP(B249,PRODUCT_MASTER!$A:$A,PRODUCT_MASTER!$B:$B,2,0)</f>
        <v>Product44</v>
      </c>
      <c r="D249" t="str">
        <f>_xlfn.XLOOKUP(B249,PRODUCT_MASTER!$A:$A,PRODUCT_MASTER!$C:$C,2,0)</f>
        <v>Candy</v>
      </c>
      <c r="E249" t="str">
        <f>_xlfn.XLOOKUP(B249,PRODUCT_MASTER!$A:$A,PRODUCT_MASTER!$D:$D,2,0)</f>
        <v>Kg</v>
      </c>
      <c r="F249">
        <f>_xlfn.XLOOKUP(B249,PRODUCT_MASTER!$A:$A,PRODUCT_MASTER!$E:$E,2,0)</f>
        <v>76</v>
      </c>
      <c r="G249">
        <f>_xlfn.XLOOKUP(B249,PRODUCT_MASTER!$A:$A,PRODUCT_MASTER!$F:$F,2,0)</f>
        <v>82.08</v>
      </c>
      <c r="H249">
        <v>14</v>
      </c>
      <c r="I249" t="s">
        <v>103</v>
      </c>
      <c r="J249" t="s">
        <v>101</v>
      </c>
      <c r="K249">
        <v>0</v>
      </c>
      <c r="L249" s="15">
        <f t="shared" si="21"/>
        <v>1064</v>
      </c>
      <c r="M249" s="15">
        <f t="shared" si="22"/>
        <v>1149.1199999999999</v>
      </c>
      <c r="N249" s="15">
        <f t="shared" si="23"/>
        <v>85.119999999999891</v>
      </c>
      <c r="O249" s="10">
        <f t="shared" si="24"/>
        <v>7.9999999999999891E-2</v>
      </c>
      <c r="P249" t="str">
        <f t="shared" si="25"/>
        <v>08</v>
      </c>
      <c r="Q249" t="str">
        <f t="shared" si="26"/>
        <v>Dec</v>
      </c>
      <c r="R249" t="str">
        <f t="shared" si="27"/>
        <v>2021</v>
      </c>
    </row>
    <row r="250" spans="1:18" x14ac:dyDescent="0.2">
      <c r="A250" s="1">
        <v>44544</v>
      </c>
      <c r="B250" t="s">
        <v>89</v>
      </c>
      <c r="C250" t="str">
        <f>_xlfn.XLOOKUP(B250,PRODUCT_MASTER!$A:$A,PRODUCT_MASTER!$B:$B,2,0)</f>
        <v>Product42</v>
      </c>
      <c r="D250" t="str">
        <f>_xlfn.XLOOKUP(B250,PRODUCT_MASTER!$A:$A,PRODUCT_MASTER!$C:$C,2,0)</f>
        <v>Candy</v>
      </c>
      <c r="E250" t="str">
        <f>_xlfn.XLOOKUP(B250,PRODUCT_MASTER!$A:$A,PRODUCT_MASTER!$D:$D,2,0)</f>
        <v>Ft</v>
      </c>
      <c r="F250">
        <f>_xlfn.XLOOKUP(B250,PRODUCT_MASTER!$A:$A,PRODUCT_MASTER!$E:$E,2,0)</f>
        <v>120</v>
      </c>
      <c r="G250">
        <f>_xlfn.XLOOKUP(B250,PRODUCT_MASTER!$A:$A,PRODUCT_MASTER!$F:$F,2,0)</f>
        <v>162</v>
      </c>
      <c r="H250">
        <v>4</v>
      </c>
      <c r="I250" t="s">
        <v>103</v>
      </c>
      <c r="J250" t="s">
        <v>101</v>
      </c>
      <c r="K250">
        <v>0</v>
      </c>
      <c r="L250" s="15">
        <f t="shared" si="21"/>
        <v>480</v>
      </c>
      <c r="M250" s="15">
        <f t="shared" si="22"/>
        <v>648</v>
      </c>
      <c r="N250" s="15">
        <f t="shared" si="23"/>
        <v>168</v>
      </c>
      <c r="O250" s="10">
        <f t="shared" si="24"/>
        <v>0.35</v>
      </c>
      <c r="P250" t="str">
        <f t="shared" si="25"/>
        <v>14</v>
      </c>
      <c r="Q250" t="str">
        <f t="shared" si="26"/>
        <v>Dec</v>
      </c>
      <c r="R250" t="str">
        <f t="shared" si="27"/>
        <v>2021</v>
      </c>
    </row>
    <row r="251" spans="1:18" x14ac:dyDescent="0.2">
      <c r="A251" s="1">
        <v>44548</v>
      </c>
      <c r="B251" t="s">
        <v>11</v>
      </c>
      <c r="C251" t="str">
        <f>_xlfn.XLOOKUP(B251,PRODUCT_MASTER!$A:$A,PRODUCT_MASTER!$B:$B,2,0)</f>
        <v>Product03</v>
      </c>
      <c r="D251" t="str">
        <f>_xlfn.XLOOKUP(B251,PRODUCT_MASTER!$A:$A,PRODUCT_MASTER!$C:$C,2,0)</f>
        <v>Organic</v>
      </c>
      <c r="E251" t="str">
        <f>_xlfn.XLOOKUP(B251,PRODUCT_MASTER!$A:$A,PRODUCT_MASTER!$D:$D,2,0)</f>
        <v>Kg</v>
      </c>
      <c r="F251">
        <f>_xlfn.XLOOKUP(B251,PRODUCT_MASTER!$A:$A,PRODUCT_MASTER!$E:$E,2,0)</f>
        <v>71</v>
      </c>
      <c r="G251">
        <f>_xlfn.XLOOKUP(B251,PRODUCT_MASTER!$A:$A,PRODUCT_MASTER!$F:$F,2,0)</f>
        <v>80.94</v>
      </c>
      <c r="H251">
        <v>2</v>
      </c>
      <c r="I251" t="s">
        <v>103</v>
      </c>
      <c r="J251" t="s">
        <v>102</v>
      </c>
      <c r="K251">
        <v>0</v>
      </c>
      <c r="L251" s="15">
        <f t="shared" si="21"/>
        <v>142</v>
      </c>
      <c r="M251" s="15">
        <f t="shared" si="22"/>
        <v>161.88</v>
      </c>
      <c r="N251" s="15">
        <f t="shared" si="23"/>
        <v>19.879999999999995</v>
      </c>
      <c r="O251" s="10">
        <f t="shared" si="24"/>
        <v>0.13999999999999996</v>
      </c>
      <c r="P251" t="str">
        <f t="shared" si="25"/>
        <v>18</v>
      </c>
      <c r="Q251" t="str">
        <f t="shared" si="26"/>
        <v>Dec</v>
      </c>
      <c r="R251" t="str">
        <f t="shared" si="27"/>
        <v>2021</v>
      </c>
    </row>
    <row r="252" spans="1:18" x14ac:dyDescent="0.2">
      <c r="A252" s="1">
        <v>44548</v>
      </c>
      <c r="B252" t="s">
        <v>49</v>
      </c>
      <c r="C252" t="str">
        <f>_xlfn.XLOOKUP(B252,PRODUCT_MASTER!$A:$A,PRODUCT_MASTER!$B:$B,2,0)</f>
        <v>Product22</v>
      </c>
      <c r="D252" t="str">
        <f>_xlfn.XLOOKUP(B252,PRODUCT_MASTER!$A:$A,PRODUCT_MASTER!$C:$C,2,0)</f>
        <v>Seafood</v>
      </c>
      <c r="E252" t="str">
        <f>_xlfn.XLOOKUP(B252,PRODUCT_MASTER!$A:$A,PRODUCT_MASTER!$D:$D,2,0)</f>
        <v>Ft</v>
      </c>
      <c r="F252">
        <f>_xlfn.XLOOKUP(B252,PRODUCT_MASTER!$A:$A,PRODUCT_MASTER!$E:$E,2,0)</f>
        <v>121</v>
      </c>
      <c r="G252">
        <f>_xlfn.XLOOKUP(B252,PRODUCT_MASTER!$A:$A,PRODUCT_MASTER!$F:$F,2,0)</f>
        <v>141.57</v>
      </c>
      <c r="H252">
        <v>8</v>
      </c>
      <c r="I252" t="s">
        <v>101</v>
      </c>
      <c r="J252" t="s">
        <v>102</v>
      </c>
      <c r="K252">
        <v>0</v>
      </c>
      <c r="L252" s="15">
        <f t="shared" si="21"/>
        <v>968</v>
      </c>
      <c r="M252" s="15">
        <f t="shared" si="22"/>
        <v>1132.56</v>
      </c>
      <c r="N252" s="15">
        <f t="shared" si="23"/>
        <v>164.55999999999995</v>
      </c>
      <c r="O252" s="10">
        <f t="shared" si="24"/>
        <v>0.16999999999999996</v>
      </c>
      <c r="P252" t="str">
        <f t="shared" si="25"/>
        <v>18</v>
      </c>
      <c r="Q252" t="str">
        <f t="shared" si="26"/>
        <v>Dec</v>
      </c>
      <c r="R252" t="str">
        <f t="shared" si="27"/>
        <v>2021</v>
      </c>
    </row>
    <row r="253" spans="1:18" x14ac:dyDescent="0.2">
      <c r="A253" s="1">
        <v>44549</v>
      </c>
      <c r="B253" t="s">
        <v>51</v>
      </c>
      <c r="C253" t="str">
        <f>_xlfn.XLOOKUP(B253,PRODUCT_MASTER!$A:$A,PRODUCT_MASTER!$B:$B,2,0)</f>
        <v>Product23</v>
      </c>
      <c r="D253" t="str">
        <f>_xlfn.XLOOKUP(B253,PRODUCT_MASTER!$A:$A,PRODUCT_MASTER!$C:$C,2,0)</f>
        <v>Seafood</v>
      </c>
      <c r="E253" t="str">
        <f>_xlfn.XLOOKUP(B253,PRODUCT_MASTER!$A:$A,PRODUCT_MASTER!$D:$D,2,0)</f>
        <v>Ft</v>
      </c>
      <c r="F253">
        <f>_xlfn.XLOOKUP(B253,PRODUCT_MASTER!$A:$A,PRODUCT_MASTER!$E:$E,2,0)</f>
        <v>141</v>
      </c>
      <c r="G253">
        <f>_xlfn.XLOOKUP(B253,PRODUCT_MASTER!$A:$A,PRODUCT_MASTER!$F:$F,2,0)</f>
        <v>149.46</v>
      </c>
      <c r="H253">
        <v>12</v>
      </c>
      <c r="I253" t="s">
        <v>103</v>
      </c>
      <c r="J253" t="s">
        <v>101</v>
      </c>
      <c r="K253">
        <v>0</v>
      </c>
      <c r="L253" s="15">
        <f t="shared" si="21"/>
        <v>1692</v>
      </c>
      <c r="M253" s="15">
        <f t="shared" si="22"/>
        <v>1793.52</v>
      </c>
      <c r="N253" s="15">
        <f t="shared" si="23"/>
        <v>101.51999999999998</v>
      </c>
      <c r="O253" s="10">
        <f t="shared" si="24"/>
        <v>5.9999999999999991E-2</v>
      </c>
      <c r="P253" t="str">
        <f t="shared" si="25"/>
        <v>19</v>
      </c>
      <c r="Q253" t="str">
        <f t="shared" si="26"/>
        <v>Dec</v>
      </c>
      <c r="R253" t="str">
        <f t="shared" si="27"/>
        <v>2021</v>
      </c>
    </row>
    <row r="254" spans="1:18" x14ac:dyDescent="0.2">
      <c r="A254" s="1">
        <v>44549</v>
      </c>
      <c r="B254" t="s">
        <v>63</v>
      </c>
      <c r="C254" t="str">
        <f>_xlfn.XLOOKUP(B254,PRODUCT_MASTER!$A:$A,PRODUCT_MASTER!$B:$B,2,0)</f>
        <v>Product29</v>
      </c>
      <c r="D254" t="str">
        <f>_xlfn.XLOOKUP(B254,PRODUCT_MASTER!$A:$A,PRODUCT_MASTER!$C:$C,2,0)</f>
        <v>Cheese And Dairy</v>
      </c>
      <c r="E254" t="str">
        <f>_xlfn.XLOOKUP(B254,PRODUCT_MASTER!$A:$A,PRODUCT_MASTER!$D:$D,2,0)</f>
        <v>Lt</v>
      </c>
      <c r="F254">
        <f>_xlfn.XLOOKUP(B254,PRODUCT_MASTER!$A:$A,PRODUCT_MASTER!$E:$E,2,0)</f>
        <v>47</v>
      </c>
      <c r="G254">
        <f>_xlfn.XLOOKUP(B254,PRODUCT_MASTER!$A:$A,PRODUCT_MASTER!$F:$F,2,0)</f>
        <v>53.11</v>
      </c>
      <c r="H254">
        <v>3</v>
      </c>
      <c r="I254" t="s">
        <v>100</v>
      </c>
      <c r="J254" t="s">
        <v>101</v>
      </c>
      <c r="K254">
        <v>0</v>
      </c>
      <c r="L254" s="15">
        <f t="shared" si="21"/>
        <v>141</v>
      </c>
      <c r="M254" s="15">
        <f t="shared" si="22"/>
        <v>159.32999999999998</v>
      </c>
      <c r="N254" s="15">
        <f t="shared" si="23"/>
        <v>18.329999999999984</v>
      </c>
      <c r="O254" s="10">
        <f t="shared" si="24"/>
        <v>0.12999999999999989</v>
      </c>
      <c r="P254" t="str">
        <f t="shared" si="25"/>
        <v>19</v>
      </c>
      <c r="Q254" t="str">
        <f t="shared" si="26"/>
        <v>Dec</v>
      </c>
      <c r="R254" t="str">
        <f t="shared" si="27"/>
        <v>2021</v>
      </c>
    </row>
    <row r="255" spans="1:18" x14ac:dyDescent="0.2">
      <c r="A255" s="1">
        <v>44549</v>
      </c>
      <c r="B255" t="s">
        <v>27</v>
      </c>
      <c r="C255" t="str">
        <f>_xlfn.XLOOKUP(B255,PRODUCT_MASTER!$A:$A,PRODUCT_MASTER!$B:$B,2,0)</f>
        <v>Product11</v>
      </c>
      <c r="D255" t="str">
        <f>_xlfn.XLOOKUP(B255,PRODUCT_MASTER!$A:$A,PRODUCT_MASTER!$C:$C,2,0)</f>
        <v>Gourmet Foods</v>
      </c>
      <c r="E255" t="str">
        <f>_xlfn.XLOOKUP(B255,PRODUCT_MASTER!$A:$A,PRODUCT_MASTER!$D:$D,2,0)</f>
        <v>Lt</v>
      </c>
      <c r="F255">
        <f>_xlfn.XLOOKUP(B255,PRODUCT_MASTER!$A:$A,PRODUCT_MASTER!$E:$E,2,0)</f>
        <v>44</v>
      </c>
      <c r="G255">
        <f>_xlfn.XLOOKUP(B255,PRODUCT_MASTER!$A:$A,PRODUCT_MASTER!$F:$F,2,0)</f>
        <v>48.4</v>
      </c>
      <c r="H255">
        <v>10</v>
      </c>
      <c r="I255" t="s">
        <v>101</v>
      </c>
      <c r="J255" t="s">
        <v>101</v>
      </c>
      <c r="K255">
        <v>0</v>
      </c>
      <c r="L255" s="15">
        <f t="shared" si="21"/>
        <v>440</v>
      </c>
      <c r="M255" s="15">
        <f t="shared" si="22"/>
        <v>484</v>
      </c>
      <c r="N255" s="15">
        <f t="shared" si="23"/>
        <v>44</v>
      </c>
      <c r="O255" s="10">
        <f t="shared" si="24"/>
        <v>0.1</v>
      </c>
      <c r="P255" t="str">
        <f t="shared" si="25"/>
        <v>19</v>
      </c>
      <c r="Q255" t="str">
        <f t="shared" si="26"/>
        <v>Dec</v>
      </c>
      <c r="R255" t="str">
        <f t="shared" si="27"/>
        <v>2021</v>
      </c>
    </row>
    <row r="256" spans="1:18" x14ac:dyDescent="0.2">
      <c r="A256" s="1">
        <v>44550</v>
      </c>
      <c r="B256" t="s">
        <v>29</v>
      </c>
      <c r="C256" t="str">
        <f>_xlfn.XLOOKUP(B256,PRODUCT_MASTER!$A:$A,PRODUCT_MASTER!$B:$B,2,0)</f>
        <v>Product12</v>
      </c>
      <c r="D256" t="str">
        <f>_xlfn.XLOOKUP(B256,PRODUCT_MASTER!$A:$A,PRODUCT_MASTER!$C:$C,2,0)</f>
        <v>Meat</v>
      </c>
      <c r="E256" t="str">
        <f>_xlfn.XLOOKUP(B256,PRODUCT_MASTER!$A:$A,PRODUCT_MASTER!$D:$D,2,0)</f>
        <v>Kg</v>
      </c>
      <c r="F256">
        <f>_xlfn.XLOOKUP(B256,PRODUCT_MASTER!$A:$A,PRODUCT_MASTER!$E:$E,2,0)</f>
        <v>73</v>
      </c>
      <c r="G256">
        <f>_xlfn.XLOOKUP(B256,PRODUCT_MASTER!$A:$A,PRODUCT_MASTER!$F:$F,2,0)</f>
        <v>94.17</v>
      </c>
      <c r="H256">
        <v>14</v>
      </c>
      <c r="I256" t="s">
        <v>103</v>
      </c>
      <c r="J256" t="s">
        <v>101</v>
      </c>
      <c r="K256">
        <v>0</v>
      </c>
      <c r="L256" s="15">
        <f t="shared" si="21"/>
        <v>1022</v>
      </c>
      <c r="M256" s="15">
        <f t="shared" si="22"/>
        <v>1318.38</v>
      </c>
      <c r="N256" s="15">
        <f t="shared" si="23"/>
        <v>296.38000000000011</v>
      </c>
      <c r="O256" s="10">
        <f t="shared" si="24"/>
        <v>0.29000000000000009</v>
      </c>
      <c r="P256" t="str">
        <f t="shared" si="25"/>
        <v>20</v>
      </c>
      <c r="Q256" t="str">
        <f t="shared" si="26"/>
        <v>Dec</v>
      </c>
      <c r="R256" t="str">
        <f t="shared" si="27"/>
        <v>2021</v>
      </c>
    </row>
    <row r="257" spans="1:18" x14ac:dyDescent="0.2">
      <c r="A257" s="1">
        <v>44551</v>
      </c>
      <c r="B257" t="s">
        <v>57</v>
      </c>
      <c r="C257" t="str">
        <f>_xlfn.XLOOKUP(B257,PRODUCT_MASTER!$A:$A,PRODUCT_MASTER!$B:$B,2,0)</f>
        <v>Product26</v>
      </c>
      <c r="D257" t="str">
        <f>_xlfn.XLOOKUP(B257,PRODUCT_MASTER!$A:$A,PRODUCT_MASTER!$C:$C,2,0)</f>
        <v>Seafood</v>
      </c>
      <c r="E257" t="str">
        <f>_xlfn.XLOOKUP(B257,PRODUCT_MASTER!$A:$A,PRODUCT_MASTER!$D:$D,2,0)</f>
        <v>No.</v>
      </c>
      <c r="F257">
        <f>_xlfn.XLOOKUP(B257,PRODUCT_MASTER!$A:$A,PRODUCT_MASTER!$E:$E,2,0)</f>
        <v>18</v>
      </c>
      <c r="G257">
        <f>_xlfn.XLOOKUP(B257,PRODUCT_MASTER!$A:$A,PRODUCT_MASTER!$F:$F,2,0)</f>
        <v>24.66</v>
      </c>
      <c r="H257">
        <v>10</v>
      </c>
      <c r="I257" t="s">
        <v>101</v>
      </c>
      <c r="J257" t="s">
        <v>102</v>
      </c>
      <c r="K257">
        <v>0</v>
      </c>
      <c r="L257" s="15">
        <f t="shared" si="21"/>
        <v>180</v>
      </c>
      <c r="M257" s="15">
        <f t="shared" si="22"/>
        <v>246.6</v>
      </c>
      <c r="N257" s="15">
        <f t="shared" si="23"/>
        <v>66.599999999999994</v>
      </c>
      <c r="O257" s="10">
        <f t="shared" si="24"/>
        <v>0.37</v>
      </c>
      <c r="P257" t="str">
        <f t="shared" si="25"/>
        <v>21</v>
      </c>
      <c r="Q257" t="str">
        <f t="shared" si="26"/>
        <v>Dec</v>
      </c>
      <c r="R257" t="str">
        <f t="shared" si="27"/>
        <v>2021</v>
      </c>
    </row>
    <row r="258" spans="1:18" x14ac:dyDescent="0.2">
      <c r="A258" s="1">
        <v>44554</v>
      </c>
      <c r="B258" t="s">
        <v>89</v>
      </c>
      <c r="C258" t="str">
        <f>_xlfn.XLOOKUP(B258,PRODUCT_MASTER!$A:$A,PRODUCT_MASTER!$B:$B,2,0)</f>
        <v>Product42</v>
      </c>
      <c r="D258" t="str">
        <f>_xlfn.XLOOKUP(B258,PRODUCT_MASTER!$A:$A,PRODUCT_MASTER!$C:$C,2,0)</f>
        <v>Candy</v>
      </c>
      <c r="E258" t="str">
        <f>_xlfn.XLOOKUP(B258,PRODUCT_MASTER!$A:$A,PRODUCT_MASTER!$D:$D,2,0)</f>
        <v>Ft</v>
      </c>
      <c r="F258">
        <f>_xlfn.XLOOKUP(B258,PRODUCT_MASTER!$A:$A,PRODUCT_MASTER!$E:$E,2,0)</f>
        <v>120</v>
      </c>
      <c r="G258">
        <f>_xlfn.XLOOKUP(B258,PRODUCT_MASTER!$A:$A,PRODUCT_MASTER!$F:$F,2,0)</f>
        <v>162</v>
      </c>
      <c r="H258">
        <v>8</v>
      </c>
      <c r="I258" t="s">
        <v>100</v>
      </c>
      <c r="J258" t="s">
        <v>102</v>
      </c>
      <c r="K258">
        <v>0</v>
      </c>
      <c r="L258" s="15">
        <f t="shared" si="21"/>
        <v>960</v>
      </c>
      <c r="M258" s="15">
        <f t="shared" si="22"/>
        <v>1296</v>
      </c>
      <c r="N258" s="15">
        <f t="shared" si="23"/>
        <v>336</v>
      </c>
      <c r="O258" s="10">
        <f t="shared" si="24"/>
        <v>0.35</v>
      </c>
      <c r="P258" t="str">
        <f t="shared" si="25"/>
        <v>24</v>
      </c>
      <c r="Q258" t="str">
        <f t="shared" si="26"/>
        <v>Dec</v>
      </c>
      <c r="R258" t="str">
        <f t="shared" si="27"/>
        <v>2021</v>
      </c>
    </row>
    <row r="259" spans="1:18" x14ac:dyDescent="0.2">
      <c r="A259" s="1">
        <v>44554</v>
      </c>
      <c r="B259" t="s">
        <v>77</v>
      </c>
      <c r="C259" t="str">
        <f>_xlfn.XLOOKUP(B259,PRODUCT_MASTER!$A:$A,PRODUCT_MASTER!$B:$B,2,0)</f>
        <v>Product36</v>
      </c>
      <c r="D259" t="str">
        <f>_xlfn.XLOOKUP(B259,PRODUCT_MASTER!$A:$A,PRODUCT_MASTER!$C:$C,2,0)</f>
        <v>Bakery And Desserts</v>
      </c>
      <c r="E259" t="str">
        <f>_xlfn.XLOOKUP(B259,PRODUCT_MASTER!$A:$A,PRODUCT_MASTER!$D:$D,2,0)</f>
        <v>Kg</v>
      </c>
      <c r="F259">
        <f>_xlfn.XLOOKUP(B259,PRODUCT_MASTER!$A:$A,PRODUCT_MASTER!$E:$E,2,0)</f>
        <v>90</v>
      </c>
      <c r="G259">
        <f>_xlfn.XLOOKUP(B259,PRODUCT_MASTER!$A:$A,PRODUCT_MASTER!$F:$F,2,0)</f>
        <v>96.3</v>
      </c>
      <c r="H259">
        <v>8</v>
      </c>
      <c r="I259" t="s">
        <v>100</v>
      </c>
      <c r="J259" t="s">
        <v>101</v>
      </c>
      <c r="K259">
        <v>0</v>
      </c>
      <c r="L259" s="15">
        <f t="shared" ref="L259:L322" si="28">F259*H259</f>
        <v>720</v>
      </c>
      <c r="M259" s="15">
        <f t="shared" ref="M259:M322" si="29">G259*H259</f>
        <v>770.4</v>
      </c>
      <c r="N259" s="15">
        <f t="shared" ref="N259:N322" si="30">M259-L259</f>
        <v>50.399999999999977</v>
      </c>
      <c r="O259" s="10">
        <f t="shared" ref="O259:O322" si="31">N259/L259</f>
        <v>6.9999999999999965E-2</v>
      </c>
      <c r="P259" t="str">
        <f t="shared" ref="P259:P322" si="32">TEXT(A259,"DD")</f>
        <v>24</v>
      </c>
      <c r="Q259" t="str">
        <f t="shared" ref="Q259:Q322" si="33">TEXT(A259,"MMM")</f>
        <v>Dec</v>
      </c>
      <c r="R259" t="str">
        <f t="shared" ref="R259:R322" si="34">TEXT(A259,"YYYY")</f>
        <v>2021</v>
      </c>
    </row>
    <row r="260" spans="1:18" x14ac:dyDescent="0.2">
      <c r="A260" s="1">
        <v>44556</v>
      </c>
      <c r="B260" t="s">
        <v>87</v>
      </c>
      <c r="C260" t="str">
        <f>_xlfn.XLOOKUP(B260,PRODUCT_MASTER!$A:$A,PRODUCT_MASTER!$B:$B,2,0)</f>
        <v>Product41</v>
      </c>
      <c r="D260" t="str">
        <f>_xlfn.XLOOKUP(B260,PRODUCT_MASTER!$A:$A,PRODUCT_MASTER!$C:$C,2,0)</f>
        <v>Snacks</v>
      </c>
      <c r="E260" t="str">
        <f>_xlfn.XLOOKUP(B260,PRODUCT_MASTER!$A:$A,PRODUCT_MASTER!$D:$D,2,0)</f>
        <v>Ft</v>
      </c>
      <c r="F260">
        <f>_xlfn.XLOOKUP(B260,PRODUCT_MASTER!$A:$A,PRODUCT_MASTER!$E:$E,2,0)</f>
        <v>138</v>
      </c>
      <c r="G260">
        <f>_xlfn.XLOOKUP(B260,PRODUCT_MASTER!$A:$A,PRODUCT_MASTER!$F:$F,2,0)</f>
        <v>173.88</v>
      </c>
      <c r="H260">
        <v>14</v>
      </c>
      <c r="I260" t="s">
        <v>101</v>
      </c>
      <c r="J260" t="s">
        <v>102</v>
      </c>
      <c r="K260">
        <v>0</v>
      </c>
      <c r="L260" s="15">
        <f t="shared" si="28"/>
        <v>1932</v>
      </c>
      <c r="M260" s="15">
        <f t="shared" si="29"/>
        <v>2434.3199999999997</v>
      </c>
      <c r="N260" s="15">
        <f t="shared" si="30"/>
        <v>502.31999999999971</v>
      </c>
      <c r="O260" s="10">
        <f t="shared" si="31"/>
        <v>0.25999999999999984</v>
      </c>
      <c r="P260" t="str">
        <f t="shared" si="32"/>
        <v>26</v>
      </c>
      <c r="Q260" t="str">
        <f t="shared" si="33"/>
        <v>Dec</v>
      </c>
      <c r="R260" t="str">
        <f t="shared" si="34"/>
        <v>2021</v>
      </c>
    </row>
    <row r="261" spans="1:18" x14ac:dyDescent="0.2">
      <c r="A261" s="1">
        <v>44557</v>
      </c>
      <c r="B261" t="s">
        <v>63</v>
      </c>
      <c r="C261" t="str">
        <f>_xlfn.XLOOKUP(B261,PRODUCT_MASTER!$A:$A,PRODUCT_MASTER!$B:$B,2,0)</f>
        <v>Product29</v>
      </c>
      <c r="D261" t="str">
        <f>_xlfn.XLOOKUP(B261,PRODUCT_MASTER!$A:$A,PRODUCT_MASTER!$C:$C,2,0)</f>
        <v>Cheese And Dairy</v>
      </c>
      <c r="E261" t="str">
        <f>_xlfn.XLOOKUP(B261,PRODUCT_MASTER!$A:$A,PRODUCT_MASTER!$D:$D,2,0)</f>
        <v>Lt</v>
      </c>
      <c r="F261">
        <f>_xlfn.XLOOKUP(B261,PRODUCT_MASTER!$A:$A,PRODUCT_MASTER!$E:$E,2,0)</f>
        <v>47</v>
      </c>
      <c r="G261">
        <f>_xlfn.XLOOKUP(B261,PRODUCT_MASTER!$A:$A,PRODUCT_MASTER!$F:$F,2,0)</f>
        <v>53.11</v>
      </c>
      <c r="H261">
        <v>14</v>
      </c>
      <c r="I261" t="s">
        <v>103</v>
      </c>
      <c r="J261" t="s">
        <v>102</v>
      </c>
      <c r="K261">
        <v>0</v>
      </c>
      <c r="L261" s="15">
        <f t="shared" si="28"/>
        <v>658</v>
      </c>
      <c r="M261" s="15">
        <f t="shared" si="29"/>
        <v>743.54</v>
      </c>
      <c r="N261" s="15">
        <f t="shared" si="30"/>
        <v>85.539999999999964</v>
      </c>
      <c r="O261" s="10">
        <f t="shared" si="31"/>
        <v>0.12999999999999995</v>
      </c>
      <c r="P261" t="str">
        <f t="shared" si="32"/>
        <v>27</v>
      </c>
      <c r="Q261" t="str">
        <f t="shared" si="33"/>
        <v>Dec</v>
      </c>
      <c r="R261" t="str">
        <f t="shared" si="34"/>
        <v>2021</v>
      </c>
    </row>
    <row r="262" spans="1:18" x14ac:dyDescent="0.2">
      <c r="A262" s="1">
        <v>44558</v>
      </c>
      <c r="B262" t="s">
        <v>63</v>
      </c>
      <c r="C262" t="str">
        <f>_xlfn.XLOOKUP(B262,PRODUCT_MASTER!$A:$A,PRODUCT_MASTER!$B:$B,2,0)</f>
        <v>Product29</v>
      </c>
      <c r="D262" t="str">
        <f>_xlfn.XLOOKUP(B262,PRODUCT_MASTER!$A:$A,PRODUCT_MASTER!$C:$C,2,0)</f>
        <v>Cheese And Dairy</v>
      </c>
      <c r="E262" t="str">
        <f>_xlfn.XLOOKUP(B262,PRODUCT_MASTER!$A:$A,PRODUCT_MASTER!$D:$D,2,0)</f>
        <v>Lt</v>
      </c>
      <c r="F262">
        <f>_xlfn.XLOOKUP(B262,PRODUCT_MASTER!$A:$A,PRODUCT_MASTER!$E:$E,2,0)</f>
        <v>47</v>
      </c>
      <c r="G262">
        <f>_xlfn.XLOOKUP(B262,PRODUCT_MASTER!$A:$A,PRODUCT_MASTER!$F:$F,2,0)</f>
        <v>53.11</v>
      </c>
      <c r="H262">
        <v>6</v>
      </c>
      <c r="I262" t="s">
        <v>103</v>
      </c>
      <c r="J262" t="s">
        <v>102</v>
      </c>
      <c r="K262">
        <v>0</v>
      </c>
      <c r="L262" s="15">
        <f t="shared" si="28"/>
        <v>282</v>
      </c>
      <c r="M262" s="15">
        <f t="shared" si="29"/>
        <v>318.65999999999997</v>
      </c>
      <c r="N262" s="15">
        <f t="shared" si="30"/>
        <v>36.659999999999968</v>
      </c>
      <c r="O262" s="10">
        <f t="shared" si="31"/>
        <v>0.12999999999999989</v>
      </c>
      <c r="P262" t="str">
        <f t="shared" si="32"/>
        <v>28</v>
      </c>
      <c r="Q262" t="str">
        <f t="shared" si="33"/>
        <v>Dec</v>
      </c>
      <c r="R262" t="str">
        <f t="shared" si="34"/>
        <v>2021</v>
      </c>
    </row>
    <row r="263" spans="1:18" x14ac:dyDescent="0.2">
      <c r="A263" s="1">
        <v>44560</v>
      </c>
      <c r="B263" t="s">
        <v>25</v>
      </c>
      <c r="C263" t="str">
        <f>_xlfn.XLOOKUP(B263,PRODUCT_MASTER!$A:$A,PRODUCT_MASTER!$B:$B,2,0)</f>
        <v>Product10</v>
      </c>
      <c r="D263" t="str">
        <f>_xlfn.XLOOKUP(B263,PRODUCT_MASTER!$A:$A,PRODUCT_MASTER!$C:$C,2,0)</f>
        <v>Gourmet Foods</v>
      </c>
      <c r="E263" t="str">
        <f>_xlfn.XLOOKUP(B263,PRODUCT_MASTER!$A:$A,PRODUCT_MASTER!$D:$D,2,0)</f>
        <v>Ft</v>
      </c>
      <c r="F263">
        <f>_xlfn.XLOOKUP(B263,PRODUCT_MASTER!$A:$A,PRODUCT_MASTER!$E:$E,2,0)</f>
        <v>148</v>
      </c>
      <c r="G263">
        <f>_xlfn.XLOOKUP(B263,PRODUCT_MASTER!$A:$A,PRODUCT_MASTER!$F:$F,2,0)</f>
        <v>164.28</v>
      </c>
      <c r="H263">
        <v>13</v>
      </c>
      <c r="I263" t="s">
        <v>101</v>
      </c>
      <c r="J263" t="s">
        <v>101</v>
      </c>
      <c r="K263">
        <v>0</v>
      </c>
      <c r="L263" s="15">
        <f t="shared" si="28"/>
        <v>1924</v>
      </c>
      <c r="M263" s="15">
        <f t="shared" si="29"/>
        <v>2135.64</v>
      </c>
      <c r="N263" s="15">
        <f t="shared" si="30"/>
        <v>211.63999999999987</v>
      </c>
      <c r="O263" s="10">
        <f t="shared" si="31"/>
        <v>0.10999999999999993</v>
      </c>
      <c r="P263" t="str">
        <f t="shared" si="32"/>
        <v>30</v>
      </c>
      <c r="Q263" t="str">
        <f t="shared" si="33"/>
        <v>Dec</v>
      </c>
      <c r="R263" t="str">
        <f t="shared" si="34"/>
        <v>2021</v>
      </c>
    </row>
    <row r="264" spans="1:18" x14ac:dyDescent="0.2">
      <c r="A264" s="1">
        <v>44562</v>
      </c>
      <c r="B264" t="s">
        <v>49</v>
      </c>
      <c r="C264" t="str">
        <f>_xlfn.XLOOKUP(B264,PRODUCT_MASTER!$A:$A,PRODUCT_MASTER!$B:$B,2,0)</f>
        <v>Product22</v>
      </c>
      <c r="D264" t="str">
        <f>_xlfn.XLOOKUP(B264,PRODUCT_MASTER!$A:$A,PRODUCT_MASTER!$C:$C,2,0)</f>
        <v>Seafood</v>
      </c>
      <c r="E264" t="str">
        <f>_xlfn.XLOOKUP(B264,PRODUCT_MASTER!$A:$A,PRODUCT_MASTER!$D:$D,2,0)</f>
        <v>Ft</v>
      </c>
      <c r="F264">
        <f>_xlfn.XLOOKUP(B264,PRODUCT_MASTER!$A:$A,PRODUCT_MASTER!$E:$E,2,0)</f>
        <v>121</v>
      </c>
      <c r="G264">
        <f>_xlfn.XLOOKUP(B264,PRODUCT_MASTER!$A:$A,PRODUCT_MASTER!$F:$F,2,0)</f>
        <v>141.57</v>
      </c>
      <c r="H264">
        <v>1</v>
      </c>
      <c r="I264" t="s">
        <v>100</v>
      </c>
      <c r="J264" t="s">
        <v>102</v>
      </c>
      <c r="K264">
        <v>0</v>
      </c>
      <c r="L264" s="15">
        <f t="shared" si="28"/>
        <v>121</v>
      </c>
      <c r="M264" s="15">
        <f t="shared" si="29"/>
        <v>141.57</v>
      </c>
      <c r="N264" s="15">
        <f t="shared" si="30"/>
        <v>20.569999999999993</v>
      </c>
      <c r="O264" s="10">
        <f t="shared" si="31"/>
        <v>0.16999999999999996</v>
      </c>
      <c r="P264" t="str">
        <f t="shared" si="32"/>
        <v>01</v>
      </c>
      <c r="Q264" t="str">
        <f t="shared" si="33"/>
        <v>Jan</v>
      </c>
      <c r="R264" t="str">
        <f t="shared" si="34"/>
        <v>2022</v>
      </c>
    </row>
    <row r="265" spans="1:18" x14ac:dyDescent="0.2">
      <c r="A265" s="1">
        <v>44563</v>
      </c>
      <c r="B265" t="s">
        <v>25</v>
      </c>
      <c r="C265" t="str">
        <f>_xlfn.XLOOKUP(B265,PRODUCT_MASTER!$A:$A,PRODUCT_MASTER!$B:$B,2,0)</f>
        <v>Product10</v>
      </c>
      <c r="D265" t="str">
        <f>_xlfn.XLOOKUP(B265,PRODUCT_MASTER!$A:$A,PRODUCT_MASTER!$C:$C,2,0)</f>
        <v>Gourmet Foods</v>
      </c>
      <c r="E265" t="str">
        <f>_xlfn.XLOOKUP(B265,PRODUCT_MASTER!$A:$A,PRODUCT_MASTER!$D:$D,2,0)</f>
        <v>Ft</v>
      </c>
      <c r="F265">
        <f>_xlfn.XLOOKUP(B265,PRODUCT_MASTER!$A:$A,PRODUCT_MASTER!$E:$E,2,0)</f>
        <v>148</v>
      </c>
      <c r="G265">
        <f>_xlfn.XLOOKUP(B265,PRODUCT_MASTER!$A:$A,PRODUCT_MASTER!$F:$F,2,0)</f>
        <v>164.28</v>
      </c>
      <c r="H265">
        <v>7</v>
      </c>
      <c r="I265" t="s">
        <v>103</v>
      </c>
      <c r="J265" t="s">
        <v>102</v>
      </c>
      <c r="K265">
        <v>0</v>
      </c>
      <c r="L265" s="15">
        <f t="shared" si="28"/>
        <v>1036</v>
      </c>
      <c r="M265" s="15">
        <f t="shared" si="29"/>
        <v>1149.96</v>
      </c>
      <c r="N265" s="15">
        <f t="shared" si="30"/>
        <v>113.96000000000004</v>
      </c>
      <c r="O265" s="10">
        <f t="shared" si="31"/>
        <v>0.11000000000000003</v>
      </c>
      <c r="P265" t="str">
        <f t="shared" si="32"/>
        <v>02</v>
      </c>
      <c r="Q265" t="str">
        <f t="shared" si="33"/>
        <v>Jan</v>
      </c>
      <c r="R265" t="str">
        <f t="shared" si="34"/>
        <v>2022</v>
      </c>
    </row>
    <row r="266" spans="1:18" x14ac:dyDescent="0.2">
      <c r="A266" s="1">
        <v>44563</v>
      </c>
      <c r="B266" t="s">
        <v>35</v>
      </c>
      <c r="C266" t="str">
        <f>_xlfn.XLOOKUP(B266,PRODUCT_MASTER!$A:$A,PRODUCT_MASTER!$B:$B,2,0)</f>
        <v>Product15</v>
      </c>
      <c r="D266" t="str">
        <f>_xlfn.XLOOKUP(B266,PRODUCT_MASTER!$A:$A,PRODUCT_MASTER!$C:$C,2,0)</f>
        <v>Meat</v>
      </c>
      <c r="E266" t="str">
        <f>_xlfn.XLOOKUP(B266,PRODUCT_MASTER!$A:$A,PRODUCT_MASTER!$D:$D,2,0)</f>
        <v>No.</v>
      </c>
      <c r="F266">
        <f>_xlfn.XLOOKUP(B266,PRODUCT_MASTER!$A:$A,PRODUCT_MASTER!$E:$E,2,0)</f>
        <v>12</v>
      </c>
      <c r="G266">
        <f>_xlfn.XLOOKUP(B266,PRODUCT_MASTER!$A:$A,PRODUCT_MASTER!$F:$F,2,0)</f>
        <v>15.719999999999999</v>
      </c>
      <c r="H266">
        <v>2</v>
      </c>
      <c r="I266" t="s">
        <v>101</v>
      </c>
      <c r="J266" t="s">
        <v>102</v>
      </c>
      <c r="K266">
        <v>0</v>
      </c>
      <c r="L266" s="15">
        <f t="shared" si="28"/>
        <v>24</v>
      </c>
      <c r="M266" s="15">
        <f t="shared" si="29"/>
        <v>31.439999999999998</v>
      </c>
      <c r="N266" s="15">
        <f t="shared" si="30"/>
        <v>7.4399999999999977</v>
      </c>
      <c r="O266" s="10">
        <f t="shared" si="31"/>
        <v>0.30999999999999989</v>
      </c>
      <c r="P266" t="str">
        <f t="shared" si="32"/>
        <v>02</v>
      </c>
      <c r="Q266" t="str">
        <f t="shared" si="33"/>
        <v>Jan</v>
      </c>
      <c r="R266" t="str">
        <f t="shared" si="34"/>
        <v>2022</v>
      </c>
    </row>
    <row r="267" spans="1:18" x14ac:dyDescent="0.2">
      <c r="A267" s="1">
        <v>44563</v>
      </c>
      <c r="B267" t="s">
        <v>71</v>
      </c>
      <c r="C267" t="str">
        <f>_xlfn.XLOOKUP(B267,PRODUCT_MASTER!$A:$A,PRODUCT_MASTER!$B:$B,2,0)</f>
        <v>Product33</v>
      </c>
      <c r="D267" t="str">
        <f>_xlfn.XLOOKUP(B267,PRODUCT_MASTER!$A:$A,PRODUCT_MASTER!$C:$C,2,0)</f>
        <v>Bakery And Desserts</v>
      </c>
      <c r="E267" t="str">
        <f>_xlfn.XLOOKUP(B267,PRODUCT_MASTER!$A:$A,PRODUCT_MASTER!$D:$D,2,0)</f>
        <v>Kg</v>
      </c>
      <c r="F267">
        <f>_xlfn.XLOOKUP(B267,PRODUCT_MASTER!$A:$A,PRODUCT_MASTER!$E:$E,2,0)</f>
        <v>95</v>
      </c>
      <c r="G267">
        <f>_xlfn.XLOOKUP(B267,PRODUCT_MASTER!$A:$A,PRODUCT_MASTER!$F:$F,2,0)</f>
        <v>119.7</v>
      </c>
      <c r="H267">
        <v>1</v>
      </c>
      <c r="I267" t="s">
        <v>103</v>
      </c>
      <c r="J267" t="s">
        <v>102</v>
      </c>
      <c r="K267">
        <v>0</v>
      </c>
      <c r="L267" s="15">
        <f t="shared" si="28"/>
        <v>95</v>
      </c>
      <c r="M267" s="15">
        <f t="shared" si="29"/>
        <v>119.7</v>
      </c>
      <c r="N267" s="15">
        <f t="shared" si="30"/>
        <v>24.700000000000003</v>
      </c>
      <c r="O267" s="10">
        <f t="shared" si="31"/>
        <v>0.26</v>
      </c>
      <c r="P267" t="str">
        <f t="shared" si="32"/>
        <v>02</v>
      </c>
      <c r="Q267" t="str">
        <f t="shared" si="33"/>
        <v>Jan</v>
      </c>
      <c r="R267" t="str">
        <f t="shared" si="34"/>
        <v>2022</v>
      </c>
    </row>
    <row r="268" spans="1:18" x14ac:dyDescent="0.2">
      <c r="A268" s="1">
        <v>44564</v>
      </c>
      <c r="B268" t="s">
        <v>91</v>
      </c>
      <c r="C268" t="str">
        <f>_xlfn.XLOOKUP(B268,PRODUCT_MASTER!$A:$A,PRODUCT_MASTER!$B:$B,2,0)</f>
        <v>Product43</v>
      </c>
      <c r="D268" t="str">
        <f>_xlfn.XLOOKUP(B268,PRODUCT_MASTER!$A:$A,PRODUCT_MASTER!$C:$C,2,0)</f>
        <v>Candy</v>
      </c>
      <c r="E268" t="str">
        <f>_xlfn.XLOOKUP(B268,PRODUCT_MASTER!$A:$A,PRODUCT_MASTER!$D:$D,2,0)</f>
        <v>Kg</v>
      </c>
      <c r="F268">
        <f>_xlfn.XLOOKUP(B268,PRODUCT_MASTER!$A:$A,PRODUCT_MASTER!$E:$E,2,0)</f>
        <v>67</v>
      </c>
      <c r="G268">
        <f>_xlfn.XLOOKUP(B268,PRODUCT_MASTER!$A:$A,PRODUCT_MASTER!$F:$F,2,0)</f>
        <v>83.08</v>
      </c>
      <c r="H268">
        <v>9</v>
      </c>
      <c r="I268" t="s">
        <v>103</v>
      </c>
      <c r="J268" t="s">
        <v>102</v>
      </c>
      <c r="K268">
        <v>0</v>
      </c>
      <c r="L268" s="15">
        <f t="shared" si="28"/>
        <v>603</v>
      </c>
      <c r="M268" s="15">
        <f t="shared" si="29"/>
        <v>747.72</v>
      </c>
      <c r="N268" s="15">
        <f t="shared" si="30"/>
        <v>144.72000000000003</v>
      </c>
      <c r="O268" s="10">
        <f t="shared" si="31"/>
        <v>0.24000000000000005</v>
      </c>
      <c r="P268" t="str">
        <f t="shared" si="32"/>
        <v>03</v>
      </c>
      <c r="Q268" t="str">
        <f t="shared" si="33"/>
        <v>Jan</v>
      </c>
      <c r="R268" t="str">
        <f t="shared" si="34"/>
        <v>2022</v>
      </c>
    </row>
    <row r="269" spans="1:18" x14ac:dyDescent="0.2">
      <c r="A269" s="1">
        <v>44565</v>
      </c>
      <c r="B269" t="s">
        <v>29</v>
      </c>
      <c r="C269" t="str">
        <f>_xlfn.XLOOKUP(B269,PRODUCT_MASTER!$A:$A,PRODUCT_MASTER!$B:$B,2,0)</f>
        <v>Product12</v>
      </c>
      <c r="D269" t="str">
        <f>_xlfn.XLOOKUP(B269,PRODUCT_MASTER!$A:$A,PRODUCT_MASTER!$C:$C,2,0)</f>
        <v>Meat</v>
      </c>
      <c r="E269" t="str">
        <f>_xlfn.XLOOKUP(B269,PRODUCT_MASTER!$A:$A,PRODUCT_MASTER!$D:$D,2,0)</f>
        <v>Kg</v>
      </c>
      <c r="F269">
        <f>_xlfn.XLOOKUP(B269,PRODUCT_MASTER!$A:$A,PRODUCT_MASTER!$E:$E,2,0)</f>
        <v>73</v>
      </c>
      <c r="G269">
        <f>_xlfn.XLOOKUP(B269,PRODUCT_MASTER!$A:$A,PRODUCT_MASTER!$F:$F,2,0)</f>
        <v>94.17</v>
      </c>
      <c r="H269">
        <v>8</v>
      </c>
      <c r="I269" t="s">
        <v>103</v>
      </c>
      <c r="J269" t="s">
        <v>101</v>
      </c>
      <c r="K269">
        <v>0</v>
      </c>
      <c r="L269" s="15">
        <f t="shared" si="28"/>
        <v>584</v>
      </c>
      <c r="M269" s="15">
        <f t="shared" si="29"/>
        <v>753.36</v>
      </c>
      <c r="N269" s="15">
        <f t="shared" si="30"/>
        <v>169.36</v>
      </c>
      <c r="O269" s="10">
        <f t="shared" si="31"/>
        <v>0.29000000000000004</v>
      </c>
      <c r="P269" t="str">
        <f t="shared" si="32"/>
        <v>04</v>
      </c>
      <c r="Q269" t="str">
        <f t="shared" si="33"/>
        <v>Jan</v>
      </c>
      <c r="R269" t="str">
        <f t="shared" si="34"/>
        <v>2022</v>
      </c>
    </row>
    <row r="270" spans="1:18" x14ac:dyDescent="0.2">
      <c r="A270" s="1">
        <v>44565</v>
      </c>
      <c r="B270" t="s">
        <v>63</v>
      </c>
      <c r="C270" t="str">
        <f>_xlfn.XLOOKUP(B270,PRODUCT_MASTER!$A:$A,PRODUCT_MASTER!$B:$B,2,0)</f>
        <v>Product29</v>
      </c>
      <c r="D270" t="str">
        <f>_xlfn.XLOOKUP(B270,PRODUCT_MASTER!$A:$A,PRODUCT_MASTER!$C:$C,2,0)</f>
        <v>Cheese And Dairy</v>
      </c>
      <c r="E270" t="str">
        <f>_xlfn.XLOOKUP(B270,PRODUCT_MASTER!$A:$A,PRODUCT_MASTER!$D:$D,2,0)</f>
        <v>Lt</v>
      </c>
      <c r="F270">
        <f>_xlfn.XLOOKUP(B270,PRODUCT_MASTER!$A:$A,PRODUCT_MASTER!$E:$E,2,0)</f>
        <v>47</v>
      </c>
      <c r="G270">
        <f>_xlfn.XLOOKUP(B270,PRODUCT_MASTER!$A:$A,PRODUCT_MASTER!$F:$F,2,0)</f>
        <v>53.11</v>
      </c>
      <c r="H270">
        <v>1</v>
      </c>
      <c r="I270" t="s">
        <v>101</v>
      </c>
      <c r="J270" t="s">
        <v>101</v>
      </c>
      <c r="K270">
        <v>0</v>
      </c>
      <c r="L270" s="15">
        <f t="shared" si="28"/>
        <v>47</v>
      </c>
      <c r="M270" s="15">
        <f t="shared" si="29"/>
        <v>53.11</v>
      </c>
      <c r="N270" s="15">
        <f t="shared" si="30"/>
        <v>6.1099999999999994</v>
      </c>
      <c r="O270" s="10">
        <f t="shared" si="31"/>
        <v>0.12999999999999998</v>
      </c>
      <c r="P270" t="str">
        <f t="shared" si="32"/>
        <v>04</v>
      </c>
      <c r="Q270" t="str">
        <f t="shared" si="33"/>
        <v>Jan</v>
      </c>
      <c r="R270" t="str">
        <f t="shared" si="34"/>
        <v>2022</v>
      </c>
    </row>
    <row r="271" spans="1:18" x14ac:dyDescent="0.2">
      <c r="A271" s="1">
        <v>44570</v>
      </c>
      <c r="B271" t="s">
        <v>69</v>
      </c>
      <c r="C271" t="str">
        <f>_xlfn.XLOOKUP(B271,PRODUCT_MASTER!$A:$A,PRODUCT_MASTER!$B:$B,2,0)</f>
        <v>Product32</v>
      </c>
      <c r="D271" t="str">
        <f>_xlfn.XLOOKUP(B271,PRODUCT_MASTER!$A:$A,PRODUCT_MASTER!$C:$C,2,0)</f>
        <v>Bakery And Desserts</v>
      </c>
      <c r="E271" t="str">
        <f>_xlfn.XLOOKUP(B271,PRODUCT_MASTER!$A:$A,PRODUCT_MASTER!$D:$D,2,0)</f>
        <v>Kg</v>
      </c>
      <c r="F271">
        <f>_xlfn.XLOOKUP(B271,PRODUCT_MASTER!$A:$A,PRODUCT_MASTER!$E:$E,2,0)</f>
        <v>89</v>
      </c>
      <c r="G271">
        <f>_xlfn.XLOOKUP(B271,PRODUCT_MASTER!$A:$A,PRODUCT_MASTER!$F:$F,2,0)</f>
        <v>117.48</v>
      </c>
      <c r="H271">
        <v>12</v>
      </c>
      <c r="I271" t="s">
        <v>103</v>
      </c>
      <c r="J271" t="s">
        <v>101</v>
      </c>
      <c r="K271">
        <v>0</v>
      </c>
      <c r="L271" s="15">
        <f t="shared" si="28"/>
        <v>1068</v>
      </c>
      <c r="M271" s="15">
        <f t="shared" si="29"/>
        <v>1409.76</v>
      </c>
      <c r="N271" s="15">
        <f t="shared" si="30"/>
        <v>341.76</v>
      </c>
      <c r="O271" s="10">
        <f t="shared" si="31"/>
        <v>0.32</v>
      </c>
      <c r="P271" t="str">
        <f t="shared" si="32"/>
        <v>09</v>
      </c>
      <c r="Q271" t="str">
        <f t="shared" si="33"/>
        <v>Jan</v>
      </c>
      <c r="R271" t="str">
        <f t="shared" si="34"/>
        <v>2022</v>
      </c>
    </row>
    <row r="272" spans="1:18" x14ac:dyDescent="0.2">
      <c r="A272" s="1">
        <v>44571</v>
      </c>
      <c r="B272" t="s">
        <v>73</v>
      </c>
      <c r="C272" t="str">
        <f>_xlfn.XLOOKUP(B272,PRODUCT_MASTER!$A:$A,PRODUCT_MASTER!$B:$B,2,0)</f>
        <v>Product34</v>
      </c>
      <c r="D272" t="str">
        <f>_xlfn.XLOOKUP(B272,PRODUCT_MASTER!$A:$A,PRODUCT_MASTER!$C:$C,2,0)</f>
        <v>Bakery And Desserts</v>
      </c>
      <c r="E272" t="str">
        <f>_xlfn.XLOOKUP(B272,PRODUCT_MASTER!$A:$A,PRODUCT_MASTER!$D:$D,2,0)</f>
        <v>Lt</v>
      </c>
      <c r="F272">
        <f>_xlfn.XLOOKUP(B272,PRODUCT_MASTER!$A:$A,PRODUCT_MASTER!$E:$E,2,0)</f>
        <v>55</v>
      </c>
      <c r="G272">
        <f>_xlfn.XLOOKUP(B272,PRODUCT_MASTER!$A:$A,PRODUCT_MASTER!$F:$F,2,0)</f>
        <v>58.3</v>
      </c>
      <c r="H272">
        <v>14</v>
      </c>
      <c r="I272" t="s">
        <v>101</v>
      </c>
      <c r="J272" t="s">
        <v>101</v>
      </c>
      <c r="K272">
        <v>0</v>
      </c>
      <c r="L272" s="15">
        <f t="shared" si="28"/>
        <v>770</v>
      </c>
      <c r="M272" s="15">
        <f t="shared" si="29"/>
        <v>816.19999999999993</v>
      </c>
      <c r="N272" s="15">
        <f t="shared" si="30"/>
        <v>46.199999999999932</v>
      </c>
      <c r="O272" s="10">
        <f t="shared" si="31"/>
        <v>5.9999999999999915E-2</v>
      </c>
      <c r="P272" t="str">
        <f t="shared" si="32"/>
        <v>10</v>
      </c>
      <c r="Q272" t="str">
        <f t="shared" si="33"/>
        <v>Jan</v>
      </c>
      <c r="R272" t="str">
        <f t="shared" si="34"/>
        <v>2022</v>
      </c>
    </row>
    <row r="273" spans="1:18" x14ac:dyDescent="0.2">
      <c r="A273" s="1">
        <v>44572</v>
      </c>
      <c r="B273" t="s">
        <v>69</v>
      </c>
      <c r="C273" t="str">
        <f>_xlfn.XLOOKUP(B273,PRODUCT_MASTER!$A:$A,PRODUCT_MASTER!$B:$B,2,0)</f>
        <v>Product32</v>
      </c>
      <c r="D273" t="str">
        <f>_xlfn.XLOOKUP(B273,PRODUCT_MASTER!$A:$A,PRODUCT_MASTER!$C:$C,2,0)</f>
        <v>Bakery And Desserts</v>
      </c>
      <c r="E273" t="str">
        <f>_xlfn.XLOOKUP(B273,PRODUCT_MASTER!$A:$A,PRODUCT_MASTER!$D:$D,2,0)</f>
        <v>Kg</v>
      </c>
      <c r="F273">
        <f>_xlfn.XLOOKUP(B273,PRODUCT_MASTER!$A:$A,PRODUCT_MASTER!$E:$E,2,0)</f>
        <v>89</v>
      </c>
      <c r="G273">
        <f>_xlfn.XLOOKUP(B273,PRODUCT_MASTER!$A:$A,PRODUCT_MASTER!$F:$F,2,0)</f>
        <v>117.48</v>
      </c>
      <c r="H273">
        <v>2</v>
      </c>
      <c r="I273" t="s">
        <v>103</v>
      </c>
      <c r="J273" t="s">
        <v>101</v>
      </c>
      <c r="K273">
        <v>0</v>
      </c>
      <c r="L273" s="15">
        <f t="shared" si="28"/>
        <v>178</v>
      </c>
      <c r="M273" s="15">
        <f t="shared" si="29"/>
        <v>234.96</v>
      </c>
      <c r="N273" s="15">
        <f t="shared" si="30"/>
        <v>56.960000000000008</v>
      </c>
      <c r="O273" s="10">
        <f t="shared" si="31"/>
        <v>0.32000000000000006</v>
      </c>
      <c r="P273" t="str">
        <f t="shared" si="32"/>
        <v>11</v>
      </c>
      <c r="Q273" t="str">
        <f t="shared" si="33"/>
        <v>Jan</v>
      </c>
      <c r="R273" t="str">
        <f t="shared" si="34"/>
        <v>2022</v>
      </c>
    </row>
    <row r="274" spans="1:18" x14ac:dyDescent="0.2">
      <c r="A274" s="1">
        <v>44574</v>
      </c>
      <c r="B274" t="s">
        <v>43</v>
      </c>
      <c r="C274" t="str">
        <f>_xlfn.XLOOKUP(B274,PRODUCT_MASTER!$A:$A,PRODUCT_MASTER!$B:$B,2,0)</f>
        <v>Product19</v>
      </c>
      <c r="D274" t="str">
        <f>_xlfn.XLOOKUP(B274,PRODUCT_MASTER!$A:$A,PRODUCT_MASTER!$C:$C,2,0)</f>
        <v>Poultry</v>
      </c>
      <c r="E274" t="str">
        <f>_xlfn.XLOOKUP(B274,PRODUCT_MASTER!$A:$A,PRODUCT_MASTER!$D:$D,2,0)</f>
        <v>Ft</v>
      </c>
      <c r="F274">
        <f>_xlfn.XLOOKUP(B274,PRODUCT_MASTER!$A:$A,PRODUCT_MASTER!$E:$E,2,0)</f>
        <v>150</v>
      </c>
      <c r="G274">
        <f>_xlfn.XLOOKUP(B274,PRODUCT_MASTER!$A:$A,PRODUCT_MASTER!$F:$F,2,0)</f>
        <v>210</v>
      </c>
      <c r="H274">
        <v>6</v>
      </c>
      <c r="I274" t="s">
        <v>101</v>
      </c>
      <c r="J274" t="s">
        <v>101</v>
      </c>
      <c r="K274">
        <v>0</v>
      </c>
      <c r="L274" s="15">
        <f t="shared" si="28"/>
        <v>900</v>
      </c>
      <c r="M274" s="15">
        <f t="shared" si="29"/>
        <v>1260</v>
      </c>
      <c r="N274" s="15">
        <f t="shared" si="30"/>
        <v>360</v>
      </c>
      <c r="O274" s="10">
        <f t="shared" si="31"/>
        <v>0.4</v>
      </c>
      <c r="P274" t="str">
        <f t="shared" si="32"/>
        <v>13</v>
      </c>
      <c r="Q274" t="str">
        <f t="shared" si="33"/>
        <v>Jan</v>
      </c>
      <c r="R274" t="str">
        <f t="shared" si="34"/>
        <v>2022</v>
      </c>
    </row>
    <row r="275" spans="1:18" x14ac:dyDescent="0.2">
      <c r="A275" s="1">
        <v>44575</v>
      </c>
      <c r="B275" t="s">
        <v>27</v>
      </c>
      <c r="C275" t="str">
        <f>_xlfn.XLOOKUP(B275,PRODUCT_MASTER!$A:$A,PRODUCT_MASTER!$B:$B,2,0)</f>
        <v>Product11</v>
      </c>
      <c r="D275" t="str">
        <f>_xlfn.XLOOKUP(B275,PRODUCT_MASTER!$A:$A,PRODUCT_MASTER!$C:$C,2,0)</f>
        <v>Gourmet Foods</v>
      </c>
      <c r="E275" t="str">
        <f>_xlfn.XLOOKUP(B275,PRODUCT_MASTER!$A:$A,PRODUCT_MASTER!$D:$D,2,0)</f>
        <v>Lt</v>
      </c>
      <c r="F275">
        <f>_xlfn.XLOOKUP(B275,PRODUCT_MASTER!$A:$A,PRODUCT_MASTER!$E:$E,2,0)</f>
        <v>44</v>
      </c>
      <c r="G275">
        <f>_xlfn.XLOOKUP(B275,PRODUCT_MASTER!$A:$A,PRODUCT_MASTER!$F:$F,2,0)</f>
        <v>48.4</v>
      </c>
      <c r="H275">
        <v>14</v>
      </c>
      <c r="I275" t="s">
        <v>103</v>
      </c>
      <c r="J275" t="s">
        <v>101</v>
      </c>
      <c r="K275">
        <v>0</v>
      </c>
      <c r="L275" s="15">
        <f t="shared" si="28"/>
        <v>616</v>
      </c>
      <c r="M275" s="15">
        <f t="shared" si="29"/>
        <v>677.6</v>
      </c>
      <c r="N275" s="15">
        <f t="shared" si="30"/>
        <v>61.600000000000023</v>
      </c>
      <c r="O275" s="10">
        <f t="shared" si="31"/>
        <v>0.10000000000000003</v>
      </c>
      <c r="P275" t="str">
        <f t="shared" si="32"/>
        <v>14</v>
      </c>
      <c r="Q275" t="str">
        <f t="shared" si="33"/>
        <v>Jan</v>
      </c>
      <c r="R275" t="str">
        <f t="shared" si="34"/>
        <v>2022</v>
      </c>
    </row>
    <row r="276" spans="1:18" x14ac:dyDescent="0.2">
      <c r="A276" s="1">
        <v>44576</v>
      </c>
      <c r="B276" t="s">
        <v>49</v>
      </c>
      <c r="C276" t="str">
        <f>_xlfn.XLOOKUP(B276,PRODUCT_MASTER!$A:$A,PRODUCT_MASTER!$B:$B,2,0)</f>
        <v>Product22</v>
      </c>
      <c r="D276" t="str">
        <f>_xlfn.XLOOKUP(B276,PRODUCT_MASTER!$A:$A,PRODUCT_MASTER!$C:$C,2,0)</f>
        <v>Seafood</v>
      </c>
      <c r="E276" t="str">
        <f>_xlfn.XLOOKUP(B276,PRODUCT_MASTER!$A:$A,PRODUCT_MASTER!$D:$D,2,0)</f>
        <v>Ft</v>
      </c>
      <c r="F276">
        <f>_xlfn.XLOOKUP(B276,PRODUCT_MASTER!$A:$A,PRODUCT_MASTER!$E:$E,2,0)</f>
        <v>121</v>
      </c>
      <c r="G276">
        <f>_xlfn.XLOOKUP(B276,PRODUCT_MASTER!$A:$A,PRODUCT_MASTER!$F:$F,2,0)</f>
        <v>141.57</v>
      </c>
      <c r="H276">
        <v>10</v>
      </c>
      <c r="I276" t="s">
        <v>103</v>
      </c>
      <c r="J276" t="s">
        <v>102</v>
      </c>
      <c r="K276">
        <v>0</v>
      </c>
      <c r="L276" s="15">
        <f t="shared" si="28"/>
        <v>1210</v>
      </c>
      <c r="M276" s="15">
        <f t="shared" si="29"/>
        <v>1415.6999999999998</v>
      </c>
      <c r="N276" s="15">
        <f t="shared" si="30"/>
        <v>205.69999999999982</v>
      </c>
      <c r="O276" s="10">
        <f t="shared" si="31"/>
        <v>0.16999999999999985</v>
      </c>
      <c r="P276" t="str">
        <f t="shared" si="32"/>
        <v>15</v>
      </c>
      <c r="Q276" t="str">
        <f t="shared" si="33"/>
        <v>Jan</v>
      </c>
      <c r="R276" t="str">
        <f t="shared" si="34"/>
        <v>2022</v>
      </c>
    </row>
    <row r="277" spans="1:18" x14ac:dyDescent="0.2">
      <c r="A277" s="1">
        <v>44577</v>
      </c>
      <c r="B277" t="s">
        <v>33</v>
      </c>
      <c r="C277" t="str">
        <f>_xlfn.XLOOKUP(B277,PRODUCT_MASTER!$A:$A,PRODUCT_MASTER!$B:$B,2,0)</f>
        <v>Product14</v>
      </c>
      <c r="D277" t="str">
        <f>_xlfn.XLOOKUP(B277,PRODUCT_MASTER!$A:$A,PRODUCT_MASTER!$C:$C,2,0)</f>
        <v>Meat</v>
      </c>
      <c r="E277" t="str">
        <f>_xlfn.XLOOKUP(B277,PRODUCT_MASTER!$A:$A,PRODUCT_MASTER!$D:$D,2,0)</f>
        <v>Kg</v>
      </c>
      <c r="F277">
        <f>_xlfn.XLOOKUP(B277,PRODUCT_MASTER!$A:$A,PRODUCT_MASTER!$E:$E,2,0)</f>
        <v>112</v>
      </c>
      <c r="G277">
        <f>_xlfn.XLOOKUP(B277,PRODUCT_MASTER!$A:$A,PRODUCT_MASTER!$F:$F,2,0)</f>
        <v>146.72</v>
      </c>
      <c r="H277">
        <v>11</v>
      </c>
      <c r="I277" t="s">
        <v>101</v>
      </c>
      <c r="J277" t="s">
        <v>102</v>
      </c>
      <c r="K277">
        <v>0</v>
      </c>
      <c r="L277" s="15">
        <f t="shared" si="28"/>
        <v>1232</v>
      </c>
      <c r="M277" s="15">
        <f t="shared" si="29"/>
        <v>1613.92</v>
      </c>
      <c r="N277" s="15">
        <f t="shared" si="30"/>
        <v>381.92000000000007</v>
      </c>
      <c r="O277" s="10">
        <f t="shared" si="31"/>
        <v>0.31000000000000005</v>
      </c>
      <c r="P277" t="str">
        <f t="shared" si="32"/>
        <v>16</v>
      </c>
      <c r="Q277" t="str">
        <f t="shared" si="33"/>
        <v>Jan</v>
      </c>
      <c r="R277" t="str">
        <f t="shared" si="34"/>
        <v>2022</v>
      </c>
    </row>
    <row r="278" spans="1:18" x14ac:dyDescent="0.2">
      <c r="A278" s="1">
        <v>44578</v>
      </c>
      <c r="B278" t="s">
        <v>85</v>
      </c>
      <c r="C278" t="str">
        <f>_xlfn.XLOOKUP(B278,PRODUCT_MASTER!$A:$A,PRODUCT_MASTER!$B:$B,2,0)</f>
        <v>Product40</v>
      </c>
      <c r="D278" t="str">
        <f>_xlfn.XLOOKUP(B278,PRODUCT_MASTER!$A:$A,PRODUCT_MASTER!$C:$C,2,0)</f>
        <v>Snacks</v>
      </c>
      <c r="E278" t="str">
        <f>_xlfn.XLOOKUP(B278,PRODUCT_MASTER!$A:$A,PRODUCT_MASTER!$D:$D,2,0)</f>
        <v>Kg</v>
      </c>
      <c r="F278">
        <f>_xlfn.XLOOKUP(B278,PRODUCT_MASTER!$A:$A,PRODUCT_MASTER!$E:$E,2,0)</f>
        <v>90</v>
      </c>
      <c r="G278">
        <f>_xlfn.XLOOKUP(B278,PRODUCT_MASTER!$A:$A,PRODUCT_MASTER!$F:$F,2,0)</f>
        <v>115.2</v>
      </c>
      <c r="H278">
        <v>4</v>
      </c>
      <c r="I278" t="s">
        <v>101</v>
      </c>
      <c r="J278" t="s">
        <v>101</v>
      </c>
      <c r="K278">
        <v>0</v>
      </c>
      <c r="L278" s="15">
        <f t="shared" si="28"/>
        <v>360</v>
      </c>
      <c r="M278" s="15">
        <f t="shared" si="29"/>
        <v>460.8</v>
      </c>
      <c r="N278" s="15">
        <f t="shared" si="30"/>
        <v>100.80000000000001</v>
      </c>
      <c r="O278" s="10">
        <f t="shared" si="31"/>
        <v>0.28000000000000003</v>
      </c>
      <c r="P278" t="str">
        <f t="shared" si="32"/>
        <v>17</v>
      </c>
      <c r="Q278" t="str">
        <f t="shared" si="33"/>
        <v>Jan</v>
      </c>
      <c r="R278" t="str">
        <f t="shared" si="34"/>
        <v>2022</v>
      </c>
    </row>
    <row r="279" spans="1:18" x14ac:dyDescent="0.2">
      <c r="A279" s="1">
        <v>44579</v>
      </c>
      <c r="B279" t="s">
        <v>21</v>
      </c>
      <c r="C279" t="str">
        <f>_xlfn.XLOOKUP(B279,PRODUCT_MASTER!$A:$A,PRODUCT_MASTER!$B:$B,2,0)</f>
        <v>Product08</v>
      </c>
      <c r="D279" t="str">
        <f>_xlfn.XLOOKUP(B279,PRODUCT_MASTER!$A:$A,PRODUCT_MASTER!$C:$C,2,0)</f>
        <v>Gourmet Foods</v>
      </c>
      <c r="E279" t="str">
        <f>_xlfn.XLOOKUP(B279,PRODUCT_MASTER!$A:$A,PRODUCT_MASTER!$D:$D,2,0)</f>
        <v>Kg</v>
      </c>
      <c r="F279">
        <f>_xlfn.XLOOKUP(B279,PRODUCT_MASTER!$A:$A,PRODUCT_MASTER!$E:$E,2,0)</f>
        <v>83</v>
      </c>
      <c r="G279">
        <f>_xlfn.XLOOKUP(B279,PRODUCT_MASTER!$A:$A,PRODUCT_MASTER!$F:$F,2,0)</f>
        <v>94.62</v>
      </c>
      <c r="H279">
        <v>9</v>
      </c>
      <c r="I279" t="s">
        <v>100</v>
      </c>
      <c r="J279" t="s">
        <v>102</v>
      </c>
      <c r="K279">
        <v>0</v>
      </c>
      <c r="L279" s="15">
        <f t="shared" si="28"/>
        <v>747</v>
      </c>
      <c r="M279" s="15">
        <f t="shared" si="29"/>
        <v>851.58</v>
      </c>
      <c r="N279" s="15">
        <f t="shared" si="30"/>
        <v>104.58000000000004</v>
      </c>
      <c r="O279" s="10">
        <f t="shared" si="31"/>
        <v>0.14000000000000004</v>
      </c>
      <c r="P279" t="str">
        <f t="shared" si="32"/>
        <v>18</v>
      </c>
      <c r="Q279" t="str">
        <f t="shared" si="33"/>
        <v>Jan</v>
      </c>
      <c r="R279" t="str">
        <f t="shared" si="34"/>
        <v>2022</v>
      </c>
    </row>
    <row r="280" spans="1:18" x14ac:dyDescent="0.2">
      <c r="A280" s="1">
        <v>44581</v>
      </c>
      <c r="B280" t="s">
        <v>47</v>
      </c>
      <c r="C280" t="str">
        <f>_xlfn.XLOOKUP(B280,PRODUCT_MASTER!$A:$A,PRODUCT_MASTER!$B:$B,2,0)</f>
        <v>Product21</v>
      </c>
      <c r="D280" t="str">
        <f>_xlfn.XLOOKUP(B280,PRODUCT_MASTER!$A:$A,PRODUCT_MASTER!$C:$C,2,0)</f>
        <v>Poultry</v>
      </c>
      <c r="E280" t="str">
        <f>_xlfn.XLOOKUP(B280,PRODUCT_MASTER!$A:$A,PRODUCT_MASTER!$D:$D,2,0)</f>
        <v>Ft</v>
      </c>
      <c r="F280">
        <f>_xlfn.XLOOKUP(B280,PRODUCT_MASTER!$A:$A,PRODUCT_MASTER!$E:$E,2,0)</f>
        <v>126</v>
      </c>
      <c r="G280">
        <f>_xlfn.XLOOKUP(B280,PRODUCT_MASTER!$A:$A,PRODUCT_MASTER!$F:$F,2,0)</f>
        <v>162.54</v>
      </c>
      <c r="H280">
        <v>2</v>
      </c>
      <c r="I280" t="s">
        <v>103</v>
      </c>
      <c r="J280" t="s">
        <v>102</v>
      </c>
      <c r="K280">
        <v>0</v>
      </c>
      <c r="L280" s="15">
        <f t="shared" si="28"/>
        <v>252</v>
      </c>
      <c r="M280" s="15">
        <f t="shared" si="29"/>
        <v>325.08</v>
      </c>
      <c r="N280" s="15">
        <f t="shared" si="30"/>
        <v>73.079999999999984</v>
      </c>
      <c r="O280" s="10">
        <f t="shared" si="31"/>
        <v>0.28999999999999992</v>
      </c>
      <c r="P280" t="str">
        <f t="shared" si="32"/>
        <v>20</v>
      </c>
      <c r="Q280" t="str">
        <f t="shared" si="33"/>
        <v>Jan</v>
      </c>
      <c r="R280" t="str">
        <f t="shared" si="34"/>
        <v>2022</v>
      </c>
    </row>
    <row r="281" spans="1:18" x14ac:dyDescent="0.2">
      <c r="A281" s="1">
        <v>44581</v>
      </c>
      <c r="B281" t="s">
        <v>33</v>
      </c>
      <c r="C281" t="str">
        <f>_xlfn.XLOOKUP(B281,PRODUCT_MASTER!$A:$A,PRODUCT_MASTER!$B:$B,2,0)</f>
        <v>Product14</v>
      </c>
      <c r="D281" t="str">
        <f>_xlfn.XLOOKUP(B281,PRODUCT_MASTER!$A:$A,PRODUCT_MASTER!$C:$C,2,0)</f>
        <v>Meat</v>
      </c>
      <c r="E281" t="str">
        <f>_xlfn.XLOOKUP(B281,PRODUCT_MASTER!$A:$A,PRODUCT_MASTER!$D:$D,2,0)</f>
        <v>Kg</v>
      </c>
      <c r="F281">
        <f>_xlfn.XLOOKUP(B281,PRODUCT_MASTER!$A:$A,PRODUCT_MASTER!$E:$E,2,0)</f>
        <v>112</v>
      </c>
      <c r="G281">
        <f>_xlfn.XLOOKUP(B281,PRODUCT_MASTER!$A:$A,PRODUCT_MASTER!$F:$F,2,0)</f>
        <v>146.72</v>
      </c>
      <c r="H281">
        <v>7</v>
      </c>
      <c r="I281" t="s">
        <v>101</v>
      </c>
      <c r="J281" t="s">
        <v>101</v>
      </c>
      <c r="K281">
        <v>0</v>
      </c>
      <c r="L281" s="15">
        <f t="shared" si="28"/>
        <v>784</v>
      </c>
      <c r="M281" s="15">
        <f t="shared" si="29"/>
        <v>1027.04</v>
      </c>
      <c r="N281" s="15">
        <f t="shared" si="30"/>
        <v>243.03999999999996</v>
      </c>
      <c r="O281" s="10">
        <f t="shared" si="31"/>
        <v>0.30999999999999994</v>
      </c>
      <c r="P281" t="str">
        <f t="shared" si="32"/>
        <v>20</v>
      </c>
      <c r="Q281" t="str">
        <f t="shared" si="33"/>
        <v>Jan</v>
      </c>
      <c r="R281" t="str">
        <f t="shared" si="34"/>
        <v>2022</v>
      </c>
    </row>
    <row r="282" spans="1:18" x14ac:dyDescent="0.2">
      <c r="A282" s="1">
        <v>44583</v>
      </c>
      <c r="B282" t="s">
        <v>6</v>
      </c>
      <c r="C282" t="str">
        <f>_xlfn.XLOOKUP(B282,PRODUCT_MASTER!$A:$A,PRODUCT_MASTER!$B:$B,2,0)</f>
        <v>Product01</v>
      </c>
      <c r="D282" t="str">
        <f>_xlfn.XLOOKUP(B282,PRODUCT_MASTER!$A:$A,PRODUCT_MASTER!$C:$C,2,0)</f>
        <v>Organic</v>
      </c>
      <c r="E282" t="str">
        <f>_xlfn.XLOOKUP(B282,PRODUCT_MASTER!$A:$A,PRODUCT_MASTER!$D:$D,2,0)</f>
        <v>Kg</v>
      </c>
      <c r="F282">
        <f>_xlfn.XLOOKUP(B282,PRODUCT_MASTER!$A:$A,PRODUCT_MASTER!$E:$E,2,0)</f>
        <v>98</v>
      </c>
      <c r="G282">
        <f>_xlfn.XLOOKUP(B282,PRODUCT_MASTER!$A:$A,PRODUCT_MASTER!$F:$F,2,0)</f>
        <v>103.88</v>
      </c>
      <c r="H282">
        <v>6</v>
      </c>
      <c r="I282" t="s">
        <v>101</v>
      </c>
      <c r="J282" t="s">
        <v>102</v>
      </c>
      <c r="K282">
        <v>0</v>
      </c>
      <c r="L282" s="15">
        <f t="shared" si="28"/>
        <v>588</v>
      </c>
      <c r="M282" s="15">
        <f t="shared" si="29"/>
        <v>623.28</v>
      </c>
      <c r="N282" s="15">
        <f t="shared" si="30"/>
        <v>35.279999999999973</v>
      </c>
      <c r="O282" s="10">
        <f t="shared" si="31"/>
        <v>5.9999999999999956E-2</v>
      </c>
      <c r="P282" t="str">
        <f t="shared" si="32"/>
        <v>22</v>
      </c>
      <c r="Q282" t="str">
        <f t="shared" si="33"/>
        <v>Jan</v>
      </c>
      <c r="R282" t="str">
        <f t="shared" si="34"/>
        <v>2022</v>
      </c>
    </row>
    <row r="283" spans="1:18" x14ac:dyDescent="0.2">
      <c r="A283" s="1">
        <v>44584</v>
      </c>
      <c r="B283" t="s">
        <v>9</v>
      </c>
      <c r="C283" t="str">
        <f>_xlfn.XLOOKUP(B283,PRODUCT_MASTER!$A:$A,PRODUCT_MASTER!$B:$B,2,0)</f>
        <v>Product02</v>
      </c>
      <c r="D283" t="str">
        <f>_xlfn.XLOOKUP(B283,PRODUCT_MASTER!$A:$A,PRODUCT_MASTER!$C:$C,2,0)</f>
        <v>Organic</v>
      </c>
      <c r="E283" t="str">
        <f>_xlfn.XLOOKUP(B283,PRODUCT_MASTER!$A:$A,PRODUCT_MASTER!$D:$D,2,0)</f>
        <v>Kg</v>
      </c>
      <c r="F283">
        <f>_xlfn.XLOOKUP(B283,PRODUCT_MASTER!$A:$A,PRODUCT_MASTER!$E:$E,2,0)</f>
        <v>105</v>
      </c>
      <c r="G283">
        <f>_xlfn.XLOOKUP(B283,PRODUCT_MASTER!$A:$A,PRODUCT_MASTER!$F:$F,2,0)</f>
        <v>142.80000000000001</v>
      </c>
      <c r="H283">
        <v>5</v>
      </c>
      <c r="I283" t="s">
        <v>100</v>
      </c>
      <c r="J283" t="s">
        <v>102</v>
      </c>
      <c r="K283">
        <v>0</v>
      </c>
      <c r="L283" s="15">
        <f t="shared" si="28"/>
        <v>525</v>
      </c>
      <c r="M283" s="15">
        <f t="shared" si="29"/>
        <v>714</v>
      </c>
      <c r="N283" s="15">
        <f t="shared" si="30"/>
        <v>189</v>
      </c>
      <c r="O283" s="10">
        <f t="shared" si="31"/>
        <v>0.36</v>
      </c>
      <c r="P283" t="str">
        <f t="shared" si="32"/>
        <v>23</v>
      </c>
      <c r="Q283" t="str">
        <f t="shared" si="33"/>
        <v>Jan</v>
      </c>
      <c r="R283" t="str">
        <f t="shared" si="34"/>
        <v>2022</v>
      </c>
    </row>
    <row r="284" spans="1:18" x14ac:dyDescent="0.2">
      <c r="A284" s="1">
        <v>44584</v>
      </c>
      <c r="B284" t="s">
        <v>89</v>
      </c>
      <c r="C284" t="str">
        <f>_xlfn.XLOOKUP(B284,PRODUCT_MASTER!$A:$A,PRODUCT_MASTER!$B:$B,2,0)</f>
        <v>Product42</v>
      </c>
      <c r="D284" t="str">
        <f>_xlfn.XLOOKUP(B284,PRODUCT_MASTER!$A:$A,PRODUCT_MASTER!$C:$C,2,0)</f>
        <v>Candy</v>
      </c>
      <c r="E284" t="str">
        <f>_xlfn.XLOOKUP(B284,PRODUCT_MASTER!$A:$A,PRODUCT_MASTER!$D:$D,2,0)</f>
        <v>Ft</v>
      </c>
      <c r="F284">
        <f>_xlfn.XLOOKUP(B284,PRODUCT_MASTER!$A:$A,PRODUCT_MASTER!$E:$E,2,0)</f>
        <v>120</v>
      </c>
      <c r="G284">
        <f>_xlfn.XLOOKUP(B284,PRODUCT_MASTER!$A:$A,PRODUCT_MASTER!$F:$F,2,0)</f>
        <v>162</v>
      </c>
      <c r="H284">
        <v>8</v>
      </c>
      <c r="I284" t="s">
        <v>103</v>
      </c>
      <c r="J284" t="s">
        <v>101</v>
      </c>
      <c r="K284">
        <v>0</v>
      </c>
      <c r="L284" s="15">
        <f t="shared" si="28"/>
        <v>960</v>
      </c>
      <c r="M284" s="15">
        <f t="shared" si="29"/>
        <v>1296</v>
      </c>
      <c r="N284" s="15">
        <f t="shared" si="30"/>
        <v>336</v>
      </c>
      <c r="O284" s="10">
        <f t="shared" si="31"/>
        <v>0.35</v>
      </c>
      <c r="P284" t="str">
        <f t="shared" si="32"/>
        <v>23</v>
      </c>
      <c r="Q284" t="str">
        <f t="shared" si="33"/>
        <v>Jan</v>
      </c>
      <c r="R284" t="str">
        <f t="shared" si="34"/>
        <v>2022</v>
      </c>
    </row>
    <row r="285" spans="1:18" x14ac:dyDescent="0.2">
      <c r="A285" s="1">
        <v>44585</v>
      </c>
      <c r="B285" t="s">
        <v>65</v>
      </c>
      <c r="C285" t="str">
        <f>_xlfn.XLOOKUP(B285,PRODUCT_MASTER!$A:$A,PRODUCT_MASTER!$B:$B,2,0)</f>
        <v>Product30</v>
      </c>
      <c r="D285" t="str">
        <f>_xlfn.XLOOKUP(B285,PRODUCT_MASTER!$A:$A,PRODUCT_MASTER!$C:$C,2,0)</f>
        <v>Cheese And Dairy</v>
      </c>
      <c r="E285" t="str">
        <f>_xlfn.XLOOKUP(B285,PRODUCT_MASTER!$A:$A,PRODUCT_MASTER!$D:$D,2,0)</f>
        <v>Ft</v>
      </c>
      <c r="F285">
        <f>_xlfn.XLOOKUP(B285,PRODUCT_MASTER!$A:$A,PRODUCT_MASTER!$E:$E,2,0)</f>
        <v>148</v>
      </c>
      <c r="G285">
        <f>_xlfn.XLOOKUP(B285,PRODUCT_MASTER!$A:$A,PRODUCT_MASTER!$F:$F,2,0)</f>
        <v>201.28</v>
      </c>
      <c r="H285">
        <v>15</v>
      </c>
      <c r="I285" t="s">
        <v>101</v>
      </c>
      <c r="J285" t="s">
        <v>101</v>
      </c>
      <c r="K285">
        <v>0</v>
      </c>
      <c r="L285" s="15">
        <f t="shared" si="28"/>
        <v>2220</v>
      </c>
      <c r="M285" s="15">
        <f t="shared" si="29"/>
        <v>3019.2</v>
      </c>
      <c r="N285" s="15">
        <f t="shared" si="30"/>
        <v>799.19999999999982</v>
      </c>
      <c r="O285" s="10">
        <f t="shared" si="31"/>
        <v>0.35999999999999993</v>
      </c>
      <c r="P285" t="str">
        <f t="shared" si="32"/>
        <v>24</v>
      </c>
      <c r="Q285" t="str">
        <f t="shared" si="33"/>
        <v>Jan</v>
      </c>
      <c r="R285" t="str">
        <f t="shared" si="34"/>
        <v>2022</v>
      </c>
    </row>
    <row r="286" spans="1:18" x14ac:dyDescent="0.2">
      <c r="A286" s="1">
        <v>44586</v>
      </c>
      <c r="B286" t="s">
        <v>39</v>
      </c>
      <c r="C286" t="str">
        <f>_xlfn.XLOOKUP(B286,PRODUCT_MASTER!$A:$A,PRODUCT_MASTER!$B:$B,2,0)</f>
        <v>Product17</v>
      </c>
      <c r="D286" t="str">
        <f>_xlfn.XLOOKUP(B286,PRODUCT_MASTER!$A:$A,PRODUCT_MASTER!$C:$C,2,0)</f>
        <v>Poultry</v>
      </c>
      <c r="E286" t="str">
        <f>_xlfn.XLOOKUP(B286,PRODUCT_MASTER!$A:$A,PRODUCT_MASTER!$D:$D,2,0)</f>
        <v>Ft</v>
      </c>
      <c r="F286">
        <f>_xlfn.XLOOKUP(B286,PRODUCT_MASTER!$A:$A,PRODUCT_MASTER!$E:$E,2,0)</f>
        <v>134</v>
      </c>
      <c r="G286">
        <f>_xlfn.XLOOKUP(B286,PRODUCT_MASTER!$A:$A,PRODUCT_MASTER!$F:$F,2,0)</f>
        <v>156.78</v>
      </c>
      <c r="H286">
        <v>14</v>
      </c>
      <c r="I286" t="s">
        <v>103</v>
      </c>
      <c r="J286" t="s">
        <v>102</v>
      </c>
      <c r="K286">
        <v>0</v>
      </c>
      <c r="L286" s="15">
        <f t="shared" si="28"/>
        <v>1876</v>
      </c>
      <c r="M286" s="15">
        <f t="shared" si="29"/>
        <v>2194.92</v>
      </c>
      <c r="N286" s="15">
        <f t="shared" si="30"/>
        <v>318.92000000000007</v>
      </c>
      <c r="O286" s="10">
        <f t="shared" si="31"/>
        <v>0.17000000000000004</v>
      </c>
      <c r="P286" t="str">
        <f t="shared" si="32"/>
        <v>25</v>
      </c>
      <c r="Q286" t="str">
        <f t="shared" si="33"/>
        <v>Jan</v>
      </c>
      <c r="R286" t="str">
        <f t="shared" si="34"/>
        <v>2022</v>
      </c>
    </row>
    <row r="287" spans="1:18" x14ac:dyDescent="0.2">
      <c r="A287" s="1">
        <v>44589</v>
      </c>
      <c r="B287" t="s">
        <v>37</v>
      </c>
      <c r="C287" t="str">
        <f>_xlfn.XLOOKUP(B287,PRODUCT_MASTER!$A:$A,PRODUCT_MASTER!$B:$B,2,0)</f>
        <v>Product16</v>
      </c>
      <c r="D287" t="str">
        <f>_xlfn.XLOOKUP(B287,PRODUCT_MASTER!$A:$A,PRODUCT_MASTER!$C:$C,2,0)</f>
        <v>Meat</v>
      </c>
      <c r="E287" t="str">
        <f>_xlfn.XLOOKUP(B287,PRODUCT_MASTER!$A:$A,PRODUCT_MASTER!$D:$D,2,0)</f>
        <v>No.</v>
      </c>
      <c r="F287">
        <f>_xlfn.XLOOKUP(B287,PRODUCT_MASTER!$A:$A,PRODUCT_MASTER!$E:$E,2,0)</f>
        <v>13</v>
      </c>
      <c r="G287">
        <f>_xlfn.XLOOKUP(B287,PRODUCT_MASTER!$A:$A,PRODUCT_MASTER!$F:$F,2,0)</f>
        <v>16.64</v>
      </c>
      <c r="H287">
        <v>11</v>
      </c>
      <c r="I287" t="s">
        <v>103</v>
      </c>
      <c r="J287" t="s">
        <v>101</v>
      </c>
      <c r="K287">
        <v>0</v>
      </c>
      <c r="L287" s="15">
        <f t="shared" si="28"/>
        <v>143</v>
      </c>
      <c r="M287" s="15">
        <f t="shared" si="29"/>
        <v>183.04000000000002</v>
      </c>
      <c r="N287" s="15">
        <f t="shared" si="30"/>
        <v>40.04000000000002</v>
      </c>
      <c r="O287" s="10">
        <f t="shared" si="31"/>
        <v>0.28000000000000014</v>
      </c>
      <c r="P287" t="str">
        <f t="shared" si="32"/>
        <v>28</v>
      </c>
      <c r="Q287" t="str">
        <f t="shared" si="33"/>
        <v>Jan</v>
      </c>
      <c r="R287" t="str">
        <f t="shared" si="34"/>
        <v>2022</v>
      </c>
    </row>
    <row r="288" spans="1:18" x14ac:dyDescent="0.2">
      <c r="A288" s="1">
        <v>44592</v>
      </c>
      <c r="B288" t="s">
        <v>51</v>
      </c>
      <c r="C288" t="str">
        <f>_xlfn.XLOOKUP(B288,PRODUCT_MASTER!$A:$A,PRODUCT_MASTER!$B:$B,2,0)</f>
        <v>Product23</v>
      </c>
      <c r="D288" t="str">
        <f>_xlfn.XLOOKUP(B288,PRODUCT_MASTER!$A:$A,PRODUCT_MASTER!$C:$C,2,0)</f>
        <v>Seafood</v>
      </c>
      <c r="E288" t="str">
        <f>_xlfn.XLOOKUP(B288,PRODUCT_MASTER!$A:$A,PRODUCT_MASTER!$D:$D,2,0)</f>
        <v>Ft</v>
      </c>
      <c r="F288">
        <f>_xlfn.XLOOKUP(B288,PRODUCT_MASTER!$A:$A,PRODUCT_MASTER!$E:$E,2,0)</f>
        <v>141</v>
      </c>
      <c r="G288">
        <f>_xlfn.XLOOKUP(B288,PRODUCT_MASTER!$A:$A,PRODUCT_MASTER!$F:$F,2,0)</f>
        <v>149.46</v>
      </c>
      <c r="H288">
        <v>6</v>
      </c>
      <c r="I288" t="s">
        <v>101</v>
      </c>
      <c r="J288" t="s">
        <v>102</v>
      </c>
      <c r="K288">
        <v>0</v>
      </c>
      <c r="L288" s="15">
        <f t="shared" si="28"/>
        <v>846</v>
      </c>
      <c r="M288" s="15">
        <f t="shared" si="29"/>
        <v>896.76</v>
      </c>
      <c r="N288" s="15">
        <f t="shared" si="30"/>
        <v>50.759999999999991</v>
      </c>
      <c r="O288" s="10">
        <f t="shared" si="31"/>
        <v>5.9999999999999991E-2</v>
      </c>
      <c r="P288" t="str">
        <f t="shared" si="32"/>
        <v>31</v>
      </c>
      <c r="Q288" t="str">
        <f t="shared" si="33"/>
        <v>Jan</v>
      </c>
      <c r="R288" t="str">
        <f t="shared" si="34"/>
        <v>2022</v>
      </c>
    </row>
    <row r="289" spans="1:18" x14ac:dyDescent="0.2">
      <c r="A289" s="1">
        <v>44592</v>
      </c>
      <c r="B289" t="s">
        <v>87</v>
      </c>
      <c r="C289" t="str">
        <f>_xlfn.XLOOKUP(B289,PRODUCT_MASTER!$A:$A,PRODUCT_MASTER!$B:$B,2,0)</f>
        <v>Product41</v>
      </c>
      <c r="D289" t="str">
        <f>_xlfn.XLOOKUP(B289,PRODUCT_MASTER!$A:$A,PRODUCT_MASTER!$C:$C,2,0)</f>
        <v>Snacks</v>
      </c>
      <c r="E289" t="str">
        <f>_xlfn.XLOOKUP(B289,PRODUCT_MASTER!$A:$A,PRODUCT_MASTER!$D:$D,2,0)</f>
        <v>Ft</v>
      </c>
      <c r="F289">
        <f>_xlfn.XLOOKUP(B289,PRODUCT_MASTER!$A:$A,PRODUCT_MASTER!$E:$E,2,0)</f>
        <v>138</v>
      </c>
      <c r="G289">
        <f>_xlfn.XLOOKUP(B289,PRODUCT_MASTER!$A:$A,PRODUCT_MASTER!$F:$F,2,0)</f>
        <v>173.88</v>
      </c>
      <c r="H289">
        <v>9</v>
      </c>
      <c r="I289" t="s">
        <v>103</v>
      </c>
      <c r="J289" t="s">
        <v>102</v>
      </c>
      <c r="K289">
        <v>0</v>
      </c>
      <c r="L289" s="15">
        <f t="shared" si="28"/>
        <v>1242</v>
      </c>
      <c r="M289" s="15">
        <f t="shared" si="29"/>
        <v>1564.92</v>
      </c>
      <c r="N289" s="15">
        <f t="shared" si="30"/>
        <v>322.92000000000007</v>
      </c>
      <c r="O289" s="10">
        <f t="shared" si="31"/>
        <v>0.26000000000000006</v>
      </c>
      <c r="P289" t="str">
        <f t="shared" si="32"/>
        <v>31</v>
      </c>
      <c r="Q289" t="str">
        <f t="shared" si="33"/>
        <v>Jan</v>
      </c>
      <c r="R289" t="str">
        <f t="shared" si="34"/>
        <v>2022</v>
      </c>
    </row>
    <row r="290" spans="1:18" x14ac:dyDescent="0.2">
      <c r="A290" s="1">
        <v>44593</v>
      </c>
      <c r="B290" t="s">
        <v>15</v>
      </c>
      <c r="C290" t="str">
        <f>_xlfn.XLOOKUP(B290,PRODUCT_MASTER!$A:$A,PRODUCT_MASTER!$B:$B,2,0)</f>
        <v>Product05</v>
      </c>
      <c r="D290" t="str">
        <f>_xlfn.XLOOKUP(B290,PRODUCT_MASTER!$A:$A,PRODUCT_MASTER!$C:$C,2,0)</f>
        <v>Organic</v>
      </c>
      <c r="E290" t="str">
        <f>_xlfn.XLOOKUP(B290,PRODUCT_MASTER!$A:$A,PRODUCT_MASTER!$D:$D,2,0)</f>
        <v>Ft</v>
      </c>
      <c r="F290">
        <f>_xlfn.XLOOKUP(B290,PRODUCT_MASTER!$A:$A,PRODUCT_MASTER!$E:$E,2,0)</f>
        <v>133</v>
      </c>
      <c r="G290">
        <f>_xlfn.XLOOKUP(B290,PRODUCT_MASTER!$A:$A,PRODUCT_MASTER!$F:$F,2,0)</f>
        <v>155.61000000000001</v>
      </c>
      <c r="H290">
        <v>9</v>
      </c>
      <c r="I290" t="s">
        <v>103</v>
      </c>
      <c r="J290" t="s">
        <v>102</v>
      </c>
      <c r="K290">
        <v>0</v>
      </c>
      <c r="L290" s="15">
        <f t="shared" si="28"/>
        <v>1197</v>
      </c>
      <c r="M290" s="15">
        <f t="shared" si="29"/>
        <v>1400.4900000000002</v>
      </c>
      <c r="N290" s="15">
        <f t="shared" si="30"/>
        <v>203.49000000000024</v>
      </c>
      <c r="O290" s="10">
        <f t="shared" si="31"/>
        <v>0.17000000000000021</v>
      </c>
      <c r="P290" t="str">
        <f t="shared" si="32"/>
        <v>01</v>
      </c>
      <c r="Q290" t="str">
        <f t="shared" si="33"/>
        <v>Feb</v>
      </c>
      <c r="R290" t="str">
        <f t="shared" si="34"/>
        <v>2022</v>
      </c>
    </row>
    <row r="291" spans="1:18" x14ac:dyDescent="0.2">
      <c r="A291" s="1">
        <v>44595</v>
      </c>
      <c r="B291" t="s">
        <v>33</v>
      </c>
      <c r="C291" t="str">
        <f>_xlfn.XLOOKUP(B291,PRODUCT_MASTER!$A:$A,PRODUCT_MASTER!$B:$B,2,0)</f>
        <v>Product14</v>
      </c>
      <c r="D291" t="str">
        <f>_xlfn.XLOOKUP(B291,PRODUCT_MASTER!$A:$A,PRODUCT_MASTER!$C:$C,2,0)</f>
        <v>Meat</v>
      </c>
      <c r="E291" t="str">
        <f>_xlfn.XLOOKUP(B291,PRODUCT_MASTER!$A:$A,PRODUCT_MASTER!$D:$D,2,0)</f>
        <v>Kg</v>
      </c>
      <c r="F291">
        <f>_xlfn.XLOOKUP(B291,PRODUCT_MASTER!$A:$A,PRODUCT_MASTER!$E:$E,2,0)</f>
        <v>112</v>
      </c>
      <c r="G291">
        <f>_xlfn.XLOOKUP(B291,PRODUCT_MASTER!$A:$A,PRODUCT_MASTER!$F:$F,2,0)</f>
        <v>146.72</v>
      </c>
      <c r="H291">
        <v>8</v>
      </c>
      <c r="I291" t="s">
        <v>103</v>
      </c>
      <c r="J291" t="s">
        <v>101</v>
      </c>
      <c r="K291">
        <v>0</v>
      </c>
      <c r="L291" s="15">
        <f t="shared" si="28"/>
        <v>896</v>
      </c>
      <c r="M291" s="15">
        <f t="shared" si="29"/>
        <v>1173.76</v>
      </c>
      <c r="N291" s="15">
        <f t="shared" si="30"/>
        <v>277.76</v>
      </c>
      <c r="O291" s="10">
        <f t="shared" si="31"/>
        <v>0.31</v>
      </c>
      <c r="P291" t="str">
        <f t="shared" si="32"/>
        <v>03</v>
      </c>
      <c r="Q291" t="str">
        <f t="shared" si="33"/>
        <v>Feb</v>
      </c>
      <c r="R291" t="str">
        <f t="shared" si="34"/>
        <v>2022</v>
      </c>
    </row>
    <row r="292" spans="1:18" x14ac:dyDescent="0.2">
      <c r="A292" s="1">
        <v>44597</v>
      </c>
      <c r="B292" t="s">
        <v>41</v>
      </c>
      <c r="C292" t="str">
        <f>_xlfn.XLOOKUP(B292,PRODUCT_MASTER!$A:$A,PRODUCT_MASTER!$B:$B,2,0)</f>
        <v>Product18</v>
      </c>
      <c r="D292" t="str">
        <f>_xlfn.XLOOKUP(B292,PRODUCT_MASTER!$A:$A,PRODUCT_MASTER!$C:$C,2,0)</f>
        <v>Poultry</v>
      </c>
      <c r="E292" t="str">
        <f>_xlfn.XLOOKUP(B292,PRODUCT_MASTER!$A:$A,PRODUCT_MASTER!$D:$D,2,0)</f>
        <v>No.</v>
      </c>
      <c r="F292">
        <f>_xlfn.XLOOKUP(B292,PRODUCT_MASTER!$A:$A,PRODUCT_MASTER!$E:$E,2,0)</f>
        <v>37</v>
      </c>
      <c r="G292">
        <f>_xlfn.XLOOKUP(B292,PRODUCT_MASTER!$A:$A,PRODUCT_MASTER!$F:$F,2,0)</f>
        <v>49.21</v>
      </c>
      <c r="H292">
        <v>6</v>
      </c>
      <c r="I292" t="s">
        <v>103</v>
      </c>
      <c r="J292" t="s">
        <v>102</v>
      </c>
      <c r="K292">
        <v>0</v>
      </c>
      <c r="L292" s="15">
        <f t="shared" si="28"/>
        <v>222</v>
      </c>
      <c r="M292" s="15">
        <f t="shared" si="29"/>
        <v>295.26</v>
      </c>
      <c r="N292" s="15">
        <f t="shared" si="30"/>
        <v>73.259999999999991</v>
      </c>
      <c r="O292" s="10">
        <f t="shared" si="31"/>
        <v>0.32999999999999996</v>
      </c>
      <c r="P292" t="str">
        <f t="shared" si="32"/>
        <v>05</v>
      </c>
      <c r="Q292" t="str">
        <f t="shared" si="33"/>
        <v>Feb</v>
      </c>
      <c r="R292" t="str">
        <f t="shared" si="34"/>
        <v>2022</v>
      </c>
    </row>
    <row r="293" spans="1:18" x14ac:dyDescent="0.2">
      <c r="A293" s="1">
        <v>44598</v>
      </c>
      <c r="B293" t="s">
        <v>9</v>
      </c>
      <c r="C293" t="str">
        <f>_xlfn.XLOOKUP(B293,PRODUCT_MASTER!$A:$A,PRODUCT_MASTER!$B:$B,2,0)</f>
        <v>Product02</v>
      </c>
      <c r="D293" t="str">
        <f>_xlfn.XLOOKUP(B293,PRODUCT_MASTER!$A:$A,PRODUCT_MASTER!$C:$C,2,0)</f>
        <v>Organic</v>
      </c>
      <c r="E293" t="str">
        <f>_xlfn.XLOOKUP(B293,PRODUCT_MASTER!$A:$A,PRODUCT_MASTER!$D:$D,2,0)</f>
        <v>Kg</v>
      </c>
      <c r="F293">
        <f>_xlfn.XLOOKUP(B293,PRODUCT_MASTER!$A:$A,PRODUCT_MASTER!$E:$E,2,0)</f>
        <v>105</v>
      </c>
      <c r="G293">
        <f>_xlfn.XLOOKUP(B293,PRODUCT_MASTER!$A:$A,PRODUCT_MASTER!$F:$F,2,0)</f>
        <v>142.80000000000001</v>
      </c>
      <c r="H293">
        <v>6</v>
      </c>
      <c r="I293" t="s">
        <v>103</v>
      </c>
      <c r="J293" t="s">
        <v>102</v>
      </c>
      <c r="K293">
        <v>0</v>
      </c>
      <c r="L293" s="15">
        <f t="shared" si="28"/>
        <v>630</v>
      </c>
      <c r="M293" s="15">
        <f t="shared" si="29"/>
        <v>856.80000000000007</v>
      </c>
      <c r="N293" s="15">
        <f t="shared" si="30"/>
        <v>226.80000000000007</v>
      </c>
      <c r="O293" s="10">
        <f t="shared" si="31"/>
        <v>0.3600000000000001</v>
      </c>
      <c r="P293" t="str">
        <f t="shared" si="32"/>
        <v>06</v>
      </c>
      <c r="Q293" t="str">
        <f t="shared" si="33"/>
        <v>Feb</v>
      </c>
      <c r="R293" t="str">
        <f t="shared" si="34"/>
        <v>2022</v>
      </c>
    </row>
    <row r="294" spans="1:18" x14ac:dyDescent="0.2">
      <c r="A294" s="1">
        <v>44600</v>
      </c>
      <c r="B294" t="s">
        <v>15</v>
      </c>
      <c r="C294" t="str">
        <f>_xlfn.XLOOKUP(B294,PRODUCT_MASTER!$A:$A,PRODUCT_MASTER!$B:$B,2,0)</f>
        <v>Product05</v>
      </c>
      <c r="D294" t="str">
        <f>_xlfn.XLOOKUP(B294,PRODUCT_MASTER!$A:$A,PRODUCT_MASTER!$C:$C,2,0)</f>
        <v>Organic</v>
      </c>
      <c r="E294" t="str">
        <f>_xlfn.XLOOKUP(B294,PRODUCT_MASTER!$A:$A,PRODUCT_MASTER!$D:$D,2,0)</f>
        <v>Ft</v>
      </c>
      <c r="F294">
        <f>_xlfn.XLOOKUP(B294,PRODUCT_MASTER!$A:$A,PRODUCT_MASTER!$E:$E,2,0)</f>
        <v>133</v>
      </c>
      <c r="G294">
        <f>_xlfn.XLOOKUP(B294,PRODUCT_MASTER!$A:$A,PRODUCT_MASTER!$F:$F,2,0)</f>
        <v>155.61000000000001</v>
      </c>
      <c r="H294">
        <v>11</v>
      </c>
      <c r="I294" t="s">
        <v>101</v>
      </c>
      <c r="J294" t="s">
        <v>102</v>
      </c>
      <c r="K294">
        <v>0</v>
      </c>
      <c r="L294" s="15">
        <f t="shared" si="28"/>
        <v>1463</v>
      </c>
      <c r="M294" s="15">
        <f t="shared" si="29"/>
        <v>1711.71</v>
      </c>
      <c r="N294" s="15">
        <f t="shared" si="30"/>
        <v>248.71000000000004</v>
      </c>
      <c r="O294" s="10">
        <f t="shared" si="31"/>
        <v>0.17</v>
      </c>
      <c r="P294" t="str">
        <f t="shared" si="32"/>
        <v>08</v>
      </c>
      <c r="Q294" t="str">
        <f t="shared" si="33"/>
        <v>Feb</v>
      </c>
      <c r="R294" t="str">
        <f t="shared" si="34"/>
        <v>2022</v>
      </c>
    </row>
    <row r="295" spans="1:18" x14ac:dyDescent="0.2">
      <c r="A295" s="1">
        <v>44600</v>
      </c>
      <c r="B295" t="s">
        <v>13</v>
      </c>
      <c r="C295" t="str">
        <f>_xlfn.XLOOKUP(B295,PRODUCT_MASTER!$A:$A,PRODUCT_MASTER!$B:$B,2,0)</f>
        <v>Product04</v>
      </c>
      <c r="D295" t="str">
        <f>_xlfn.XLOOKUP(B295,PRODUCT_MASTER!$A:$A,PRODUCT_MASTER!$C:$C,2,0)</f>
        <v>Organic</v>
      </c>
      <c r="E295" t="str">
        <f>_xlfn.XLOOKUP(B295,PRODUCT_MASTER!$A:$A,PRODUCT_MASTER!$D:$D,2,0)</f>
        <v>Lt</v>
      </c>
      <c r="F295">
        <f>_xlfn.XLOOKUP(B295,PRODUCT_MASTER!$A:$A,PRODUCT_MASTER!$E:$E,2,0)</f>
        <v>44</v>
      </c>
      <c r="G295">
        <f>_xlfn.XLOOKUP(B295,PRODUCT_MASTER!$A:$A,PRODUCT_MASTER!$F:$F,2,0)</f>
        <v>48.84</v>
      </c>
      <c r="H295">
        <v>3</v>
      </c>
      <c r="I295" t="s">
        <v>101</v>
      </c>
      <c r="J295" t="s">
        <v>102</v>
      </c>
      <c r="K295">
        <v>0</v>
      </c>
      <c r="L295" s="15">
        <f t="shared" si="28"/>
        <v>132</v>
      </c>
      <c r="M295" s="15">
        <f t="shared" si="29"/>
        <v>146.52000000000001</v>
      </c>
      <c r="N295" s="15">
        <f t="shared" si="30"/>
        <v>14.52000000000001</v>
      </c>
      <c r="O295" s="10">
        <f t="shared" si="31"/>
        <v>0.11000000000000008</v>
      </c>
      <c r="P295" t="str">
        <f t="shared" si="32"/>
        <v>08</v>
      </c>
      <c r="Q295" t="str">
        <f t="shared" si="33"/>
        <v>Feb</v>
      </c>
      <c r="R295" t="str">
        <f t="shared" si="34"/>
        <v>2022</v>
      </c>
    </row>
    <row r="296" spans="1:18" x14ac:dyDescent="0.2">
      <c r="A296" s="1">
        <v>44601</v>
      </c>
      <c r="B296" t="s">
        <v>69</v>
      </c>
      <c r="C296" t="str">
        <f>_xlfn.XLOOKUP(B296,PRODUCT_MASTER!$A:$A,PRODUCT_MASTER!$B:$B,2,0)</f>
        <v>Product32</v>
      </c>
      <c r="D296" t="str">
        <f>_xlfn.XLOOKUP(B296,PRODUCT_MASTER!$A:$A,PRODUCT_MASTER!$C:$C,2,0)</f>
        <v>Bakery And Desserts</v>
      </c>
      <c r="E296" t="str">
        <f>_xlfn.XLOOKUP(B296,PRODUCT_MASTER!$A:$A,PRODUCT_MASTER!$D:$D,2,0)</f>
        <v>Kg</v>
      </c>
      <c r="F296">
        <f>_xlfn.XLOOKUP(B296,PRODUCT_MASTER!$A:$A,PRODUCT_MASTER!$E:$E,2,0)</f>
        <v>89</v>
      </c>
      <c r="G296">
        <f>_xlfn.XLOOKUP(B296,PRODUCT_MASTER!$A:$A,PRODUCT_MASTER!$F:$F,2,0)</f>
        <v>117.48</v>
      </c>
      <c r="H296">
        <v>14</v>
      </c>
      <c r="I296" t="s">
        <v>101</v>
      </c>
      <c r="J296" t="s">
        <v>101</v>
      </c>
      <c r="K296">
        <v>0</v>
      </c>
      <c r="L296" s="15">
        <f t="shared" si="28"/>
        <v>1246</v>
      </c>
      <c r="M296" s="15">
        <f t="shared" si="29"/>
        <v>1644.72</v>
      </c>
      <c r="N296" s="15">
        <f t="shared" si="30"/>
        <v>398.72</v>
      </c>
      <c r="O296" s="10">
        <f t="shared" si="31"/>
        <v>0.32</v>
      </c>
      <c r="P296" t="str">
        <f t="shared" si="32"/>
        <v>09</v>
      </c>
      <c r="Q296" t="str">
        <f t="shared" si="33"/>
        <v>Feb</v>
      </c>
      <c r="R296" t="str">
        <f t="shared" si="34"/>
        <v>2022</v>
      </c>
    </row>
    <row r="297" spans="1:18" x14ac:dyDescent="0.2">
      <c r="A297" s="1">
        <v>44604</v>
      </c>
      <c r="B297" t="s">
        <v>25</v>
      </c>
      <c r="C297" t="str">
        <f>_xlfn.XLOOKUP(B297,PRODUCT_MASTER!$A:$A,PRODUCT_MASTER!$B:$B,2,0)</f>
        <v>Product10</v>
      </c>
      <c r="D297" t="str">
        <f>_xlfn.XLOOKUP(B297,PRODUCT_MASTER!$A:$A,PRODUCT_MASTER!$C:$C,2,0)</f>
        <v>Gourmet Foods</v>
      </c>
      <c r="E297" t="str">
        <f>_xlfn.XLOOKUP(B297,PRODUCT_MASTER!$A:$A,PRODUCT_MASTER!$D:$D,2,0)</f>
        <v>Ft</v>
      </c>
      <c r="F297">
        <f>_xlfn.XLOOKUP(B297,PRODUCT_MASTER!$A:$A,PRODUCT_MASTER!$E:$E,2,0)</f>
        <v>148</v>
      </c>
      <c r="G297">
        <f>_xlfn.XLOOKUP(B297,PRODUCT_MASTER!$A:$A,PRODUCT_MASTER!$F:$F,2,0)</f>
        <v>164.28</v>
      </c>
      <c r="H297">
        <v>13</v>
      </c>
      <c r="I297" t="s">
        <v>103</v>
      </c>
      <c r="J297" t="s">
        <v>102</v>
      </c>
      <c r="K297">
        <v>0</v>
      </c>
      <c r="L297" s="15">
        <f t="shared" si="28"/>
        <v>1924</v>
      </c>
      <c r="M297" s="15">
        <f t="shared" si="29"/>
        <v>2135.64</v>
      </c>
      <c r="N297" s="15">
        <f t="shared" si="30"/>
        <v>211.63999999999987</v>
      </c>
      <c r="O297" s="10">
        <f t="shared" si="31"/>
        <v>0.10999999999999993</v>
      </c>
      <c r="P297" t="str">
        <f t="shared" si="32"/>
        <v>12</v>
      </c>
      <c r="Q297" t="str">
        <f t="shared" si="33"/>
        <v>Feb</v>
      </c>
      <c r="R297" t="str">
        <f t="shared" si="34"/>
        <v>2022</v>
      </c>
    </row>
    <row r="298" spans="1:18" x14ac:dyDescent="0.2">
      <c r="A298" s="1">
        <v>44606</v>
      </c>
      <c r="B298" t="s">
        <v>57</v>
      </c>
      <c r="C298" t="str">
        <f>_xlfn.XLOOKUP(B298,PRODUCT_MASTER!$A:$A,PRODUCT_MASTER!$B:$B,2,0)</f>
        <v>Product26</v>
      </c>
      <c r="D298" t="str">
        <f>_xlfn.XLOOKUP(B298,PRODUCT_MASTER!$A:$A,PRODUCT_MASTER!$C:$C,2,0)</f>
        <v>Seafood</v>
      </c>
      <c r="E298" t="str">
        <f>_xlfn.XLOOKUP(B298,PRODUCT_MASTER!$A:$A,PRODUCT_MASTER!$D:$D,2,0)</f>
        <v>No.</v>
      </c>
      <c r="F298">
        <f>_xlfn.XLOOKUP(B298,PRODUCT_MASTER!$A:$A,PRODUCT_MASTER!$E:$E,2,0)</f>
        <v>18</v>
      </c>
      <c r="G298">
        <f>_xlfn.XLOOKUP(B298,PRODUCT_MASTER!$A:$A,PRODUCT_MASTER!$F:$F,2,0)</f>
        <v>24.66</v>
      </c>
      <c r="H298">
        <v>8</v>
      </c>
      <c r="I298" t="s">
        <v>101</v>
      </c>
      <c r="J298" t="s">
        <v>102</v>
      </c>
      <c r="K298">
        <v>0</v>
      </c>
      <c r="L298" s="15">
        <f t="shared" si="28"/>
        <v>144</v>
      </c>
      <c r="M298" s="15">
        <f t="shared" si="29"/>
        <v>197.28</v>
      </c>
      <c r="N298" s="15">
        <f t="shared" si="30"/>
        <v>53.28</v>
      </c>
      <c r="O298" s="10">
        <f t="shared" si="31"/>
        <v>0.37</v>
      </c>
      <c r="P298" t="str">
        <f t="shared" si="32"/>
        <v>14</v>
      </c>
      <c r="Q298" t="str">
        <f t="shared" si="33"/>
        <v>Feb</v>
      </c>
      <c r="R298" t="str">
        <f t="shared" si="34"/>
        <v>2022</v>
      </c>
    </row>
    <row r="299" spans="1:18" x14ac:dyDescent="0.2">
      <c r="A299" s="1">
        <v>44606</v>
      </c>
      <c r="B299" t="s">
        <v>61</v>
      </c>
      <c r="C299" t="str">
        <f>_xlfn.XLOOKUP(B299,PRODUCT_MASTER!$A:$A,PRODUCT_MASTER!$B:$B,2,0)</f>
        <v>Product28</v>
      </c>
      <c r="D299" t="str">
        <f>_xlfn.XLOOKUP(B299,PRODUCT_MASTER!$A:$A,PRODUCT_MASTER!$C:$C,2,0)</f>
        <v>Cheese And Dairy</v>
      </c>
      <c r="E299" t="str">
        <f>_xlfn.XLOOKUP(B299,PRODUCT_MASTER!$A:$A,PRODUCT_MASTER!$D:$D,2,0)</f>
        <v>No.</v>
      </c>
      <c r="F299">
        <f>_xlfn.XLOOKUP(B299,PRODUCT_MASTER!$A:$A,PRODUCT_MASTER!$E:$E,2,0)</f>
        <v>37</v>
      </c>
      <c r="G299">
        <f>_xlfn.XLOOKUP(B299,PRODUCT_MASTER!$A:$A,PRODUCT_MASTER!$F:$F,2,0)</f>
        <v>41.81</v>
      </c>
      <c r="H299">
        <v>3</v>
      </c>
      <c r="I299" t="s">
        <v>103</v>
      </c>
      <c r="J299" t="s">
        <v>102</v>
      </c>
      <c r="K299">
        <v>0</v>
      </c>
      <c r="L299" s="15">
        <f t="shared" si="28"/>
        <v>111</v>
      </c>
      <c r="M299" s="15">
        <f t="shared" si="29"/>
        <v>125.43</v>
      </c>
      <c r="N299" s="15">
        <f t="shared" si="30"/>
        <v>14.430000000000007</v>
      </c>
      <c r="O299" s="10">
        <f t="shared" si="31"/>
        <v>0.13000000000000006</v>
      </c>
      <c r="P299" t="str">
        <f t="shared" si="32"/>
        <v>14</v>
      </c>
      <c r="Q299" t="str">
        <f t="shared" si="33"/>
        <v>Feb</v>
      </c>
      <c r="R299" t="str">
        <f t="shared" si="34"/>
        <v>2022</v>
      </c>
    </row>
    <row r="300" spans="1:18" x14ac:dyDescent="0.2">
      <c r="A300" s="1">
        <v>44608</v>
      </c>
      <c r="B300" t="s">
        <v>69</v>
      </c>
      <c r="C300" t="str">
        <f>_xlfn.XLOOKUP(B300,PRODUCT_MASTER!$A:$A,PRODUCT_MASTER!$B:$B,2,0)</f>
        <v>Product32</v>
      </c>
      <c r="D300" t="str">
        <f>_xlfn.XLOOKUP(B300,PRODUCT_MASTER!$A:$A,PRODUCT_MASTER!$C:$C,2,0)</f>
        <v>Bakery And Desserts</v>
      </c>
      <c r="E300" t="str">
        <f>_xlfn.XLOOKUP(B300,PRODUCT_MASTER!$A:$A,PRODUCT_MASTER!$D:$D,2,0)</f>
        <v>Kg</v>
      </c>
      <c r="F300">
        <f>_xlfn.XLOOKUP(B300,PRODUCT_MASTER!$A:$A,PRODUCT_MASTER!$E:$E,2,0)</f>
        <v>89</v>
      </c>
      <c r="G300">
        <f>_xlfn.XLOOKUP(B300,PRODUCT_MASTER!$A:$A,PRODUCT_MASTER!$F:$F,2,0)</f>
        <v>117.48</v>
      </c>
      <c r="H300">
        <v>1</v>
      </c>
      <c r="I300" t="s">
        <v>101</v>
      </c>
      <c r="J300" t="s">
        <v>102</v>
      </c>
      <c r="K300">
        <v>0</v>
      </c>
      <c r="L300" s="15">
        <f t="shared" si="28"/>
        <v>89</v>
      </c>
      <c r="M300" s="15">
        <f t="shared" si="29"/>
        <v>117.48</v>
      </c>
      <c r="N300" s="15">
        <f t="shared" si="30"/>
        <v>28.480000000000004</v>
      </c>
      <c r="O300" s="10">
        <f t="shared" si="31"/>
        <v>0.32000000000000006</v>
      </c>
      <c r="P300" t="str">
        <f t="shared" si="32"/>
        <v>16</v>
      </c>
      <c r="Q300" t="str">
        <f t="shared" si="33"/>
        <v>Feb</v>
      </c>
      <c r="R300" t="str">
        <f t="shared" si="34"/>
        <v>2022</v>
      </c>
    </row>
    <row r="301" spans="1:18" x14ac:dyDescent="0.2">
      <c r="A301" s="1">
        <v>44611</v>
      </c>
      <c r="B301" t="s">
        <v>9</v>
      </c>
      <c r="C301" t="str">
        <f>_xlfn.XLOOKUP(B301,PRODUCT_MASTER!$A:$A,PRODUCT_MASTER!$B:$B,2,0)</f>
        <v>Product02</v>
      </c>
      <c r="D301" t="str">
        <f>_xlfn.XLOOKUP(B301,PRODUCT_MASTER!$A:$A,PRODUCT_MASTER!$C:$C,2,0)</f>
        <v>Organic</v>
      </c>
      <c r="E301" t="str">
        <f>_xlfn.XLOOKUP(B301,PRODUCT_MASTER!$A:$A,PRODUCT_MASTER!$D:$D,2,0)</f>
        <v>Kg</v>
      </c>
      <c r="F301">
        <f>_xlfn.XLOOKUP(B301,PRODUCT_MASTER!$A:$A,PRODUCT_MASTER!$E:$E,2,0)</f>
        <v>105</v>
      </c>
      <c r="G301">
        <f>_xlfn.XLOOKUP(B301,PRODUCT_MASTER!$A:$A,PRODUCT_MASTER!$F:$F,2,0)</f>
        <v>142.80000000000001</v>
      </c>
      <c r="H301">
        <v>13</v>
      </c>
      <c r="I301" t="s">
        <v>101</v>
      </c>
      <c r="J301" t="s">
        <v>102</v>
      </c>
      <c r="K301">
        <v>0</v>
      </c>
      <c r="L301" s="15">
        <f t="shared" si="28"/>
        <v>1365</v>
      </c>
      <c r="M301" s="15">
        <f t="shared" si="29"/>
        <v>1856.4</v>
      </c>
      <c r="N301" s="15">
        <f t="shared" si="30"/>
        <v>491.40000000000009</v>
      </c>
      <c r="O301" s="10">
        <f t="shared" si="31"/>
        <v>0.36000000000000004</v>
      </c>
      <c r="P301" t="str">
        <f t="shared" si="32"/>
        <v>19</v>
      </c>
      <c r="Q301" t="str">
        <f t="shared" si="33"/>
        <v>Feb</v>
      </c>
      <c r="R301" t="str">
        <f t="shared" si="34"/>
        <v>2022</v>
      </c>
    </row>
    <row r="302" spans="1:18" x14ac:dyDescent="0.2">
      <c r="A302" s="1">
        <v>44612</v>
      </c>
      <c r="B302" t="s">
        <v>29</v>
      </c>
      <c r="C302" t="str">
        <f>_xlfn.XLOOKUP(B302,PRODUCT_MASTER!$A:$A,PRODUCT_MASTER!$B:$B,2,0)</f>
        <v>Product12</v>
      </c>
      <c r="D302" t="str">
        <f>_xlfn.XLOOKUP(B302,PRODUCT_MASTER!$A:$A,PRODUCT_MASTER!$C:$C,2,0)</f>
        <v>Meat</v>
      </c>
      <c r="E302" t="str">
        <f>_xlfn.XLOOKUP(B302,PRODUCT_MASTER!$A:$A,PRODUCT_MASTER!$D:$D,2,0)</f>
        <v>Kg</v>
      </c>
      <c r="F302">
        <f>_xlfn.XLOOKUP(B302,PRODUCT_MASTER!$A:$A,PRODUCT_MASTER!$E:$E,2,0)</f>
        <v>73</v>
      </c>
      <c r="G302">
        <f>_xlfn.XLOOKUP(B302,PRODUCT_MASTER!$A:$A,PRODUCT_MASTER!$F:$F,2,0)</f>
        <v>94.17</v>
      </c>
      <c r="H302">
        <v>6</v>
      </c>
      <c r="I302" t="s">
        <v>103</v>
      </c>
      <c r="J302" t="s">
        <v>102</v>
      </c>
      <c r="K302">
        <v>0</v>
      </c>
      <c r="L302" s="15">
        <f t="shared" si="28"/>
        <v>438</v>
      </c>
      <c r="M302" s="15">
        <f t="shared" si="29"/>
        <v>565.02</v>
      </c>
      <c r="N302" s="15">
        <f t="shared" si="30"/>
        <v>127.01999999999998</v>
      </c>
      <c r="O302" s="10">
        <f t="shared" si="31"/>
        <v>0.28999999999999998</v>
      </c>
      <c r="P302" t="str">
        <f t="shared" si="32"/>
        <v>20</v>
      </c>
      <c r="Q302" t="str">
        <f t="shared" si="33"/>
        <v>Feb</v>
      </c>
      <c r="R302" t="str">
        <f t="shared" si="34"/>
        <v>2022</v>
      </c>
    </row>
    <row r="303" spans="1:18" x14ac:dyDescent="0.2">
      <c r="A303" s="1">
        <v>44615</v>
      </c>
      <c r="B303" t="s">
        <v>31</v>
      </c>
      <c r="C303" t="str">
        <f>_xlfn.XLOOKUP(B303,PRODUCT_MASTER!$A:$A,PRODUCT_MASTER!$B:$B,2,0)</f>
        <v>Product13</v>
      </c>
      <c r="D303" t="str">
        <f>_xlfn.XLOOKUP(B303,PRODUCT_MASTER!$A:$A,PRODUCT_MASTER!$C:$C,2,0)</f>
        <v>Meat</v>
      </c>
      <c r="E303" t="str">
        <f>_xlfn.XLOOKUP(B303,PRODUCT_MASTER!$A:$A,PRODUCT_MASTER!$D:$D,2,0)</f>
        <v>Kg</v>
      </c>
      <c r="F303">
        <f>_xlfn.XLOOKUP(B303,PRODUCT_MASTER!$A:$A,PRODUCT_MASTER!$E:$E,2,0)</f>
        <v>112</v>
      </c>
      <c r="G303">
        <f>_xlfn.XLOOKUP(B303,PRODUCT_MASTER!$A:$A,PRODUCT_MASTER!$F:$F,2,0)</f>
        <v>122.08</v>
      </c>
      <c r="H303">
        <v>6</v>
      </c>
      <c r="I303" t="s">
        <v>101</v>
      </c>
      <c r="J303" t="s">
        <v>101</v>
      </c>
      <c r="K303">
        <v>0</v>
      </c>
      <c r="L303" s="15">
        <f t="shared" si="28"/>
        <v>672</v>
      </c>
      <c r="M303" s="15">
        <f t="shared" si="29"/>
        <v>732.48</v>
      </c>
      <c r="N303" s="15">
        <f t="shared" si="30"/>
        <v>60.480000000000018</v>
      </c>
      <c r="O303" s="10">
        <f t="shared" si="31"/>
        <v>9.0000000000000024E-2</v>
      </c>
      <c r="P303" t="str">
        <f t="shared" si="32"/>
        <v>23</v>
      </c>
      <c r="Q303" t="str">
        <f t="shared" si="33"/>
        <v>Feb</v>
      </c>
      <c r="R303" t="str">
        <f t="shared" si="34"/>
        <v>2022</v>
      </c>
    </row>
    <row r="304" spans="1:18" x14ac:dyDescent="0.2">
      <c r="A304" s="1">
        <v>44615</v>
      </c>
      <c r="B304" t="s">
        <v>37</v>
      </c>
      <c r="C304" t="str">
        <f>_xlfn.XLOOKUP(B304,PRODUCT_MASTER!$A:$A,PRODUCT_MASTER!$B:$B,2,0)</f>
        <v>Product16</v>
      </c>
      <c r="D304" t="str">
        <f>_xlfn.XLOOKUP(B304,PRODUCT_MASTER!$A:$A,PRODUCT_MASTER!$C:$C,2,0)</f>
        <v>Meat</v>
      </c>
      <c r="E304" t="str">
        <f>_xlfn.XLOOKUP(B304,PRODUCT_MASTER!$A:$A,PRODUCT_MASTER!$D:$D,2,0)</f>
        <v>No.</v>
      </c>
      <c r="F304">
        <f>_xlfn.XLOOKUP(B304,PRODUCT_MASTER!$A:$A,PRODUCT_MASTER!$E:$E,2,0)</f>
        <v>13</v>
      </c>
      <c r="G304">
        <f>_xlfn.XLOOKUP(B304,PRODUCT_MASTER!$A:$A,PRODUCT_MASTER!$F:$F,2,0)</f>
        <v>16.64</v>
      </c>
      <c r="H304">
        <v>15</v>
      </c>
      <c r="I304" t="s">
        <v>101</v>
      </c>
      <c r="J304" t="s">
        <v>102</v>
      </c>
      <c r="K304">
        <v>0</v>
      </c>
      <c r="L304" s="15">
        <f t="shared" si="28"/>
        <v>195</v>
      </c>
      <c r="M304" s="15">
        <f t="shared" si="29"/>
        <v>249.60000000000002</v>
      </c>
      <c r="N304" s="15">
        <f t="shared" si="30"/>
        <v>54.600000000000023</v>
      </c>
      <c r="O304" s="10">
        <f t="shared" si="31"/>
        <v>0.28000000000000014</v>
      </c>
      <c r="P304" t="str">
        <f t="shared" si="32"/>
        <v>23</v>
      </c>
      <c r="Q304" t="str">
        <f t="shared" si="33"/>
        <v>Feb</v>
      </c>
      <c r="R304" t="str">
        <f t="shared" si="34"/>
        <v>2022</v>
      </c>
    </row>
    <row r="305" spans="1:18" x14ac:dyDescent="0.2">
      <c r="A305" s="1">
        <v>44615</v>
      </c>
      <c r="B305" t="s">
        <v>77</v>
      </c>
      <c r="C305" t="str">
        <f>_xlfn.XLOOKUP(B305,PRODUCT_MASTER!$A:$A,PRODUCT_MASTER!$B:$B,2,0)</f>
        <v>Product36</v>
      </c>
      <c r="D305" t="str">
        <f>_xlfn.XLOOKUP(B305,PRODUCT_MASTER!$A:$A,PRODUCT_MASTER!$C:$C,2,0)</f>
        <v>Bakery And Desserts</v>
      </c>
      <c r="E305" t="str">
        <f>_xlfn.XLOOKUP(B305,PRODUCT_MASTER!$A:$A,PRODUCT_MASTER!$D:$D,2,0)</f>
        <v>Kg</v>
      </c>
      <c r="F305">
        <f>_xlfn.XLOOKUP(B305,PRODUCT_MASTER!$A:$A,PRODUCT_MASTER!$E:$E,2,0)</f>
        <v>90</v>
      </c>
      <c r="G305">
        <f>_xlfn.XLOOKUP(B305,PRODUCT_MASTER!$A:$A,PRODUCT_MASTER!$F:$F,2,0)</f>
        <v>96.3</v>
      </c>
      <c r="H305">
        <v>8</v>
      </c>
      <c r="I305" t="s">
        <v>103</v>
      </c>
      <c r="J305" t="s">
        <v>101</v>
      </c>
      <c r="K305">
        <v>0</v>
      </c>
      <c r="L305" s="15">
        <f t="shared" si="28"/>
        <v>720</v>
      </c>
      <c r="M305" s="15">
        <f t="shared" si="29"/>
        <v>770.4</v>
      </c>
      <c r="N305" s="15">
        <f t="shared" si="30"/>
        <v>50.399999999999977</v>
      </c>
      <c r="O305" s="10">
        <f t="shared" si="31"/>
        <v>6.9999999999999965E-2</v>
      </c>
      <c r="P305" t="str">
        <f t="shared" si="32"/>
        <v>23</v>
      </c>
      <c r="Q305" t="str">
        <f t="shared" si="33"/>
        <v>Feb</v>
      </c>
      <c r="R305" t="str">
        <f t="shared" si="34"/>
        <v>2022</v>
      </c>
    </row>
    <row r="306" spans="1:18" x14ac:dyDescent="0.2">
      <c r="A306" s="1">
        <v>44619</v>
      </c>
      <c r="B306" t="s">
        <v>29</v>
      </c>
      <c r="C306" t="str">
        <f>_xlfn.XLOOKUP(B306,PRODUCT_MASTER!$A:$A,PRODUCT_MASTER!$B:$B,2,0)</f>
        <v>Product12</v>
      </c>
      <c r="D306" t="str">
        <f>_xlfn.XLOOKUP(B306,PRODUCT_MASTER!$A:$A,PRODUCT_MASTER!$C:$C,2,0)</f>
        <v>Meat</v>
      </c>
      <c r="E306" t="str">
        <f>_xlfn.XLOOKUP(B306,PRODUCT_MASTER!$A:$A,PRODUCT_MASTER!$D:$D,2,0)</f>
        <v>Kg</v>
      </c>
      <c r="F306">
        <f>_xlfn.XLOOKUP(B306,PRODUCT_MASTER!$A:$A,PRODUCT_MASTER!$E:$E,2,0)</f>
        <v>73</v>
      </c>
      <c r="G306">
        <f>_xlfn.XLOOKUP(B306,PRODUCT_MASTER!$A:$A,PRODUCT_MASTER!$F:$F,2,0)</f>
        <v>94.17</v>
      </c>
      <c r="H306">
        <v>7</v>
      </c>
      <c r="I306" t="s">
        <v>103</v>
      </c>
      <c r="J306" t="s">
        <v>102</v>
      </c>
      <c r="K306">
        <v>0</v>
      </c>
      <c r="L306" s="15">
        <f t="shared" si="28"/>
        <v>511</v>
      </c>
      <c r="M306" s="15">
        <f t="shared" si="29"/>
        <v>659.19</v>
      </c>
      <c r="N306" s="15">
        <f t="shared" si="30"/>
        <v>148.19000000000005</v>
      </c>
      <c r="O306" s="10">
        <f t="shared" si="31"/>
        <v>0.29000000000000009</v>
      </c>
      <c r="P306" t="str">
        <f t="shared" si="32"/>
        <v>27</v>
      </c>
      <c r="Q306" t="str">
        <f t="shared" si="33"/>
        <v>Feb</v>
      </c>
      <c r="R306" t="str">
        <f t="shared" si="34"/>
        <v>2022</v>
      </c>
    </row>
    <row r="307" spans="1:18" x14ac:dyDescent="0.2">
      <c r="A307" s="1">
        <v>44619</v>
      </c>
      <c r="B307" t="s">
        <v>15</v>
      </c>
      <c r="C307" t="str">
        <f>_xlfn.XLOOKUP(B307,PRODUCT_MASTER!$A:$A,PRODUCT_MASTER!$B:$B,2,0)</f>
        <v>Product05</v>
      </c>
      <c r="D307" t="str">
        <f>_xlfn.XLOOKUP(B307,PRODUCT_MASTER!$A:$A,PRODUCT_MASTER!$C:$C,2,0)</f>
        <v>Organic</v>
      </c>
      <c r="E307" t="str">
        <f>_xlfn.XLOOKUP(B307,PRODUCT_MASTER!$A:$A,PRODUCT_MASTER!$D:$D,2,0)</f>
        <v>Ft</v>
      </c>
      <c r="F307">
        <f>_xlfn.XLOOKUP(B307,PRODUCT_MASTER!$A:$A,PRODUCT_MASTER!$E:$E,2,0)</f>
        <v>133</v>
      </c>
      <c r="G307">
        <f>_xlfn.XLOOKUP(B307,PRODUCT_MASTER!$A:$A,PRODUCT_MASTER!$F:$F,2,0)</f>
        <v>155.61000000000001</v>
      </c>
      <c r="H307">
        <v>15</v>
      </c>
      <c r="I307" t="s">
        <v>103</v>
      </c>
      <c r="J307" t="s">
        <v>101</v>
      </c>
      <c r="K307">
        <v>0</v>
      </c>
      <c r="L307" s="15">
        <f t="shared" si="28"/>
        <v>1995</v>
      </c>
      <c r="M307" s="15">
        <f t="shared" si="29"/>
        <v>2334.15</v>
      </c>
      <c r="N307" s="15">
        <f t="shared" si="30"/>
        <v>339.15000000000009</v>
      </c>
      <c r="O307" s="10">
        <f t="shared" si="31"/>
        <v>0.17000000000000004</v>
      </c>
      <c r="P307" t="str">
        <f t="shared" si="32"/>
        <v>27</v>
      </c>
      <c r="Q307" t="str">
        <f t="shared" si="33"/>
        <v>Feb</v>
      </c>
      <c r="R307" t="str">
        <f t="shared" si="34"/>
        <v>2022</v>
      </c>
    </row>
    <row r="308" spans="1:18" x14ac:dyDescent="0.2">
      <c r="A308" s="1">
        <v>44620</v>
      </c>
      <c r="B308" t="s">
        <v>79</v>
      </c>
      <c r="C308" t="str">
        <f>_xlfn.XLOOKUP(B308,PRODUCT_MASTER!$A:$A,PRODUCT_MASTER!$B:$B,2,0)</f>
        <v>Product37</v>
      </c>
      <c r="D308" t="str">
        <f>_xlfn.XLOOKUP(B308,PRODUCT_MASTER!$A:$A,PRODUCT_MASTER!$C:$C,2,0)</f>
        <v>Snacks</v>
      </c>
      <c r="E308" t="str">
        <f>_xlfn.XLOOKUP(B308,PRODUCT_MASTER!$A:$A,PRODUCT_MASTER!$D:$D,2,0)</f>
        <v>Kg</v>
      </c>
      <c r="F308">
        <f>_xlfn.XLOOKUP(B308,PRODUCT_MASTER!$A:$A,PRODUCT_MASTER!$E:$E,2,0)</f>
        <v>67</v>
      </c>
      <c r="G308">
        <f>_xlfn.XLOOKUP(B308,PRODUCT_MASTER!$A:$A,PRODUCT_MASTER!$F:$F,2,0)</f>
        <v>85.76</v>
      </c>
      <c r="H308">
        <v>15</v>
      </c>
      <c r="I308" t="s">
        <v>103</v>
      </c>
      <c r="J308" t="s">
        <v>102</v>
      </c>
      <c r="K308">
        <v>0</v>
      </c>
      <c r="L308" s="15">
        <f t="shared" si="28"/>
        <v>1005</v>
      </c>
      <c r="M308" s="15">
        <f t="shared" si="29"/>
        <v>1286.4000000000001</v>
      </c>
      <c r="N308" s="15">
        <f t="shared" si="30"/>
        <v>281.40000000000009</v>
      </c>
      <c r="O308" s="10">
        <f t="shared" si="31"/>
        <v>0.28000000000000008</v>
      </c>
      <c r="P308" t="str">
        <f t="shared" si="32"/>
        <v>28</v>
      </c>
      <c r="Q308" t="str">
        <f t="shared" si="33"/>
        <v>Feb</v>
      </c>
      <c r="R308" t="str">
        <f t="shared" si="34"/>
        <v>2022</v>
      </c>
    </row>
    <row r="309" spans="1:18" x14ac:dyDescent="0.2">
      <c r="A309" s="1">
        <v>44624</v>
      </c>
      <c r="B309" t="s">
        <v>57</v>
      </c>
      <c r="C309" t="str">
        <f>_xlfn.XLOOKUP(B309,PRODUCT_MASTER!$A:$A,PRODUCT_MASTER!$B:$B,2,0)</f>
        <v>Product26</v>
      </c>
      <c r="D309" t="str">
        <f>_xlfn.XLOOKUP(B309,PRODUCT_MASTER!$A:$A,PRODUCT_MASTER!$C:$C,2,0)</f>
        <v>Seafood</v>
      </c>
      <c r="E309" t="str">
        <f>_xlfn.XLOOKUP(B309,PRODUCT_MASTER!$A:$A,PRODUCT_MASTER!$D:$D,2,0)</f>
        <v>No.</v>
      </c>
      <c r="F309">
        <f>_xlfn.XLOOKUP(B309,PRODUCT_MASTER!$A:$A,PRODUCT_MASTER!$E:$E,2,0)</f>
        <v>18</v>
      </c>
      <c r="G309">
        <f>_xlfn.XLOOKUP(B309,PRODUCT_MASTER!$A:$A,PRODUCT_MASTER!$F:$F,2,0)</f>
        <v>24.66</v>
      </c>
      <c r="H309">
        <v>13</v>
      </c>
      <c r="I309" t="s">
        <v>100</v>
      </c>
      <c r="J309" t="s">
        <v>101</v>
      </c>
      <c r="K309">
        <v>0</v>
      </c>
      <c r="L309" s="15">
        <f t="shared" si="28"/>
        <v>234</v>
      </c>
      <c r="M309" s="15">
        <f t="shared" si="29"/>
        <v>320.58</v>
      </c>
      <c r="N309" s="15">
        <f t="shared" si="30"/>
        <v>86.579999999999984</v>
      </c>
      <c r="O309" s="10">
        <f t="shared" si="31"/>
        <v>0.36999999999999994</v>
      </c>
      <c r="P309" t="str">
        <f t="shared" si="32"/>
        <v>04</v>
      </c>
      <c r="Q309" t="str">
        <f t="shared" si="33"/>
        <v>Mar</v>
      </c>
      <c r="R309" t="str">
        <f t="shared" si="34"/>
        <v>2022</v>
      </c>
    </row>
    <row r="310" spans="1:18" x14ac:dyDescent="0.2">
      <c r="A310" s="1">
        <v>44626</v>
      </c>
      <c r="B310" t="s">
        <v>13</v>
      </c>
      <c r="C310" t="str">
        <f>_xlfn.XLOOKUP(B310,PRODUCT_MASTER!$A:$A,PRODUCT_MASTER!$B:$B,2,0)</f>
        <v>Product04</v>
      </c>
      <c r="D310" t="str">
        <f>_xlfn.XLOOKUP(B310,PRODUCT_MASTER!$A:$A,PRODUCT_MASTER!$C:$C,2,0)</f>
        <v>Organic</v>
      </c>
      <c r="E310" t="str">
        <f>_xlfn.XLOOKUP(B310,PRODUCT_MASTER!$A:$A,PRODUCT_MASTER!$D:$D,2,0)</f>
        <v>Lt</v>
      </c>
      <c r="F310">
        <f>_xlfn.XLOOKUP(B310,PRODUCT_MASTER!$A:$A,PRODUCT_MASTER!$E:$E,2,0)</f>
        <v>44</v>
      </c>
      <c r="G310">
        <f>_xlfn.XLOOKUP(B310,PRODUCT_MASTER!$A:$A,PRODUCT_MASTER!$F:$F,2,0)</f>
        <v>48.84</v>
      </c>
      <c r="H310">
        <v>2</v>
      </c>
      <c r="I310" t="s">
        <v>103</v>
      </c>
      <c r="J310" t="s">
        <v>102</v>
      </c>
      <c r="K310">
        <v>0</v>
      </c>
      <c r="L310" s="15">
        <f t="shared" si="28"/>
        <v>88</v>
      </c>
      <c r="M310" s="15">
        <f t="shared" si="29"/>
        <v>97.68</v>
      </c>
      <c r="N310" s="15">
        <f t="shared" si="30"/>
        <v>9.6800000000000068</v>
      </c>
      <c r="O310" s="10">
        <f t="shared" si="31"/>
        <v>0.11000000000000008</v>
      </c>
      <c r="P310" t="str">
        <f t="shared" si="32"/>
        <v>06</v>
      </c>
      <c r="Q310" t="str">
        <f t="shared" si="33"/>
        <v>Mar</v>
      </c>
      <c r="R310" t="str">
        <f t="shared" si="34"/>
        <v>2022</v>
      </c>
    </row>
    <row r="311" spans="1:18" x14ac:dyDescent="0.2">
      <c r="A311" s="1">
        <v>44627</v>
      </c>
      <c r="B311" t="s">
        <v>11</v>
      </c>
      <c r="C311" t="str">
        <f>_xlfn.XLOOKUP(B311,PRODUCT_MASTER!$A:$A,PRODUCT_MASTER!$B:$B,2,0)</f>
        <v>Product03</v>
      </c>
      <c r="D311" t="str">
        <f>_xlfn.XLOOKUP(B311,PRODUCT_MASTER!$A:$A,PRODUCT_MASTER!$C:$C,2,0)</f>
        <v>Organic</v>
      </c>
      <c r="E311" t="str">
        <f>_xlfn.XLOOKUP(B311,PRODUCT_MASTER!$A:$A,PRODUCT_MASTER!$D:$D,2,0)</f>
        <v>Kg</v>
      </c>
      <c r="F311">
        <f>_xlfn.XLOOKUP(B311,PRODUCT_MASTER!$A:$A,PRODUCT_MASTER!$E:$E,2,0)</f>
        <v>71</v>
      </c>
      <c r="G311">
        <f>_xlfn.XLOOKUP(B311,PRODUCT_MASTER!$A:$A,PRODUCT_MASTER!$F:$F,2,0)</f>
        <v>80.94</v>
      </c>
      <c r="H311">
        <v>1</v>
      </c>
      <c r="I311" t="s">
        <v>103</v>
      </c>
      <c r="J311" t="s">
        <v>102</v>
      </c>
      <c r="K311">
        <v>0</v>
      </c>
      <c r="L311" s="15">
        <f t="shared" si="28"/>
        <v>71</v>
      </c>
      <c r="M311" s="15">
        <f t="shared" si="29"/>
        <v>80.94</v>
      </c>
      <c r="N311" s="15">
        <f t="shared" si="30"/>
        <v>9.9399999999999977</v>
      </c>
      <c r="O311" s="10">
        <f t="shared" si="31"/>
        <v>0.13999999999999996</v>
      </c>
      <c r="P311" t="str">
        <f t="shared" si="32"/>
        <v>07</v>
      </c>
      <c r="Q311" t="str">
        <f t="shared" si="33"/>
        <v>Mar</v>
      </c>
      <c r="R311" t="str">
        <f t="shared" si="34"/>
        <v>2022</v>
      </c>
    </row>
    <row r="312" spans="1:18" x14ac:dyDescent="0.2">
      <c r="A312" s="1">
        <v>44628</v>
      </c>
      <c r="B312" t="s">
        <v>93</v>
      </c>
      <c r="C312" t="str">
        <f>_xlfn.XLOOKUP(B312,PRODUCT_MASTER!$A:$A,PRODUCT_MASTER!$B:$B,2,0)</f>
        <v>Product44</v>
      </c>
      <c r="D312" t="str">
        <f>_xlfn.XLOOKUP(B312,PRODUCT_MASTER!$A:$A,PRODUCT_MASTER!$C:$C,2,0)</f>
        <v>Candy</v>
      </c>
      <c r="E312" t="str">
        <f>_xlfn.XLOOKUP(B312,PRODUCT_MASTER!$A:$A,PRODUCT_MASTER!$D:$D,2,0)</f>
        <v>Kg</v>
      </c>
      <c r="F312">
        <f>_xlfn.XLOOKUP(B312,PRODUCT_MASTER!$A:$A,PRODUCT_MASTER!$E:$E,2,0)</f>
        <v>76</v>
      </c>
      <c r="G312">
        <f>_xlfn.XLOOKUP(B312,PRODUCT_MASTER!$A:$A,PRODUCT_MASTER!$F:$F,2,0)</f>
        <v>82.08</v>
      </c>
      <c r="H312">
        <v>6</v>
      </c>
      <c r="I312" t="s">
        <v>103</v>
      </c>
      <c r="J312" t="s">
        <v>101</v>
      </c>
      <c r="K312">
        <v>0</v>
      </c>
      <c r="L312" s="15">
        <f t="shared" si="28"/>
        <v>456</v>
      </c>
      <c r="M312" s="15">
        <f t="shared" si="29"/>
        <v>492.48</v>
      </c>
      <c r="N312" s="15">
        <f t="shared" si="30"/>
        <v>36.480000000000018</v>
      </c>
      <c r="O312" s="10">
        <f t="shared" si="31"/>
        <v>8.0000000000000043E-2</v>
      </c>
      <c r="P312" t="str">
        <f t="shared" si="32"/>
        <v>08</v>
      </c>
      <c r="Q312" t="str">
        <f t="shared" si="33"/>
        <v>Mar</v>
      </c>
      <c r="R312" t="str">
        <f t="shared" si="34"/>
        <v>2022</v>
      </c>
    </row>
    <row r="313" spans="1:18" x14ac:dyDescent="0.2">
      <c r="A313" s="1">
        <v>44629</v>
      </c>
      <c r="B313" t="s">
        <v>65</v>
      </c>
      <c r="C313" t="str">
        <f>_xlfn.XLOOKUP(B313,PRODUCT_MASTER!$A:$A,PRODUCT_MASTER!$B:$B,2,0)</f>
        <v>Product30</v>
      </c>
      <c r="D313" t="str">
        <f>_xlfn.XLOOKUP(B313,PRODUCT_MASTER!$A:$A,PRODUCT_MASTER!$C:$C,2,0)</f>
        <v>Cheese And Dairy</v>
      </c>
      <c r="E313" t="str">
        <f>_xlfn.XLOOKUP(B313,PRODUCT_MASTER!$A:$A,PRODUCT_MASTER!$D:$D,2,0)</f>
        <v>Ft</v>
      </c>
      <c r="F313">
        <f>_xlfn.XLOOKUP(B313,PRODUCT_MASTER!$A:$A,PRODUCT_MASTER!$E:$E,2,0)</f>
        <v>148</v>
      </c>
      <c r="G313">
        <f>_xlfn.XLOOKUP(B313,PRODUCT_MASTER!$A:$A,PRODUCT_MASTER!$F:$F,2,0)</f>
        <v>201.28</v>
      </c>
      <c r="H313">
        <v>3</v>
      </c>
      <c r="I313" t="s">
        <v>103</v>
      </c>
      <c r="J313" t="s">
        <v>101</v>
      </c>
      <c r="K313">
        <v>0</v>
      </c>
      <c r="L313" s="15">
        <f t="shared" si="28"/>
        <v>444</v>
      </c>
      <c r="M313" s="15">
        <f t="shared" si="29"/>
        <v>603.84</v>
      </c>
      <c r="N313" s="15">
        <f t="shared" si="30"/>
        <v>159.84000000000003</v>
      </c>
      <c r="O313" s="10">
        <f t="shared" si="31"/>
        <v>0.3600000000000001</v>
      </c>
      <c r="P313" t="str">
        <f t="shared" si="32"/>
        <v>09</v>
      </c>
      <c r="Q313" t="str">
        <f t="shared" si="33"/>
        <v>Mar</v>
      </c>
      <c r="R313" t="str">
        <f t="shared" si="34"/>
        <v>2022</v>
      </c>
    </row>
    <row r="314" spans="1:18" x14ac:dyDescent="0.2">
      <c r="A314" s="1">
        <v>44629</v>
      </c>
      <c r="B314" t="s">
        <v>13</v>
      </c>
      <c r="C314" t="str">
        <f>_xlfn.XLOOKUP(B314,PRODUCT_MASTER!$A:$A,PRODUCT_MASTER!$B:$B,2,0)</f>
        <v>Product04</v>
      </c>
      <c r="D314" t="str">
        <f>_xlfn.XLOOKUP(B314,PRODUCT_MASTER!$A:$A,PRODUCT_MASTER!$C:$C,2,0)</f>
        <v>Organic</v>
      </c>
      <c r="E314" t="str">
        <f>_xlfn.XLOOKUP(B314,PRODUCT_MASTER!$A:$A,PRODUCT_MASTER!$D:$D,2,0)</f>
        <v>Lt</v>
      </c>
      <c r="F314">
        <f>_xlfn.XLOOKUP(B314,PRODUCT_MASTER!$A:$A,PRODUCT_MASTER!$E:$E,2,0)</f>
        <v>44</v>
      </c>
      <c r="G314">
        <f>_xlfn.XLOOKUP(B314,PRODUCT_MASTER!$A:$A,PRODUCT_MASTER!$F:$F,2,0)</f>
        <v>48.84</v>
      </c>
      <c r="H314">
        <v>11</v>
      </c>
      <c r="I314" t="s">
        <v>101</v>
      </c>
      <c r="J314" t="s">
        <v>102</v>
      </c>
      <c r="K314">
        <v>0</v>
      </c>
      <c r="L314" s="15">
        <f t="shared" si="28"/>
        <v>484</v>
      </c>
      <c r="M314" s="15">
        <f t="shared" si="29"/>
        <v>537.24</v>
      </c>
      <c r="N314" s="15">
        <f t="shared" si="30"/>
        <v>53.240000000000009</v>
      </c>
      <c r="O314" s="10">
        <f t="shared" si="31"/>
        <v>0.11000000000000001</v>
      </c>
      <c r="P314" t="str">
        <f t="shared" si="32"/>
        <v>09</v>
      </c>
      <c r="Q314" t="str">
        <f t="shared" si="33"/>
        <v>Mar</v>
      </c>
      <c r="R314" t="str">
        <f t="shared" si="34"/>
        <v>2022</v>
      </c>
    </row>
    <row r="315" spans="1:18" x14ac:dyDescent="0.2">
      <c r="A315" s="1">
        <v>44630</v>
      </c>
      <c r="B315" t="s">
        <v>71</v>
      </c>
      <c r="C315" t="str">
        <f>_xlfn.XLOOKUP(B315,PRODUCT_MASTER!$A:$A,PRODUCT_MASTER!$B:$B,2,0)</f>
        <v>Product33</v>
      </c>
      <c r="D315" t="str">
        <f>_xlfn.XLOOKUP(B315,PRODUCT_MASTER!$A:$A,PRODUCT_MASTER!$C:$C,2,0)</f>
        <v>Bakery And Desserts</v>
      </c>
      <c r="E315" t="str">
        <f>_xlfn.XLOOKUP(B315,PRODUCT_MASTER!$A:$A,PRODUCT_MASTER!$D:$D,2,0)</f>
        <v>Kg</v>
      </c>
      <c r="F315">
        <f>_xlfn.XLOOKUP(B315,PRODUCT_MASTER!$A:$A,PRODUCT_MASTER!$E:$E,2,0)</f>
        <v>95</v>
      </c>
      <c r="G315">
        <f>_xlfn.XLOOKUP(B315,PRODUCT_MASTER!$A:$A,PRODUCT_MASTER!$F:$F,2,0)</f>
        <v>119.7</v>
      </c>
      <c r="H315">
        <v>12</v>
      </c>
      <c r="I315" t="s">
        <v>100</v>
      </c>
      <c r="J315" t="s">
        <v>101</v>
      </c>
      <c r="K315">
        <v>0</v>
      </c>
      <c r="L315" s="15">
        <f t="shared" si="28"/>
        <v>1140</v>
      </c>
      <c r="M315" s="15">
        <f t="shared" si="29"/>
        <v>1436.4</v>
      </c>
      <c r="N315" s="15">
        <f t="shared" si="30"/>
        <v>296.40000000000009</v>
      </c>
      <c r="O315" s="10">
        <f t="shared" si="31"/>
        <v>0.26000000000000006</v>
      </c>
      <c r="P315" t="str">
        <f t="shared" si="32"/>
        <v>10</v>
      </c>
      <c r="Q315" t="str">
        <f t="shared" si="33"/>
        <v>Mar</v>
      </c>
      <c r="R315" t="str">
        <f t="shared" si="34"/>
        <v>2022</v>
      </c>
    </row>
    <row r="316" spans="1:18" x14ac:dyDescent="0.2">
      <c r="A316" s="1">
        <v>44634</v>
      </c>
      <c r="B316" t="s">
        <v>37</v>
      </c>
      <c r="C316" t="str">
        <f>_xlfn.XLOOKUP(B316,PRODUCT_MASTER!$A:$A,PRODUCT_MASTER!$B:$B,2,0)</f>
        <v>Product16</v>
      </c>
      <c r="D316" t="str">
        <f>_xlfn.XLOOKUP(B316,PRODUCT_MASTER!$A:$A,PRODUCT_MASTER!$C:$C,2,0)</f>
        <v>Meat</v>
      </c>
      <c r="E316" t="str">
        <f>_xlfn.XLOOKUP(B316,PRODUCT_MASTER!$A:$A,PRODUCT_MASTER!$D:$D,2,0)</f>
        <v>No.</v>
      </c>
      <c r="F316">
        <f>_xlfn.XLOOKUP(B316,PRODUCT_MASTER!$A:$A,PRODUCT_MASTER!$E:$E,2,0)</f>
        <v>13</v>
      </c>
      <c r="G316">
        <f>_xlfn.XLOOKUP(B316,PRODUCT_MASTER!$A:$A,PRODUCT_MASTER!$F:$F,2,0)</f>
        <v>16.64</v>
      </c>
      <c r="H316">
        <v>2</v>
      </c>
      <c r="I316" t="s">
        <v>103</v>
      </c>
      <c r="J316" t="s">
        <v>102</v>
      </c>
      <c r="K316">
        <v>0</v>
      </c>
      <c r="L316" s="15">
        <f t="shared" si="28"/>
        <v>26</v>
      </c>
      <c r="M316" s="15">
        <f t="shared" si="29"/>
        <v>33.28</v>
      </c>
      <c r="N316" s="15">
        <f t="shared" si="30"/>
        <v>7.2800000000000011</v>
      </c>
      <c r="O316" s="10">
        <f t="shared" si="31"/>
        <v>0.28000000000000003</v>
      </c>
      <c r="P316" t="str">
        <f t="shared" si="32"/>
        <v>14</v>
      </c>
      <c r="Q316" t="str">
        <f t="shared" si="33"/>
        <v>Mar</v>
      </c>
      <c r="R316" t="str">
        <f t="shared" si="34"/>
        <v>2022</v>
      </c>
    </row>
    <row r="317" spans="1:18" x14ac:dyDescent="0.2">
      <c r="A317" s="1">
        <v>44634</v>
      </c>
      <c r="B317" t="s">
        <v>57</v>
      </c>
      <c r="C317" t="str">
        <f>_xlfn.XLOOKUP(B317,PRODUCT_MASTER!$A:$A,PRODUCT_MASTER!$B:$B,2,0)</f>
        <v>Product26</v>
      </c>
      <c r="D317" t="str">
        <f>_xlfn.XLOOKUP(B317,PRODUCT_MASTER!$A:$A,PRODUCT_MASTER!$C:$C,2,0)</f>
        <v>Seafood</v>
      </c>
      <c r="E317" t="str">
        <f>_xlfn.XLOOKUP(B317,PRODUCT_MASTER!$A:$A,PRODUCT_MASTER!$D:$D,2,0)</f>
        <v>No.</v>
      </c>
      <c r="F317">
        <f>_xlfn.XLOOKUP(B317,PRODUCT_MASTER!$A:$A,PRODUCT_MASTER!$E:$E,2,0)</f>
        <v>18</v>
      </c>
      <c r="G317">
        <f>_xlfn.XLOOKUP(B317,PRODUCT_MASTER!$A:$A,PRODUCT_MASTER!$F:$F,2,0)</f>
        <v>24.66</v>
      </c>
      <c r="H317">
        <v>13</v>
      </c>
      <c r="I317" t="s">
        <v>103</v>
      </c>
      <c r="J317" t="s">
        <v>101</v>
      </c>
      <c r="K317">
        <v>0</v>
      </c>
      <c r="L317" s="15">
        <f t="shared" si="28"/>
        <v>234</v>
      </c>
      <c r="M317" s="15">
        <f t="shared" si="29"/>
        <v>320.58</v>
      </c>
      <c r="N317" s="15">
        <f t="shared" si="30"/>
        <v>86.579999999999984</v>
      </c>
      <c r="O317" s="10">
        <f t="shared" si="31"/>
        <v>0.36999999999999994</v>
      </c>
      <c r="P317" t="str">
        <f t="shared" si="32"/>
        <v>14</v>
      </c>
      <c r="Q317" t="str">
        <f t="shared" si="33"/>
        <v>Mar</v>
      </c>
      <c r="R317" t="str">
        <f t="shared" si="34"/>
        <v>2022</v>
      </c>
    </row>
    <row r="318" spans="1:18" x14ac:dyDescent="0.2">
      <c r="A318" s="1">
        <v>44638</v>
      </c>
      <c r="B318" t="s">
        <v>43</v>
      </c>
      <c r="C318" t="str">
        <f>_xlfn.XLOOKUP(B318,PRODUCT_MASTER!$A:$A,PRODUCT_MASTER!$B:$B,2,0)</f>
        <v>Product19</v>
      </c>
      <c r="D318" t="str">
        <f>_xlfn.XLOOKUP(B318,PRODUCT_MASTER!$A:$A,PRODUCT_MASTER!$C:$C,2,0)</f>
        <v>Poultry</v>
      </c>
      <c r="E318" t="str">
        <f>_xlfn.XLOOKUP(B318,PRODUCT_MASTER!$A:$A,PRODUCT_MASTER!$D:$D,2,0)</f>
        <v>Ft</v>
      </c>
      <c r="F318">
        <f>_xlfn.XLOOKUP(B318,PRODUCT_MASTER!$A:$A,PRODUCT_MASTER!$E:$E,2,0)</f>
        <v>150</v>
      </c>
      <c r="G318">
        <f>_xlfn.XLOOKUP(B318,PRODUCT_MASTER!$A:$A,PRODUCT_MASTER!$F:$F,2,0)</f>
        <v>210</v>
      </c>
      <c r="H318">
        <v>2</v>
      </c>
      <c r="I318" t="s">
        <v>101</v>
      </c>
      <c r="J318" t="s">
        <v>102</v>
      </c>
      <c r="K318">
        <v>0</v>
      </c>
      <c r="L318" s="15">
        <f t="shared" si="28"/>
        <v>300</v>
      </c>
      <c r="M318" s="15">
        <f t="shared" si="29"/>
        <v>420</v>
      </c>
      <c r="N318" s="15">
        <f t="shared" si="30"/>
        <v>120</v>
      </c>
      <c r="O318" s="10">
        <f t="shared" si="31"/>
        <v>0.4</v>
      </c>
      <c r="P318" t="str">
        <f t="shared" si="32"/>
        <v>18</v>
      </c>
      <c r="Q318" t="str">
        <f t="shared" si="33"/>
        <v>Mar</v>
      </c>
      <c r="R318" t="str">
        <f t="shared" si="34"/>
        <v>2022</v>
      </c>
    </row>
    <row r="319" spans="1:18" x14ac:dyDescent="0.2">
      <c r="A319" s="1">
        <v>44638</v>
      </c>
      <c r="B319" t="s">
        <v>59</v>
      </c>
      <c r="C319" t="str">
        <f>_xlfn.XLOOKUP(B319,PRODUCT_MASTER!$A:$A,PRODUCT_MASTER!$B:$B,2,0)</f>
        <v>Product27</v>
      </c>
      <c r="D319" t="str">
        <f>_xlfn.XLOOKUP(B319,PRODUCT_MASTER!$A:$A,PRODUCT_MASTER!$C:$C,2,0)</f>
        <v>Cheese And Dairy</v>
      </c>
      <c r="E319" t="str">
        <f>_xlfn.XLOOKUP(B319,PRODUCT_MASTER!$A:$A,PRODUCT_MASTER!$D:$D,2,0)</f>
        <v>Lt</v>
      </c>
      <c r="F319">
        <f>_xlfn.XLOOKUP(B319,PRODUCT_MASTER!$A:$A,PRODUCT_MASTER!$E:$E,2,0)</f>
        <v>48</v>
      </c>
      <c r="G319">
        <f>_xlfn.XLOOKUP(B319,PRODUCT_MASTER!$A:$A,PRODUCT_MASTER!$F:$F,2,0)</f>
        <v>57.120000000000005</v>
      </c>
      <c r="H319">
        <v>10</v>
      </c>
      <c r="I319" t="s">
        <v>103</v>
      </c>
      <c r="J319" t="s">
        <v>102</v>
      </c>
      <c r="K319">
        <v>0</v>
      </c>
      <c r="L319" s="15">
        <f t="shared" si="28"/>
        <v>480</v>
      </c>
      <c r="M319" s="15">
        <f t="shared" si="29"/>
        <v>571.20000000000005</v>
      </c>
      <c r="N319" s="15">
        <f t="shared" si="30"/>
        <v>91.200000000000045</v>
      </c>
      <c r="O319" s="10">
        <f t="shared" si="31"/>
        <v>0.19000000000000009</v>
      </c>
      <c r="P319" t="str">
        <f t="shared" si="32"/>
        <v>18</v>
      </c>
      <c r="Q319" t="str">
        <f t="shared" si="33"/>
        <v>Mar</v>
      </c>
      <c r="R319" t="str">
        <f t="shared" si="34"/>
        <v>2022</v>
      </c>
    </row>
    <row r="320" spans="1:18" x14ac:dyDescent="0.2">
      <c r="A320" s="1">
        <v>44639</v>
      </c>
      <c r="B320" t="s">
        <v>87</v>
      </c>
      <c r="C320" t="str">
        <f>_xlfn.XLOOKUP(B320,PRODUCT_MASTER!$A:$A,PRODUCT_MASTER!$B:$B,2,0)</f>
        <v>Product41</v>
      </c>
      <c r="D320" t="str">
        <f>_xlfn.XLOOKUP(B320,PRODUCT_MASTER!$A:$A,PRODUCT_MASTER!$C:$C,2,0)</f>
        <v>Snacks</v>
      </c>
      <c r="E320" t="str">
        <f>_xlfn.XLOOKUP(B320,PRODUCT_MASTER!$A:$A,PRODUCT_MASTER!$D:$D,2,0)</f>
        <v>Ft</v>
      </c>
      <c r="F320">
        <f>_xlfn.XLOOKUP(B320,PRODUCT_MASTER!$A:$A,PRODUCT_MASTER!$E:$E,2,0)</f>
        <v>138</v>
      </c>
      <c r="G320">
        <f>_xlfn.XLOOKUP(B320,PRODUCT_MASTER!$A:$A,PRODUCT_MASTER!$F:$F,2,0)</f>
        <v>173.88</v>
      </c>
      <c r="H320">
        <v>6</v>
      </c>
      <c r="I320" t="s">
        <v>100</v>
      </c>
      <c r="J320" t="s">
        <v>102</v>
      </c>
      <c r="K320">
        <v>0</v>
      </c>
      <c r="L320" s="15">
        <f t="shared" si="28"/>
        <v>828</v>
      </c>
      <c r="M320" s="15">
        <f t="shared" si="29"/>
        <v>1043.28</v>
      </c>
      <c r="N320" s="15">
        <f t="shared" si="30"/>
        <v>215.27999999999997</v>
      </c>
      <c r="O320" s="10">
        <f t="shared" si="31"/>
        <v>0.25999999999999995</v>
      </c>
      <c r="P320" t="str">
        <f t="shared" si="32"/>
        <v>19</v>
      </c>
      <c r="Q320" t="str">
        <f t="shared" si="33"/>
        <v>Mar</v>
      </c>
      <c r="R320" t="str">
        <f t="shared" si="34"/>
        <v>2022</v>
      </c>
    </row>
    <row r="321" spans="1:18" x14ac:dyDescent="0.2">
      <c r="A321" s="1">
        <v>44643</v>
      </c>
      <c r="B321" t="s">
        <v>69</v>
      </c>
      <c r="C321" t="str">
        <f>_xlfn.XLOOKUP(B321,PRODUCT_MASTER!$A:$A,PRODUCT_MASTER!$B:$B,2,0)</f>
        <v>Product32</v>
      </c>
      <c r="D321" t="str">
        <f>_xlfn.XLOOKUP(B321,PRODUCT_MASTER!$A:$A,PRODUCT_MASTER!$C:$C,2,0)</f>
        <v>Bakery And Desserts</v>
      </c>
      <c r="E321" t="str">
        <f>_xlfn.XLOOKUP(B321,PRODUCT_MASTER!$A:$A,PRODUCT_MASTER!$D:$D,2,0)</f>
        <v>Kg</v>
      </c>
      <c r="F321">
        <f>_xlfn.XLOOKUP(B321,PRODUCT_MASTER!$A:$A,PRODUCT_MASTER!$E:$E,2,0)</f>
        <v>89</v>
      </c>
      <c r="G321">
        <f>_xlfn.XLOOKUP(B321,PRODUCT_MASTER!$A:$A,PRODUCT_MASTER!$F:$F,2,0)</f>
        <v>117.48</v>
      </c>
      <c r="H321">
        <v>9</v>
      </c>
      <c r="I321" t="s">
        <v>103</v>
      </c>
      <c r="J321" t="s">
        <v>102</v>
      </c>
      <c r="K321">
        <v>0</v>
      </c>
      <c r="L321" s="15">
        <f t="shared" si="28"/>
        <v>801</v>
      </c>
      <c r="M321" s="15">
        <f t="shared" si="29"/>
        <v>1057.32</v>
      </c>
      <c r="N321" s="15">
        <f t="shared" si="30"/>
        <v>256.31999999999994</v>
      </c>
      <c r="O321" s="10">
        <f t="shared" si="31"/>
        <v>0.3199999999999999</v>
      </c>
      <c r="P321" t="str">
        <f t="shared" si="32"/>
        <v>23</v>
      </c>
      <c r="Q321" t="str">
        <f t="shared" si="33"/>
        <v>Mar</v>
      </c>
      <c r="R321" t="str">
        <f t="shared" si="34"/>
        <v>2022</v>
      </c>
    </row>
    <row r="322" spans="1:18" x14ac:dyDescent="0.2">
      <c r="A322" s="1">
        <v>44645</v>
      </c>
      <c r="B322" t="s">
        <v>6</v>
      </c>
      <c r="C322" t="str">
        <f>_xlfn.XLOOKUP(B322,PRODUCT_MASTER!$A:$A,PRODUCT_MASTER!$B:$B,2,0)</f>
        <v>Product01</v>
      </c>
      <c r="D322" t="str">
        <f>_xlfn.XLOOKUP(B322,PRODUCT_MASTER!$A:$A,PRODUCT_MASTER!$C:$C,2,0)</f>
        <v>Organic</v>
      </c>
      <c r="E322" t="str">
        <f>_xlfn.XLOOKUP(B322,PRODUCT_MASTER!$A:$A,PRODUCT_MASTER!$D:$D,2,0)</f>
        <v>Kg</v>
      </c>
      <c r="F322">
        <f>_xlfn.XLOOKUP(B322,PRODUCT_MASTER!$A:$A,PRODUCT_MASTER!$E:$E,2,0)</f>
        <v>98</v>
      </c>
      <c r="G322">
        <f>_xlfn.XLOOKUP(B322,PRODUCT_MASTER!$A:$A,PRODUCT_MASTER!$F:$F,2,0)</f>
        <v>103.88</v>
      </c>
      <c r="H322">
        <v>2</v>
      </c>
      <c r="I322" t="s">
        <v>100</v>
      </c>
      <c r="J322" t="s">
        <v>101</v>
      </c>
      <c r="K322">
        <v>0</v>
      </c>
      <c r="L322" s="15">
        <f t="shared" si="28"/>
        <v>196</v>
      </c>
      <c r="M322" s="15">
        <f t="shared" si="29"/>
        <v>207.76</v>
      </c>
      <c r="N322" s="15">
        <f t="shared" si="30"/>
        <v>11.759999999999991</v>
      </c>
      <c r="O322" s="10">
        <f t="shared" si="31"/>
        <v>5.9999999999999956E-2</v>
      </c>
      <c r="P322" t="str">
        <f t="shared" si="32"/>
        <v>25</v>
      </c>
      <c r="Q322" t="str">
        <f t="shared" si="33"/>
        <v>Mar</v>
      </c>
      <c r="R322" t="str">
        <f t="shared" si="34"/>
        <v>2022</v>
      </c>
    </row>
    <row r="323" spans="1:18" x14ac:dyDescent="0.2">
      <c r="A323" s="1">
        <v>44645</v>
      </c>
      <c r="B323" t="s">
        <v>65</v>
      </c>
      <c r="C323" t="str">
        <f>_xlfn.XLOOKUP(B323,PRODUCT_MASTER!$A:$A,PRODUCT_MASTER!$B:$B,2,0)</f>
        <v>Product30</v>
      </c>
      <c r="D323" t="str">
        <f>_xlfn.XLOOKUP(B323,PRODUCT_MASTER!$A:$A,PRODUCT_MASTER!$C:$C,2,0)</f>
        <v>Cheese And Dairy</v>
      </c>
      <c r="E323" t="str">
        <f>_xlfn.XLOOKUP(B323,PRODUCT_MASTER!$A:$A,PRODUCT_MASTER!$D:$D,2,0)</f>
        <v>Ft</v>
      </c>
      <c r="F323">
        <f>_xlfn.XLOOKUP(B323,PRODUCT_MASTER!$A:$A,PRODUCT_MASTER!$E:$E,2,0)</f>
        <v>148</v>
      </c>
      <c r="G323">
        <f>_xlfn.XLOOKUP(B323,PRODUCT_MASTER!$A:$A,PRODUCT_MASTER!$F:$F,2,0)</f>
        <v>201.28</v>
      </c>
      <c r="H323">
        <v>11</v>
      </c>
      <c r="I323" t="s">
        <v>103</v>
      </c>
      <c r="J323" t="s">
        <v>101</v>
      </c>
      <c r="K323">
        <v>0</v>
      </c>
      <c r="L323" s="15">
        <f t="shared" ref="L323:L386" si="35">F323*H323</f>
        <v>1628</v>
      </c>
      <c r="M323" s="15">
        <f t="shared" ref="M323:M386" si="36">G323*H323</f>
        <v>2214.08</v>
      </c>
      <c r="N323" s="15">
        <f t="shared" ref="N323:N386" si="37">M323-L323</f>
        <v>586.07999999999993</v>
      </c>
      <c r="O323" s="10">
        <f t="shared" ref="O323:O386" si="38">N323/L323</f>
        <v>0.35999999999999993</v>
      </c>
      <c r="P323" t="str">
        <f t="shared" ref="P323:P386" si="39">TEXT(A323,"DD")</f>
        <v>25</v>
      </c>
      <c r="Q323" t="str">
        <f t="shared" ref="Q323:Q386" si="40">TEXT(A323,"MMM")</f>
        <v>Mar</v>
      </c>
      <c r="R323" t="str">
        <f t="shared" ref="R323:R386" si="41">TEXT(A323,"YYYY")</f>
        <v>2022</v>
      </c>
    </row>
    <row r="324" spans="1:18" x14ac:dyDescent="0.2">
      <c r="A324" s="1">
        <v>44649</v>
      </c>
      <c r="B324" t="s">
        <v>69</v>
      </c>
      <c r="C324" t="str">
        <f>_xlfn.XLOOKUP(B324,PRODUCT_MASTER!$A:$A,PRODUCT_MASTER!$B:$B,2,0)</f>
        <v>Product32</v>
      </c>
      <c r="D324" t="str">
        <f>_xlfn.XLOOKUP(B324,PRODUCT_MASTER!$A:$A,PRODUCT_MASTER!$C:$C,2,0)</f>
        <v>Bakery And Desserts</v>
      </c>
      <c r="E324" t="str">
        <f>_xlfn.XLOOKUP(B324,PRODUCT_MASTER!$A:$A,PRODUCT_MASTER!$D:$D,2,0)</f>
        <v>Kg</v>
      </c>
      <c r="F324">
        <f>_xlfn.XLOOKUP(B324,PRODUCT_MASTER!$A:$A,PRODUCT_MASTER!$E:$E,2,0)</f>
        <v>89</v>
      </c>
      <c r="G324">
        <f>_xlfn.XLOOKUP(B324,PRODUCT_MASTER!$A:$A,PRODUCT_MASTER!$F:$F,2,0)</f>
        <v>117.48</v>
      </c>
      <c r="H324">
        <v>12</v>
      </c>
      <c r="I324" t="s">
        <v>101</v>
      </c>
      <c r="J324" t="s">
        <v>101</v>
      </c>
      <c r="K324">
        <v>0</v>
      </c>
      <c r="L324" s="15">
        <f t="shared" si="35"/>
        <v>1068</v>
      </c>
      <c r="M324" s="15">
        <f t="shared" si="36"/>
        <v>1409.76</v>
      </c>
      <c r="N324" s="15">
        <f t="shared" si="37"/>
        <v>341.76</v>
      </c>
      <c r="O324" s="10">
        <f t="shared" si="38"/>
        <v>0.32</v>
      </c>
      <c r="P324" t="str">
        <f t="shared" si="39"/>
        <v>29</v>
      </c>
      <c r="Q324" t="str">
        <f t="shared" si="40"/>
        <v>Mar</v>
      </c>
      <c r="R324" t="str">
        <f t="shared" si="41"/>
        <v>2022</v>
      </c>
    </row>
    <row r="325" spans="1:18" x14ac:dyDescent="0.2">
      <c r="A325" s="1">
        <v>44650</v>
      </c>
      <c r="B325" t="s">
        <v>6</v>
      </c>
      <c r="C325" t="str">
        <f>_xlfn.XLOOKUP(B325,PRODUCT_MASTER!$A:$A,PRODUCT_MASTER!$B:$B,2,0)</f>
        <v>Product01</v>
      </c>
      <c r="D325" t="str">
        <f>_xlfn.XLOOKUP(B325,PRODUCT_MASTER!$A:$A,PRODUCT_MASTER!$C:$C,2,0)</f>
        <v>Organic</v>
      </c>
      <c r="E325" t="str">
        <f>_xlfn.XLOOKUP(B325,PRODUCT_MASTER!$A:$A,PRODUCT_MASTER!$D:$D,2,0)</f>
        <v>Kg</v>
      </c>
      <c r="F325">
        <f>_xlfn.XLOOKUP(B325,PRODUCT_MASTER!$A:$A,PRODUCT_MASTER!$E:$E,2,0)</f>
        <v>98</v>
      </c>
      <c r="G325">
        <f>_xlfn.XLOOKUP(B325,PRODUCT_MASTER!$A:$A,PRODUCT_MASTER!$F:$F,2,0)</f>
        <v>103.88</v>
      </c>
      <c r="H325">
        <v>13</v>
      </c>
      <c r="I325" t="s">
        <v>101</v>
      </c>
      <c r="J325" t="s">
        <v>102</v>
      </c>
      <c r="K325">
        <v>0</v>
      </c>
      <c r="L325" s="15">
        <f t="shared" si="35"/>
        <v>1274</v>
      </c>
      <c r="M325" s="15">
        <f t="shared" si="36"/>
        <v>1350.44</v>
      </c>
      <c r="N325" s="15">
        <f t="shared" si="37"/>
        <v>76.440000000000055</v>
      </c>
      <c r="O325" s="10">
        <f t="shared" si="38"/>
        <v>6.0000000000000039E-2</v>
      </c>
      <c r="P325" t="str">
        <f t="shared" si="39"/>
        <v>30</v>
      </c>
      <c r="Q325" t="str">
        <f t="shared" si="40"/>
        <v>Mar</v>
      </c>
      <c r="R325" t="str">
        <f t="shared" si="41"/>
        <v>2022</v>
      </c>
    </row>
    <row r="326" spans="1:18" x14ac:dyDescent="0.2">
      <c r="A326" s="1">
        <v>44652</v>
      </c>
      <c r="B326" t="s">
        <v>9</v>
      </c>
      <c r="C326" t="str">
        <f>_xlfn.XLOOKUP(B326,PRODUCT_MASTER!$A:$A,PRODUCT_MASTER!$B:$B,2,0)</f>
        <v>Product02</v>
      </c>
      <c r="D326" t="str">
        <f>_xlfn.XLOOKUP(B326,PRODUCT_MASTER!$A:$A,PRODUCT_MASTER!$C:$C,2,0)</f>
        <v>Organic</v>
      </c>
      <c r="E326" t="str">
        <f>_xlfn.XLOOKUP(B326,PRODUCT_MASTER!$A:$A,PRODUCT_MASTER!$D:$D,2,0)</f>
        <v>Kg</v>
      </c>
      <c r="F326">
        <f>_xlfn.XLOOKUP(B326,PRODUCT_MASTER!$A:$A,PRODUCT_MASTER!$E:$E,2,0)</f>
        <v>105</v>
      </c>
      <c r="G326">
        <f>_xlfn.XLOOKUP(B326,PRODUCT_MASTER!$A:$A,PRODUCT_MASTER!$F:$F,2,0)</f>
        <v>142.80000000000001</v>
      </c>
      <c r="H326">
        <v>2</v>
      </c>
      <c r="I326" t="s">
        <v>101</v>
      </c>
      <c r="J326" t="s">
        <v>102</v>
      </c>
      <c r="K326">
        <v>0</v>
      </c>
      <c r="L326" s="15">
        <f t="shared" si="35"/>
        <v>210</v>
      </c>
      <c r="M326" s="15">
        <f t="shared" si="36"/>
        <v>285.60000000000002</v>
      </c>
      <c r="N326" s="15">
        <f t="shared" si="37"/>
        <v>75.600000000000023</v>
      </c>
      <c r="O326" s="10">
        <f t="shared" si="38"/>
        <v>0.3600000000000001</v>
      </c>
      <c r="P326" t="str">
        <f t="shared" si="39"/>
        <v>01</v>
      </c>
      <c r="Q326" t="str">
        <f t="shared" si="40"/>
        <v>Apr</v>
      </c>
      <c r="R326" t="str">
        <f t="shared" si="41"/>
        <v>2022</v>
      </c>
    </row>
    <row r="327" spans="1:18" x14ac:dyDescent="0.2">
      <c r="A327" s="1">
        <v>44653</v>
      </c>
      <c r="B327" t="s">
        <v>9</v>
      </c>
      <c r="C327" t="str">
        <f>_xlfn.XLOOKUP(B327,PRODUCT_MASTER!$A:$A,PRODUCT_MASTER!$B:$B,2,0)</f>
        <v>Product02</v>
      </c>
      <c r="D327" t="str">
        <f>_xlfn.XLOOKUP(B327,PRODUCT_MASTER!$A:$A,PRODUCT_MASTER!$C:$C,2,0)</f>
        <v>Organic</v>
      </c>
      <c r="E327" t="str">
        <f>_xlfn.XLOOKUP(B327,PRODUCT_MASTER!$A:$A,PRODUCT_MASTER!$D:$D,2,0)</f>
        <v>Kg</v>
      </c>
      <c r="F327">
        <f>_xlfn.XLOOKUP(B327,PRODUCT_MASTER!$A:$A,PRODUCT_MASTER!$E:$E,2,0)</f>
        <v>105</v>
      </c>
      <c r="G327">
        <f>_xlfn.XLOOKUP(B327,PRODUCT_MASTER!$A:$A,PRODUCT_MASTER!$F:$F,2,0)</f>
        <v>142.80000000000001</v>
      </c>
      <c r="H327">
        <v>3</v>
      </c>
      <c r="I327" t="s">
        <v>103</v>
      </c>
      <c r="J327" t="s">
        <v>102</v>
      </c>
      <c r="K327">
        <v>0</v>
      </c>
      <c r="L327" s="15">
        <f t="shared" si="35"/>
        <v>315</v>
      </c>
      <c r="M327" s="15">
        <f t="shared" si="36"/>
        <v>428.40000000000003</v>
      </c>
      <c r="N327" s="15">
        <f t="shared" si="37"/>
        <v>113.40000000000003</v>
      </c>
      <c r="O327" s="10">
        <f t="shared" si="38"/>
        <v>0.3600000000000001</v>
      </c>
      <c r="P327" t="str">
        <f t="shared" si="39"/>
        <v>02</v>
      </c>
      <c r="Q327" t="str">
        <f t="shared" si="40"/>
        <v>Apr</v>
      </c>
      <c r="R327" t="str">
        <f t="shared" si="41"/>
        <v>2022</v>
      </c>
    </row>
    <row r="328" spans="1:18" x14ac:dyDescent="0.2">
      <c r="A328" s="1">
        <v>44657</v>
      </c>
      <c r="B328" t="s">
        <v>85</v>
      </c>
      <c r="C328" t="str">
        <f>_xlfn.XLOOKUP(B328,PRODUCT_MASTER!$A:$A,PRODUCT_MASTER!$B:$B,2,0)</f>
        <v>Product40</v>
      </c>
      <c r="D328" t="str">
        <f>_xlfn.XLOOKUP(B328,PRODUCT_MASTER!$A:$A,PRODUCT_MASTER!$C:$C,2,0)</f>
        <v>Snacks</v>
      </c>
      <c r="E328" t="str">
        <f>_xlfn.XLOOKUP(B328,PRODUCT_MASTER!$A:$A,PRODUCT_MASTER!$D:$D,2,0)</f>
        <v>Kg</v>
      </c>
      <c r="F328">
        <f>_xlfn.XLOOKUP(B328,PRODUCT_MASTER!$A:$A,PRODUCT_MASTER!$E:$E,2,0)</f>
        <v>90</v>
      </c>
      <c r="G328">
        <f>_xlfn.XLOOKUP(B328,PRODUCT_MASTER!$A:$A,PRODUCT_MASTER!$F:$F,2,0)</f>
        <v>115.2</v>
      </c>
      <c r="H328">
        <v>2</v>
      </c>
      <c r="I328" t="s">
        <v>100</v>
      </c>
      <c r="J328" t="s">
        <v>102</v>
      </c>
      <c r="K328">
        <v>0</v>
      </c>
      <c r="L328" s="15">
        <f t="shared" si="35"/>
        <v>180</v>
      </c>
      <c r="M328" s="15">
        <f t="shared" si="36"/>
        <v>230.4</v>
      </c>
      <c r="N328" s="15">
        <f t="shared" si="37"/>
        <v>50.400000000000006</v>
      </c>
      <c r="O328" s="10">
        <f t="shared" si="38"/>
        <v>0.28000000000000003</v>
      </c>
      <c r="P328" t="str">
        <f t="shared" si="39"/>
        <v>06</v>
      </c>
      <c r="Q328" t="str">
        <f t="shared" si="40"/>
        <v>Apr</v>
      </c>
      <c r="R328" t="str">
        <f t="shared" si="41"/>
        <v>2022</v>
      </c>
    </row>
    <row r="329" spans="1:18" x14ac:dyDescent="0.2">
      <c r="A329" s="1">
        <v>44658</v>
      </c>
      <c r="B329" t="s">
        <v>57</v>
      </c>
      <c r="C329" t="str">
        <f>_xlfn.XLOOKUP(B329,PRODUCT_MASTER!$A:$A,PRODUCT_MASTER!$B:$B,2,0)</f>
        <v>Product26</v>
      </c>
      <c r="D329" t="str">
        <f>_xlfn.XLOOKUP(B329,PRODUCT_MASTER!$A:$A,PRODUCT_MASTER!$C:$C,2,0)</f>
        <v>Seafood</v>
      </c>
      <c r="E329" t="str">
        <f>_xlfn.XLOOKUP(B329,PRODUCT_MASTER!$A:$A,PRODUCT_MASTER!$D:$D,2,0)</f>
        <v>No.</v>
      </c>
      <c r="F329">
        <f>_xlfn.XLOOKUP(B329,PRODUCT_MASTER!$A:$A,PRODUCT_MASTER!$E:$E,2,0)</f>
        <v>18</v>
      </c>
      <c r="G329">
        <f>_xlfn.XLOOKUP(B329,PRODUCT_MASTER!$A:$A,PRODUCT_MASTER!$F:$F,2,0)</f>
        <v>24.66</v>
      </c>
      <c r="H329">
        <v>7</v>
      </c>
      <c r="I329" t="s">
        <v>103</v>
      </c>
      <c r="J329" t="s">
        <v>101</v>
      </c>
      <c r="K329">
        <v>0</v>
      </c>
      <c r="L329" s="15">
        <f t="shared" si="35"/>
        <v>126</v>
      </c>
      <c r="M329" s="15">
        <f t="shared" si="36"/>
        <v>172.62</v>
      </c>
      <c r="N329" s="15">
        <f t="shared" si="37"/>
        <v>46.620000000000005</v>
      </c>
      <c r="O329" s="10">
        <f t="shared" si="38"/>
        <v>0.37000000000000005</v>
      </c>
      <c r="P329" t="str">
        <f t="shared" si="39"/>
        <v>07</v>
      </c>
      <c r="Q329" t="str">
        <f t="shared" si="40"/>
        <v>Apr</v>
      </c>
      <c r="R329" t="str">
        <f t="shared" si="41"/>
        <v>2022</v>
      </c>
    </row>
    <row r="330" spans="1:18" x14ac:dyDescent="0.2">
      <c r="A330" s="1">
        <v>44660</v>
      </c>
      <c r="B330" t="s">
        <v>83</v>
      </c>
      <c r="C330" t="str">
        <f>_xlfn.XLOOKUP(B330,PRODUCT_MASTER!$A:$A,PRODUCT_MASTER!$B:$B,2,0)</f>
        <v>Product39</v>
      </c>
      <c r="D330" t="str">
        <f>_xlfn.XLOOKUP(B330,PRODUCT_MASTER!$A:$A,PRODUCT_MASTER!$C:$C,2,0)</f>
        <v>Snacks</v>
      </c>
      <c r="E330" t="str">
        <f>_xlfn.XLOOKUP(B330,PRODUCT_MASTER!$A:$A,PRODUCT_MASTER!$D:$D,2,0)</f>
        <v>No.</v>
      </c>
      <c r="F330">
        <f>_xlfn.XLOOKUP(B330,PRODUCT_MASTER!$A:$A,PRODUCT_MASTER!$E:$E,2,0)</f>
        <v>37</v>
      </c>
      <c r="G330">
        <f>_xlfn.XLOOKUP(B330,PRODUCT_MASTER!$A:$A,PRODUCT_MASTER!$F:$F,2,0)</f>
        <v>42.55</v>
      </c>
      <c r="H330">
        <v>12</v>
      </c>
      <c r="I330" t="s">
        <v>100</v>
      </c>
      <c r="J330" t="s">
        <v>102</v>
      </c>
      <c r="K330">
        <v>0</v>
      </c>
      <c r="L330" s="15">
        <f t="shared" si="35"/>
        <v>444</v>
      </c>
      <c r="M330" s="15">
        <f t="shared" si="36"/>
        <v>510.59999999999997</v>
      </c>
      <c r="N330" s="15">
        <f t="shared" si="37"/>
        <v>66.599999999999966</v>
      </c>
      <c r="O330" s="10">
        <f t="shared" si="38"/>
        <v>0.14999999999999991</v>
      </c>
      <c r="P330" t="str">
        <f t="shared" si="39"/>
        <v>09</v>
      </c>
      <c r="Q330" t="str">
        <f t="shared" si="40"/>
        <v>Apr</v>
      </c>
      <c r="R330" t="str">
        <f t="shared" si="41"/>
        <v>2022</v>
      </c>
    </row>
    <row r="331" spans="1:18" x14ac:dyDescent="0.2">
      <c r="A331" s="1">
        <v>44660</v>
      </c>
      <c r="B331" t="s">
        <v>9</v>
      </c>
      <c r="C331" t="str">
        <f>_xlfn.XLOOKUP(B331,PRODUCT_MASTER!$A:$A,PRODUCT_MASTER!$B:$B,2,0)</f>
        <v>Product02</v>
      </c>
      <c r="D331" t="str">
        <f>_xlfn.XLOOKUP(B331,PRODUCT_MASTER!$A:$A,PRODUCT_MASTER!$C:$C,2,0)</f>
        <v>Organic</v>
      </c>
      <c r="E331" t="str">
        <f>_xlfn.XLOOKUP(B331,PRODUCT_MASTER!$A:$A,PRODUCT_MASTER!$D:$D,2,0)</f>
        <v>Kg</v>
      </c>
      <c r="F331">
        <f>_xlfn.XLOOKUP(B331,PRODUCT_MASTER!$A:$A,PRODUCT_MASTER!$E:$E,2,0)</f>
        <v>105</v>
      </c>
      <c r="G331">
        <f>_xlfn.XLOOKUP(B331,PRODUCT_MASTER!$A:$A,PRODUCT_MASTER!$F:$F,2,0)</f>
        <v>142.80000000000001</v>
      </c>
      <c r="H331">
        <v>9</v>
      </c>
      <c r="I331" t="s">
        <v>101</v>
      </c>
      <c r="J331" t="s">
        <v>101</v>
      </c>
      <c r="K331">
        <v>0</v>
      </c>
      <c r="L331" s="15">
        <f t="shared" si="35"/>
        <v>945</v>
      </c>
      <c r="M331" s="15">
        <f t="shared" si="36"/>
        <v>1285.2</v>
      </c>
      <c r="N331" s="15">
        <f t="shared" si="37"/>
        <v>340.20000000000005</v>
      </c>
      <c r="O331" s="10">
        <f t="shared" si="38"/>
        <v>0.36000000000000004</v>
      </c>
      <c r="P331" t="str">
        <f t="shared" si="39"/>
        <v>09</v>
      </c>
      <c r="Q331" t="str">
        <f t="shared" si="40"/>
        <v>Apr</v>
      </c>
      <c r="R331" t="str">
        <f t="shared" si="41"/>
        <v>2022</v>
      </c>
    </row>
    <row r="332" spans="1:18" x14ac:dyDescent="0.2">
      <c r="A332" s="1">
        <v>44664</v>
      </c>
      <c r="B332" t="s">
        <v>37</v>
      </c>
      <c r="C332" t="str">
        <f>_xlfn.XLOOKUP(B332,PRODUCT_MASTER!$A:$A,PRODUCT_MASTER!$B:$B,2,0)</f>
        <v>Product16</v>
      </c>
      <c r="D332" t="str">
        <f>_xlfn.XLOOKUP(B332,PRODUCT_MASTER!$A:$A,PRODUCT_MASTER!$C:$C,2,0)</f>
        <v>Meat</v>
      </c>
      <c r="E332" t="str">
        <f>_xlfn.XLOOKUP(B332,PRODUCT_MASTER!$A:$A,PRODUCT_MASTER!$D:$D,2,0)</f>
        <v>No.</v>
      </c>
      <c r="F332">
        <f>_xlfn.XLOOKUP(B332,PRODUCT_MASTER!$A:$A,PRODUCT_MASTER!$E:$E,2,0)</f>
        <v>13</v>
      </c>
      <c r="G332">
        <f>_xlfn.XLOOKUP(B332,PRODUCT_MASTER!$A:$A,PRODUCT_MASTER!$F:$F,2,0)</f>
        <v>16.64</v>
      </c>
      <c r="H332">
        <v>14</v>
      </c>
      <c r="I332" t="s">
        <v>100</v>
      </c>
      <c r="J332" t="s">
        <v>101</v>
      </c>
      <c r="K332">
        <v>0</v>
      </c>
      <c r="L332" s="15">
        <f t="shared" si="35"/>
        <v>182</v>
      </c>
      <c r="M332" s="15">
        <f t="shared" si="36"/>
        <v>232.96</v>
      </c>
      <c r="N332" s="15">
        <f t="shared" si="37"/>
        <v>50.960000000000008</v>
      </c>
      <c r="O332" s="10">
        <f t="shared" si="38"/>
        <v>0.28000000000000003</v>
      </c>
      <c r="P332" t="str">
        <f t="shared" si="39"/>
        <v>13</v>
      </c>
      <c r="Q332" t="str">
        <f t="shared" si="40"/>
        <v>Apr</v>
      </c>
      <c r="R332" t="str">
        <f t="shared" si="41"/>
        <v>2022</v>
      </c>
    </row>
    <row r="333" spans="1:18" x14ac:dyDescent="0.2">
      <c r="A333" s="1">
        <v>44669</v>
      </c>
      <c r="B333" t="s">
        <v>87</v>
      </c>
      <c r="C333" t="str">
        <f>_xlfn.XLOOKUP(B333,PRODUCT_MASTER!$A:$A,PRODUCT_MASTER!$B:$B,2,0)</f>
        <v>Product41</v>
      </c>
      <c r="D333" t="str">
        <f>_xlfn.XLOOKUP(B333,PRODUCT_MASTER!$A:$A,PRODUCT_MASTER!$C:$C,2,0)</f>
        <v>Snacks</v>
      </c>
      <c r="E333" t="str">
        <f>_xlfn.XLOOKUP(B333,PRODUCT_MASTER!$A:$A,PRODUCT_MASTER!$D:$D,2,0)</f>
        <v>Ft</v>
      </c>
      <c r="F333">
        <f>_xlfn.XLOOKUP(B333,PRODUCT_MASTER!$A:$A,PRODUCT_MASTER!$E:$E,2,0)</f>
        <v>138</v>
      </c>
      <c r="G333">
        <f>_xlfn.XLOOKUP(B333,PRODUCT_MASTER!$A:$A,PRODUCT_MASTER!$F:$F,2,0)</f>
        <v>173.88</v>
      </c>
      <c r="H333">
        <v>9</v>
      </c>
      <c r="I333" t="s">
        <v>103</v>
      </c>
      <c r="J333" t="s">
        <v>102</v>
      </c>
      <c r="K333">
        <v>0</v>
      </c>
      <c r="L333" s="15">
        <f t="shared" si="35"/>
        <v>1242</v>
      </c>
      <c r="M333" s="15">
        <f t="shared" si="36"/>
        <v>1564.92</v>
      </c>
      <c r="N333" s="15">
        <f t="shared" si="37"/>
        <v>322.92000000000007</v>
      </c>
      <c r="O333" s="10">
        <f t="shared" si="38"/>
        <v>0.26000000000000006</v>
      </c>
      <c r="P333" t="str">
        <f t="shared" si="39"/>
        <v>18</v>
      </c>
      <c r="Q333" t="str">
        <f t="shared" si="40"/>
        <v>Apr</v>
      </c>
      <c r="R333" t="str">
        <f t="shared" si="41"/>
        <v>2022</v>
      </c>
    </row>
    <row r="334" spans="1:18" x14ac:dyDescent="0.2">
      <c r="A334" s="1">
        <v>44671</v>
      </c>
      <c r="B334" t="s">
        <v>41</v>
      </c>
      <c r="C334" t="str">
        <f>_xlfn.XLOOKUP(B334,PRODUCT_MASTER!$A:$A,PRODUCT_MASTER!$B:$B,2,0)</f>
        <v>Product18</v>
      </c>
      <c r="D334" t="str">
        <f>_xlfn.XLOOKUP(B334,PRODUCT_MASTER!$A:$A,PRODUCT_MASTER!$C:$C,2,0)</f>
        <v>Poultry</v>
      </c>
      <c r="E334" t="str">
        <f>_xlfn.XLOOKUP(B334,PRODUCT_MASTER!$A:$A,PRODUCT_MASTER!$D:$D,2,0)</f>
        <v>No.</v>
      </c>
      <c r="F334">
        <f>_xlfn.XLOOKUP(B334,PRODUCT_MASTER!$A:$A,PRODUCT_MASTER!$E:$E,2,0)</f>
        <v>37</v>
      </c>
      <c r="G334">
        <f>_xlfn.XLOOKUP(B334,PRODUCT_MASTER!$A:$A,PRODUCT_MASTER!$F:$F,2,0)</f>
        <v>49.21</v>
      </c>
      <c r="H334">
        <v>2</v>
      </c>
      <c r="I334" t="s">
        <v>100</v>
      </c>
      <c r="J334" t="s">
        <v>101</v>
      </c>
      <c r="K334">
        <v>0</v>
      </c>
      <c r="L334" s="15">
        <f t="shared" si="35"/>
        <v>74</v>
      </c>
      <c r="M334" s="15">
        <f t="shared" si="36"/>
        <v>98.42</v>
      </c>
      <c r="N334" s="15">
        <f t="shared" si="37"/>
        <v>24.42</v>
      </c>
      <c r="O334" s="10">
        <f t="shared" si="38"/>
        <v>0.33</v>
      </c>
      <c r="P334" t="str">
        <f t="shared" si="39"/>
        <v>20</v>
      </c>
      <c r="Q334" t="str">
        <f t="shared" si="40"/>
        <v>Apr</v>
      </c>
      <c r="R334" t="str">
        <f t="shared" si="41"/>
        <v>2022</v>
      </c>
    </row>
    <row r="335" spans="1:18" x14ac:dyDescent="0.2">
      <c r="A335" s="1">
        <v>44671</v>
      </c>
      <c r="B335" t="s">
        <v>29</v>
      </c>
      <c r="C335" t="str">
        <f>_xlfn.XLOOKUP(B335,PRODUCT_MASTER!$A:$A,PRODUCT_MASTER!$B:$B,2,0)</f>
        <v>Product12</v>
      </c>
      <c r="D335" t="str">
        <f>_xlfn.XLOOKUP(B335,PRODUCT_MASTER!$A:$A,PRODUCT_MASTER!$C:$C,2,0)</f>
        <v>Meat</v>
      </c>
      <c r="E335" t="str">
        <f>_xlfn.XLOOKUP(B335,PRODUCT_MASTER!$A:$A,PRODUCT_MASTER!$D:$D,2,0)</f>
        <v>Kg</v>
      </c>
      <c r="F335">
        <f>_xlfn.XLOOKUP(B335,PRODUCT_MASTER!$A:$A,PRODUCT_MASTER!$E:$E,2,0)</f>
        <v>73</v>
      </c>
      <c r="G335">
        <f>_xlfn.XLOOKUP(B335,PRODUCT_MASTER!$A:$A,PRODUCT_MASTER!$F:$F,2,0)</f>
        <v>94.17</v>
      </c>
      <c r="H335">
        <v>4</v>
      </c>
      <c r="I335" t="s">
        <v>103</v>
      </c>
      <c r="J335" t="s">
        <v>101</v>
      </c>
      <c r="K335">
        <v>0</v>
      </c>
      <c r="L335" s="15">
        <f t="shared" si="35"/>
        <v>292</v>
      </c>
      <c r="M335" s="15">
        <f t="shared" si="36"/>
        <v>376.68</v>
      </c>
      <c r="N335" s="15">
        <f t="shared" si="37"/>
        <v>84.68</v>
      </c>
      <c r="O335" s="10">
        <f t="shared" si="38"/>
        <v>0.29000000000000004</v>
      </c>
      <c r="P335" t="str">
        <f t="shared" si="39"/>
        <v>20</v>
      </c>
      <c r="Q335" t="str">
        <f t="shared" si="40"/>
        <v>Apr</v>
      </c>
      <c r="R335" t="str">
        <f t="shared" si="41"/>
        <v>2022</v>
      </c>
    </row>
    <row r="336" spans="1:18" x14ac:dyDescent="0.2">
      <c r="A336" s="1">
        <v>44672</v>
      </c>
      <c r="B336" t="s">
        <v>65</v>
      </c>
      <c r="C336" t="str">
        <f>_xlfn.XLOOKUP(B336,PRODUCT_MASTER!$A:$A,PRODUCT_MASTER!$B:$B,2,0)</f>
        <v>Product30</v>
      </c>
      <c r="D336" t="str">
        <f>_xlfn.XLOOKUP(B336,PRODUCT_MASTER!$A:$A,PRODUCT_MASTER!$C:$C,2,0)</f>
        <v>Cheese And Dairy</v>
      </c>
      <c r="E336" t="str">
        <f>_xlfn.XLOOKUP(B336,PRODUCT_MASTER!$A:$A,PRODUCT_MASTER!$D:$D,2,0)</f>
        <v>Ft</v>
      </c>
      <c r="F336">
        <f>_xlfn.XLOOKUP(B336,PRODUCT_MASTER!$A:$A,PRODUCT_MASTER!$E:$E,2,0)</f>
        <v>148</v>
      </c>
      <c r="G336">
        <f>_xlfn.XLOOKUP(B336,PRODUCT_MASTER!$A:$A,PRODUCT_MASTER!$F:$F,2,0)</f>
        <v>201.28</v>
      </c>
      <c r="H336">
        <v>2</v>
      </c>
      <c r="I336" t="s">
        <v>103</v>
      </c>
      <c r="J336" t="s">
        <v>102</v>
      </c>
      <c r="K336">
        <v>0</v>
      </c>
      <c r="L336" s="15">
        <f t="shared" si="35"/>
        <v>296</v>
      </c>
      <c r="M336" s="15">
        <f t="shared" si="36"/>
        <v>402.56</v>
      </c>
      <c r="N336" s="15">
        <f t="shared" si="37"/>
        <v>106.56</v>
      </c>
      <c r="O336" s="10">
        <f t="shared" si="38"/>
        <v>0.36</v>
      </c>
      <c r="P336" t="str">
        <f t="shared" si="39"/>
        <v>21</v>
      </c>
      <c r="Q336" t="str">
        <f t="shared" si="40"/>
        <v>Apr</v>
      </c>
      <c r="R336" t="str">
        <f t="shared" si="41"/>
        <v>2022</v>
      </c>
    </row>
    <row r="337" spans="1:18" x14ac:dyDescent="0.2">
      <c r="A337" s="1">
        <v>44672</v>
      </c>
      <c r="B337" t="s">
        <v>57</v>
      </c>
      <c r="C337" t="str">
        <f>_xlfn.XLOOKUP(B337,PRODUCT_MASTER!$A:$A,PRODUCT_MASTER!$B:$B,2,0)</f>
        <v>Product26</v>
      </c>
      <c r="D337" t="str">
        <f>_xlfn.XLOOKUP(B337,PRODUCT_MASTER!$A:$A,PRODUCT_MASTER!$C:$C,2,0)</f>
        <v>Seafood</v>
      </c>
      <c r="E337" t="str">
        <f>_xlfn.XLOOKUP(B337,PRODUCT_MASTER!$A:$A,PRODUCT_MASTER!$D:$D,2,0)</f>
        <v>No.</v>
      </c>
      <c r="F337">
        <f>_xlfn.XLOOKUP(B337,PRODUCT_MASTER!$A:$A,PRODUCT_MASTER!$E:$E,2,0)</f>
        <v>18</v>
      </c>
      <c r="G337">
        <f>_xlfn.XLOOKUP(B337,PRODUCT_MASTER!$A:$A,PRODUCT_MASTER!$F:$F,2,0)</f>
        <v>24.66</v>
      </c>
      <c r="H337">
        <v>14</v>
      </c>
      <c r="I337" t="s">
        <v>101</v>
      </c>
      <c r="J337" t="s">
        <v>101</v>
      </c>
      <c r="K337">
        <v>0</v>
      </c>
      <c r="L337" s="15">
        <f t="shared" si="35"/>
        <v>252</v>
      </c>
      <c r="M337" s="15">
        <f t="shared" si="36"/>
        <v>345.24</v>
      </c>
      <c r="N337" s="15">
        <f t="shared" si="37"/>
        <v>93.240000000000009</v>
      </c>
      <c r="O337" s="10">
        <f t="shared" si="38"/>
        <v>0.37000000000000005</v>
      </c>
      <c r="P337" t="str">
        <f t="shared" si="39"/>
        <v>21</v>
      </c>
      <c r="Q337" t="str">
        <f t="shared" si="40"/>
        <v>Apr</v>
      </c>
      <c r="R337" t="str">
        <f t="shared" si="41"/>
        <v>2022</v>
      </c>
    </row>
    <row r="338" spans="1:18" x14ac:dyDescent="0.2">
      <c r="A338" s="1">
        <v>44674</v>
      </c>
      <c r="B338" t="s">
        <v>93</v>
      </c>
      <c r="C338" t="str">
        <f>_xlfn.XLOOKUP(B338,PRODUCT_MASTER!$A:$A,PRODUCT_MASTER!$B:$B,2,0)</f>
        <v>Product44</v>
      </c>
      <c r="D338" t="str">
        <f>_xlfn.XLOOKUP(B338,PRODUCT_MASTER!$A:$A,PRODUCT_MASTER!$C:$C,2,0)</f>
        <v>Candy</v>
      </c>
      <c r="E338" t="str">
        <f>_xlfn.XLOOKUP(B338,PRODUCT_MASTER!$A:$A,PRODUCT_MASTER!$D:$D,2,0)</f>
        <v>Kg</v>
      </c>
      <c r="F338">
        <f>_xlfn.XLOOKUP(B338,PRODUCT_MASTER!$A:$A,PRODUCT_MASTER!$E:$E,2,0)</f>
        <v>76</v>
      </c>
      <c r="G338">
        <f>_xlfn.XLOOKUP(B338,PRODUCT_MASTER!$A:$A,PRODUCT_MASTER!$F:$F,2,0)</f>
        <v>82.08</v>
      </c>
      <c r="H338">
        <v>15</v>
      </c>
      <c r="I338" t="s">
        <v>101</v>
      </c>
      <c r="J338" t="s">
        <v>101</v>
      </c>
      <c r="K338">
        <v>0</v>
      </c>
      <c r="L338" s="15">
        <f t="shared" si="35"/>
        <v>1140</v>
      </c>
      <c r="M338" s="15">
        <f t="shared" si="36"/>
        <v>1231.2</v>
      </c>
      <c r="N338" s="15">
        <f t="shared" si="37"/>
        <v>91.200000000000045</v>
      </c>
      <c r="O338" s="10">
        <f t="shared" si="38"/>
        <v>8.0000000000000043E-2</v>
      </c>
      <c r="P338" t="str">
        <f t="shared" si="39"/>
        <v>23</v>
      </c>
      <c r="Q338" t="str">
        <f t="shared" si="40"/>
        <v>Apr</v>
      </c>
      <c r="R338" t="str">
        <f t="shared" si="41"/>
        <v>2022</v>
      </c>
    </row>
    <row r="339" spans="1:18" x14ac:dyDescent="0.2">
      <c r="A339" s="1">
        <v>44675</v>
      </c>
      <c r="B339" t="s">
        <v>73</v>
      </c>
      <c r="C339" t="str">
        <f>_xlfn.XLOOKUP(B339,PRODUCT_MASTER!$A:$A,PRODUCT_MASTER!$B:$B,2,0)</f>
        <v>Product34</v>
      </c>
      <c r="D339" t="str">
        <f>_xlfn.XLOOKUP(B339,PRODUCT_MASTER!$A:$A,PRODUCT_MASTER!$C:$C,2,0)</f>
        <v>Bakery And Desserts</v>
      </c>
      <c r="E339" t="str">
        <f>_xlfn.XLOOKUP(B339,PRODUCT_MASTER!$A:$A,PRODUCT_MASTER!$D:$D,2,0)</f>
        <v>Lt</v>
      </c>
      <c r="F339">
        <f>_xlfn.XLOOKUP(B339,PRODUCT_MASTER!$A:$A,PRODUCT_MASTER!$E:$E,2,0)</f>
        <v>55</v>
      </c>
      <c r="G339">
        <f>_xlfn.XLOOKUP(B339,PRODUCT_MASTER!$A:$A,PRODUCT_MASTER!$F:$F,2,0)</f>
        <v>58.3</v>
      </c>
      <c r="H339">
        <v>4</v>
      </c>
      <c r="I339" t="s">
        <v>103</v>
      </c>
      <c r="J339" t="s">
        <v>101</v>
      </c>
      <c r="K339">
        <v>0</v>
      </c>
      <c r="L339" s="15">
        <f t="shared" si="35"/>
        <v>220</v>
      </c>
      <c r="M339" s="15">
        <f t="shared" si="36"/>
        <v>233.2</v>
      </c>
      <c r="N339" s="15">
        <f t="shared" si="37"/>
        <v>13.199999999999989</v>
      </c>
      <c r="O339" s="10">
        <f t="shared" si="38"/>
        <v>5.9999999999999949E-2</v>
      </c>
      <c r="P339" t="str">
        <f t="shared" si="39"/>
        <v>24</v>
      </c>
      <c r="Q339" t="str">
        <f t="shared" si="40"/>
        <v>Apr</v>
      </c>
      <c r="R339" t="str">
        <f t="shared" si="41"/>
        <v>2022</v>
      </c>
    </row>
    <row r="340" spans="1:18" x14ac:dyDescent="0.2">
      <c r="A340" s="1">
        <v>44676</v>
      </c>
      <c r="B340" t="s">
        <v>13</v>
      </c>
      <c r="C340" t="str">
        <f>_xlfn.XLOOKUP(B340,PRODUCT_MASTER!$A:$A,PRODUCT_MASTER!$B:$B,2,0)</f>
        <v>Product04</v>
      </c>
      <c r="D340" t="str">
        <f>_xlfn.XLOOKUP(B340,PRODUCT_MASTER!$A:$A,PRODUCT_MASTER!$C:$C,2,0)</f>
        <v>Organic</v>
      </c>
      <c r="E340" t="str">
        <f>_xlfn.XLOOKUP(B340,PRODUCT_MASTER!$A:$A,PRODUCT_MASTER!$D:$D,2,0)</f>
        <v>Lt</v>
      </c>
      <c r="F340">
        <f>_xlfn.XLOOKUP(B340,PRODUCT_MASTER!$A:$A,PRODUCT_MASTER!$E:$E,2,0)</f>
        <v>44</v>
      </c>
      <c r="G340">
        <f>_xlfn.XLOOKUP(B340,PRODUCT_MASTER!$A:$A,PRODUCT_MASTER!$F:$F,2,0)</f>
        <v>48.84</v>
      </c>
      <c r="H340">
        <v>9</v>
      </c>
      <c r="I340" t="s">
        <v>103</v>
      </c>
      <c r="J340" t="s">
        <v>102</v>
      </c>
      <c r="K340">
        <v>0</v>
      </c>
      <c r="L340" s="15">
        <f t="shared" si="35"/>
        <v>396</v>
      </c>
      <c r="M340" s="15">
        <f t="shared" si="36"/>
        <v>439.56000000000006</v>
      </c>
      <c r="N340" s="15">
        <f t="shared" si="37"/>
        <v>43.560000000000059</v>
      </c>
      <c r="O340" s="10">
        <f t="shared" si="38"/>
        <v>0.11000000000000015</v>
      </c>
      <c r="P340" t="str">
        <f t="shared" si="39"/>
        <v>25</v>
      </c>
      <c r="Q340" t="str">
        <f t="shared" si="40"/>
        <v>Apr</v>
      </c>
      <c r="R340" t="str">
        <f t="shared" si="41"/>
        <v>2022</v>
      </c>
    </row>
    <row r="341" spans="1:18" x14ac:dyDescent="0.2">
      <c r="A341" s="1">
        <v>44676</v>
      </c>
      <c r="B341" t="s">
        <v>11</v>
      </c>
      <c r="C341" t="str">
        <f>_xlfn.XLOOKUP(B341,PRODUCT_MASTER!$A:$A,PRODUCT_MASTER!$B:$B,2,0)</f>
        <v>Product03</v>
      </c>
      <c r="D341" t="str">
        <f>_xlfn.XLOOKUP(B341,PRODUCT_MASTER!$A:$A,PRODUCT_MASTER!$C:$C,2,0)</f>
        <v>Organic</v>
      </c>
      <c r="E341" t="str">
        <f>_xlfn.XLOOKUP(B341,PRODUCT_MASTER!$A:$A,PRODUCT_MASTER!$D:$D,2,0)</f>
        <v>Kg</v>
      </c>
      <c r="F341">
        <f>_xlfn.XLOOKUP(B341,PRODUCT_MASTER!$A:$A,PRODUCT_MASTER!$E:$E,2,0)</f>
        <v>71</v>
      </c>
      <c r="G341">
        <f>_xlfn.XLOOKUP(B341,PRODUCT_MASTER!$A:$A,PRODUCT_MASTER!$F:$F,2,0)</f>
        <v>80.94</v>
      </c>
      <c r="H341">
        <v>8</v>
      </c>
      <c r="I341" t="s">
        <v>101</v>
      </c>
      <c r="J341" t="s">
        <v>101</v>
      </c>
      <c r="K341">
        <v>0</v>
      </c>
      <c r="L341" s="15">
        <f t="shared" si="35"/>
        <v>568</v>
      </c>
      <c r="M341" s="15">
        <f t="shared" si="36"/>
        <v>647.52</v>
      </c>
      <c r="N341" s="15">
        <f t="shared" si="37"/>
        <v>79.519999999999982</v>
      </c>
      <c r="O341" s="10">
        <f t="shared" si="38"/>
        <v>0.13999999999999996</v>
      </c>
      <c r="P341" t="str">
        <f t="shared" si="39"/>
        <v>25</v>
      </c>
      <c r="Q341" t="str">
        <f t="shared" si="40"/>
        <v>Apr</v>
      </c>
      <c r="R341" t="str">
        <f t="shared" si="41"/>
        <v>2022</v>
      </c>
    </row>
    <row r="342" spans="1:18" x14ac:dyDescent="0.2">
      <c r="A342" s="1">
        <v>44677</v>
      </c>
      <c r="B342" t="s">
        <v>59</v>
      </c>
      <c r="C342" t="str">
        <f>_xlfn.XLOOKUP(B342,PRODUCT_MASTER!$A:$A,PRODUCT_MASTER!$B:$B,2,0)</f>
        <v>Product27</v>
      </c>
      <c r="D342" t="str">
        <f>_xlfn.XLOOKUP(B342,PRODUCT_MASTER!$A:$A,PRODUCT_MASTER!$C:$C,2,0)</f>
        <v>Cheese And Dairy</v>
      </c>
      <c r="E342" t="str">
        <f>_xlfn.XLOOKUP(B342,PRODUCT_MASTER!$A:$A,PRODUCT_MASTER!$D:$D,2,0)</f>
        <v>Lt</v>
      </c>
      <c r="F342">
        <f>_xlfn.XLOOKUP(B342,PRODUCT_MASTER!$A:$A,PRODUCT_MASTER!$E:$E,2,0)</f>
        <v>48</v>
      </c>
      <c r="G342">
        <f>_xlfn.XLOOKUP(B342,PRODUCT_MASTER!$A:$A,PRODUCT_MASTER!$F:$F,2,0)</f>
        <v>57.120000000000005</v>
      </c>
      <c r="H342">
        <v>2</v>
      </c>
      <c r="I342" t="s">
        <v>103</v>
      </c>
      <c r="J342" t="s">
        <v>102</v>
      </c>
      <c r="K342">
        <v>0</v>
      </c>
      <c r="L342" s="15">
        <f t="shared" si="35"/>
        <v>96</v>
      </c>
      <c r="M342" s="15">
        <f t="shared" si="36"/>
        <v>114.24000000000001</v>
      </c>
      <c r="N342" s="15">
        <f t="shared" si="37"/>
        <v>18.240000000000009</v>
      </c>
      <c r="O342" s="10">
        <f t="shared" si="38"/>
        <v>0.19000000000000009</v>
      </c>
      <c r="P342" t="str">
        <f t="shared" si="39"/>
        <v>26</v>
      </c>
      <c r="Q342" t="str">
        <f t="shared" si="40"/>
        <v>Apr</v>
      </c>
      <c r="R342" t="str">
        <f t="shared" si="41"/>
        <v>2022</v>
      </c>
    </row>
    <row r="343" spans="1:18" x14ac:dyDescent="0.2">
      <c r="A343" s="1">
        <v>44679</v>
      </c>
      <c r="B343" t="s">
        <v>33</v>
      </c>
      <c r="C343" t="str">
        <f>_xlfn.XLOOKUP(B343,PRODUCT_MASTER!$A:$A,PRODUCT_MASTER!$B:$B,2,0)</f>
        <v>Product14</v>
      </c>
      <c r="D343" t="str">
        <f>_xlfn.XLOOKUP(B343,PRODUCT_MASTER!$A:$A,PRODUCT_MASTER!$C:$C,2,0)</f>
        <v>Meat</v>
      </c>
      <c r="E343" t="str">
        <f>_xlfn.XLOOKUP(B343,PRODUCT_MASTER!$A:$A,PRODUCT_MASTER!$D:$D,2,0)</f>
        <v>Kg</v>
      </c>
      <c r="F343">
        <f>_xlfn.XLOOKUP(B343,PRODUCT_MASTER!$A:$A,PRODUCT_MASTER!$E:$E,2,0)</f>
        <v>112</v>
      </c>
      <c r="G343">
        <f>_xlfn.XLOOKUP(B343,PRODUCT_MASTER!$A:$A,PRODUCT_MASTER!$F:$F,2,0)</f>
        <v>146.72</v>
      </c>
      <c r="H343">
        <v>14</v>
      </c>
      <c r="I343" t="s">
        <v>103</v>
      </c>
      <c r="J343" t="s">
        <v>102</v>
      </c>
      <c r="K343">
        <v>0</v>
      </c>
      <c r="L343" s="15">
        <f t="shared" si="35"/>
        <v>1568</v>
      </c>
      <c r="M343" s="15">
        <f t="shared" si="36"/>
        <v>2054.08</v>
      </c>
      <c r="N343" s="15">
        <f t="shared" si="37"/>
        <v>486.07999999999993</v>
      </c>
      <c r="O343" s="10">
        <f t="shared" si="38"/>
        <v>0.30999999999999994</v>
      </c>
      <c r="P343" t="str">
        <f t="shared" si="39"/>
        <v>28</v>
      </c>
      <c r="Q343" t="str">
        <f t="shared" si="40"/>
        <v>Apr</v>
      </c>
      <c r="R343" t="str">
        <f t="shared" si="41"/>
        <v>2022</v>
      </c>
    </row>
    <row r="344" spans="1:18" x14ac:dyDescent="0.2">
      <c r="A344" s="1">
        <v>44681</v>
      </c>
      <c r="B344" t="s">
        <v>37</v>
      </c>
      <c r="C344" t="str">
        <f>_xlfn.XLOOKUP(B344,PRODUCT_MASTER!$A:$A,PRODUCT_MASTER!$B:$B,2,0)</f>
        <v>Product16</v>
      </c>
      <c r="D344" t="str">
        <f>_xlfn.XLOOKUP(B344,PRODUCT_MASTER!$A:$A,PRODUCT_MASTER!$C:$C,2,0)</f>
        <v>Meat</v>
      </c>
      <c r="E344" t="str">
        <f>_xlfn.XLOOKUP(B344,PRODUCT_MASTER!$A:$A,PRODUCT_MASTER!$D:$D,2,0)</f>
        <v>No.</v>
      </c>
      <c r="F344">
        <f>_xlfn.XLOOKUP(B344,PRODUCT_MASTER!$A:$A,PRODUCT_MASTER!$E:$E,2,0)</f>
        <v>13</v>
      </c>
      <c r="G344">
        <f>_xlfn.XLOOKUP(B344,PRODUCT_MASTER!$A:$A,PRODUCT_MASTER!$F:$F,2,0)</f>
        <v>16.64</v>
      </c>
      <c r="H344">
        <v>13</v>
      </c>
      <c r="I344" t="s">
        <v>101</v>
      </c>
      <c r="J344" t="s">
        <v>101</v>
      </c>
      <c r="K344">
        <v>0</v>
      </c>
      <c r="L344" s="15">
        <f t="shared" si="35"/>
        <v>169</v>
      </c>
      <c r="M344" s="15">
        <f t="shared" si="36"/>
        <v>216.32</v>
      </c>
      <c r="N344" s="15">
        <f t="shared" si="37"/>
        <v>47.319999999999993</v>
      </c>
      <c r="O344" s="10">
        <f t="shared" si="38"/>
        <v>0.27999999999999997</v>
      </c>
      <c r="P344" t="str">
        <f t="shared" si="39"/>
        <v>30</v>
      </c>
      <c r="Q344" t="str">
        <f t="shared" si="40"/>
        <v>Apr</v>
      </c>
      <c r="R344" t="str">
        <f t="shared" si="41"/>
        <v>2022</v>
      </c>
    </row>
    <row r="345" spans="1:18" x14ac:dyDescent="0.2">
      <c r="A345" s="1">
        <v>44681</v>
      </c>
      <c r="B345" t="s">
        <v>59</v>
      </c>
      <c r="C345" t="str">
        <f>_xlfn.XLOOKUP(B345,PRODUCT_MASTER!$A:$A,PRODUCT_MASTER!$B:$B,2,0)</f>
        <v>Product27</v>
      </c>
      <c r="D345" t="str">
        <f>_xlfn.XLOOKUP(B345,PRODUCT_MASTER!$A:$A,PRODUCT_MASTER!$C:$C,2,0)</f>
        <v>Cheese And Dairy</v>
      </c>
      <c r="E345" t="str">
        <f>_xlfn.XLOOKUP(B345,PRODUCT_MASTER!$A:$A,PRODUCT_MASTER!$D:$D,2,0)</f>
        <v>Lt</v>
      </c>
      <c r="F345">
        <f>_xlfn.XLOOKUP(B345,PRODUCT_MASTER!$A:$A,PRODUCT_MASTER!$E:$E,2,0)</f>
        <v>48</v>
      </c>
      <c r="G345">
        <f>_xlfn.XLOOKUP(B345,PRODUCT_MASTER!$A:$A,PRODUCT_MASTER!$F:$F,2,0)</f>
        <v>57.120000000000005</v>
      </c>
      <c r="H345">
        <v>8</v>
      </c>
      <c r="I345" t="s">
        <v>103</v>
      </c>
      <c r="J345" t="s">
        <v>101</v>
      </c>
      <c r="K345">
        <v>0</v>
      </c>
      <c r="L345" s="15">
        <f t="shared" si="35"/>
        <v>384</v>
      </c>
      <c r="M345" s="15">
        <f t="shared" si="36"/>
        <v>456.96000000000004</v>
      </c>
      <c r="N345" s="15">
        <f t="shared" si="37"/>
        <v>72.960000000000036</v>
      </c>
      <c r="O345" s="10">
        <f t="shared" si="38"/>
        <v>0.19000000000000009</v>
      </c>
      <c r="P345" t="str">
        <f t="shared" si="39"/>
        <v>30</v>
      </c>
      <c r="Q345" t="str">
        <f t="shared" si="40"/>
        <v>Apr</v>
      </c>
      <c r="R345" t="str">
        <f t="shared" si="41"/>
        <v>2022</v>
      </c>
    </row>
    <row r="346" spans="1:18" x14ac:dyDescent="0.2">
      <c r="A346" s="1">
        <v>44682</v>
      </c>
      <c r="B346" t="s">
        <v>73</v>
      </c>
      <c r="C346" t="str">
        <f>_xlfn.XLOOKUP(B346,PRODUCT_MASTER!$A:$A,PRODUCT_MASTER!$B:$B,2,0)</f>
        <v>Product34</v>
      </c>
      <c r="D346" t="str">
        <f>_xlfn.XLOOKUP(B346,PRODUCT_MASTER!$A:$A,PRODUCT_MASTER!$C:$C,2,0)</f>
        <v>Bakery And Desserts</v>
      </c>
      <c r="E346" t="str">
        <f>_xlfn.XLOOKUP(B346,PRODUCT_MASTER!$A:$A,PRODUCT_MASTER!$D:$D,2,0)</f>
        <v>Lt</v>
      </c>
      <c r="F346">
        <f>_xlfn.XLOOKUP(B346,PRODUCT_MASTER!$A:$A,PRODUCT_MASTER!$E:$E,2,0)</f>
        <v>55</v>
      </c>
      <c r="G346">
        <f>_xlfn.XLOOKUP(B346,PRODUCT_MASTER!$A:$A,PRODUCT_MASTER!$F:$F,2,0)</f>
        <v>58.3</v>
      </c>
      <c r="H346">
        <v>9</v>
      </c>
      <c r="I346" t="s">
        <v>100</v>
      </c>
      <c r="J346" t="s">
        <v>101</v>
      </c>
      <c r="K346">
        <v>0</v>
      </c>
      <c r="L346" s="15">
        <f t="shared" si="35"/>
        <v>495</v>
      </c>
      <c r="M346" s="15">
        <f t="shared" si="36"/>
        <v>524.69999999999993</v>
      </c>
      <c r="N346" s="15">
        <f t="shared" si="37"/>
        <v>29.699999999999932</v>
      </c>
      <c r="O346" s="10">
        <f t="shared" si="38"/>
        <v>5.9999999999999859E-2</v>
      </c>
      <c r="P346" t="str">
        <f t="shared" si="39"/>
        <v>01</v>
      </c>
      <c r="Q346" t="str">
        <f t="shared" si="40"/>
        <v>May</v>
      </c>
      <c r="R346" t="str">
        <f t="shared" si="41"/>
        <v>2022</v>
      </c>
    </row>
    <row r="347" spans="1:18" x14ac:dyDescent="0.2">
      <c r="A347" s="1">
        <v>44682</v>
      </c>
      <c r="B347" t="s">
        <v>71</v>
      </c>
      <c r="C347" t="str">
        <f>_xlfn.XLOOKUP(B347,PRODUCT_MASTER!$A:$A,PRODUCT_MASTER!$B:$B,2,0)</f>
        <v>Product33</v>
      </c>
      <c r="D347" t="str">
        <f>_xlfn.XLOOKUP(B347,PRODUCT_MASTER!$A:$A,PRODUCT_MASTER!$C:$C,2,0)</f>
        <v>Bakery And Desserts</v>
      </c>
      <c r="E347" t="str">
        <f>_xlfn.XLOOKUP(B347,PRODUCT_MASTER!$A:$A,PRODUCT_MASTER!$D:$D,2,0)</f>
        <v>Kg</v>
      </c>
      <c r="F347">
        <f>_xlfn.XLOOKUP(B347,PRODUCT_MASTER!$A:$A,PRODUCT_MASTER!$E:$E,2,0)</f>
        <v>95</v>
      </c>
      <c r="G347">
        <f>_xlfn.XLOOKUP(B347,PRODUCT_MASTER!$A:$A,PRODUCT_MASTER!$F:$F,2,0)</f>
        <v>119.7</v>
      </c>
      <c r="H347">
        <v>6</v>
      </c>
      <c r="I347" t="s">
        <v>101</v>
      </c>
      <c r="J347" t="s">
        <v>101</v>
      </c>
      <c r="K347">
        <v>0</v>
      </c>
      <c r="L347" s="15">
        <f t="shared" si="35"/>
        <v>570</v>
      </c>
      <c r="M347" s="15">
        <f t="shared" si="36"/>
        <v>718.2</v>
      </c>
      <c r="N347" s="15">
        <f t="shared" si="37"/>
        <v>148.20000000000005</v>
      </c>
      <c r="O347" s="10">
        <f t="shared" si="38"/>
        <v>0.26000000000000006</v>
      </c>
      <c r="P347" t="str">
        <f t="shared" si="39"/>
        <v>01</v>
      </c>
      <c r="Q347" t="str">
        <f t="shared" si="40"/>
        <v>May</v>
      </c>
      <c r="R347" t="str">
        <f t="shared" si="41"/>
        <v>2022</v>
      </c>
    </row>
    <row r="348" spans="1:18" x14ac:dyDescent="0.2">
      <c r="A348" s="1">
        <v>44683</v>
      </c>
      <c r="B348" t="s">
        <v>31</v>
      </c>
      <c r="C348" t="str">
        <f>_xlfn.XLOOKUP(B348,PRODUCT_MASTER!$A:$A,PRODUCT_MASTER!$B:$B,2,0)</f>
        <v>Product13</v>
      </c>
      <c r="D348" t="str">
        <f>_xlfn.XLOOKUP(B348,PRODUCT_MASTER!$A:$A,PRODUCT_MASTER!$C:$C,2,0)</f>
        <v>Meat</v>
      </c>
      <c r="E348" t="str">
        <f>_xlfn.XLOOKUP(B348,PRODUCT_MASTER!$A:$A,PRODUCT_MASTER!$D:$D,2,0)</f>
        <v>Kg</v>
      </c>
      <c r="F348">
        <f>_xlfn.XLOOKUP(B348,PRODUCT_MASTER!$A:$A,PRODUCT_MASTER!$E:$E,2,0)</f>
        <v>112</v>
      </c>
      <c r="G348">
        <f>_xlfn.XLOOKUP(B348,PRODUCT_MASTER!$A:$A,PRODUCT_MASTER!$F:$F,2,0)</f>
        <v>122.08</v>
      </c>
      <c r="H348">
        <v>4</v>
      </c>
      <c r="I348" t="s">
        <v>101</v>
      </c>
      <c r="J348" t="s">
        <v>102</v>
      </c>
      <c r="K348">
        <v>0</v>
      </c>
      <c r="L348" s="15">
        <f t="shared" si="35"/>
        <v>448</v>
      </c>
      <c r="M348" s="15">
        <f t="shared" si="36"/>
        <v>488.32</v>
      </c>
      <c r="N348" s="15">
        <f t="shared" si="37"/>
        <v>40.319999999999993</v>
      </c>
      <c r="O348" s="10">
        <f t="shared" si="38"/>
        <v>8.9999999999999983E-2</v>
      </c>
      <c r="P348" t="str">
        <f t="shared" si="39"/>
        <v>02</v>
      </c>
      <c r="Q348" t="str">
        <f t="shared" si="40"/>
        <v>May</v>
      </c>
      <c r="R348" t="str">
        <f t="shared" si="41"/>
        <v>2022</v>
      </c>
    </row>
    <row r="349" spans="1:18" x14ac:dyDescent="0.2">
      <c r="A349" s="1">
        <v>44685</v>
      </c>
      <c r="B349" t="s">
        <v>45</v>
      </c>
      <c r="C349" t="str">
        <f>_xlfn.XLOOKUP(B349,PRODUCT_MASTER!$A:$A,PRODUCT_MASTER!$B:$B,2,0)</f>
        <v>Product20</v>
      </c>
      <c r="D349" t="str">
        <f>_xlfn.XLOOKUP(B349,PRODUCT_MASTER!$A:$A,PRODUCT_MASTER!$C:$C,2,0)</f>
        <v>Poultry</v>
      </c>
      <c r="E349" t="str">
        <f>_xlfn.XLOOKUP(B349,PRODUCT_MASTER!$A:$A,PRODUCT_MASTER!$D:$D,2,0)</f>
        <v>Lt</v>
      </c>
      <c r="F349">
        <f>_xlfn.XLOOKUP(B349,PRODUCT_MASTER!$A:$A,PRODUCT_MASTER!$E:$E,2,0)</f>
        <v>61</v>
      </c>
      <c r="G349">
        <f>_xlfn.XLOOKUP(B349,PRODUCT_MASTER!$A:$A,PRODUCT_MASTER!$F:$F,2,0)</f>
        <v>76.25</v>
      </c>
      <c r="H349">
        <v>10</v>
      </c>
      <c r="I349" t="s">
        <v>103</v>
      </c>
      <c r="J349" t="s">
        <v>101</v>
      </c>
      <c r="K349">
        <v>0</v>
      </c>
      <c r="L349" s="15">
        <f t="shared" si="35"/>
        <v>610</v>
      </c>
      <c r="M349" s="15">
        <f t="shared" si="36"/>
        <v>762.5</v>
      </c>
      <c r="N349" s="15">
        <f t="shared" si="37"/>
        <v>152.5</v>
      </c>
      <c r="O349" s="10">
        <f t="shared" si="38"/>
        <v>0.25</v>
      </c>
      <c r="P349" t="str">
        <f t="shared" si="39"/>
        <v>04</v>
      </c>
      <c r="Q349" t="str">
        <f t="shared" si="40"/>
        <v>May</v>
      </c>
      <c r="R349" t="str">
        <f t="shared" si="41"/>
        <v>2022</v>
      </c>
    </row>
    <row r="350" spans="1:18" x14ac:dyDescent="0.2">
      <c r="A350" s="1">
        <v>44687</v>
      </c>
      <c r="B350" t="s">
        <v>73</v>
      </c>
      <c r="C350" t="str">
        <f>_xlfn.XLOOKUP(B350,PRODUCT_MASTER!$A:$A,PRODUCT_MASTER!$B:$B,2,0)</f>
        <v>Product34</v>
      </c>
      <c r="D350" t="str">
        <f>_xlfn.XLOOKUP(B350,PRODUCT_MASTER!$A:$A,PRODUCT_MASTER!$C:$C,2,0)</f>
        <v>Bakery And Desserts</v>
      </c>
      <c r="E350" t="str">
        <f>_xlfn.XLOOKUP(B350,PRODUCT_MASTER!$A:$A,PRODUCT_MASTER!$D:$D,2,0)</f>
        <v>Lt</v>
      </c>
      <c r="F350">
        <f>_xlfn.XLOOKUP(B350,PRODUCT_MASTER!$A:$A,PRODUCT_MASTER!$E:$E,2,0)</f>
        <v>55</v>
      </c>
      <c r="G350">
        <f>_xlfn.XLOOKUP(B350,PRODUCT_MASTER!$A:$A,PRODUCT_MASTER!$F:$F,2,0)</f>
        <v>58.3</v>
      </c>
      <c r="H350">
        <v>7</v>
      </c>
      <c r="I350" t="s">
        <v>103</v>
      </c>
      <c r="J350" t="s">
        <v>101</v>
      </c>
      <c r="K350">
        <v>0</v>
      </c>
      <c r="L350" s="15">
        <f t="shared" si="35"/>
        <v>385</v>
      </c>
      <c r="M350" s="15">
        <f t="shared" si="36"/>
        <v>408.09999999999997</v>
      </c>
      <c r="N350" s="15">
        <f t="shared" si="37"/>
        <v>23.099999999999966</v>
      </c>
      <c r="O350" s="10">
        <f t="shared" si="38"/>
        <v>5.9999999999999915E-2</v>
      </c>
      <c r="P350" t="str">
        <f t="shared" si="39"/>
        <v>06</v>
      </c>
      <c r="Q350" t="str">
        <f t="shared" si="40"/>
        <v>May</v>
      </c>
      <c r="R350" t="str">
        <f t="shared" si="41"/>
        <v>2022</v>
      </c>
    </row>
    <row r="351" spans="1:18" x14ac:dyDescent="0.2">
      <c r="A351" s="1">
        <v>44688</v>
      </c>
      <c r="B351" t="s">
        <v>35</v>
      </c>
      <c r="C351" t="str">
        <f>_xlfn.XLOOKUP(B351,PRODUCT_MASTER!$A:$A,PRODUCT_MASTER!$B:$B,2,0)</f>
        <v>Product15</v>
      </c>
      <c r="D351" t="str">
        <f>_xlfn.XLOOKUP(B351,PRODUCT_MASTER!$A:$A,PRODUCT_MASTER!$C:$C,2,0)</f>
        <v>Meat</v>
      </c>
      <c r="E351" t="str">
        <f>_xlfn.XLOOKUP(B351,PRODUCT_MASTER!$A:$A,PRODUCT_MASTER!$D:$D,2,0)</f>
        <v>No.</v>
      </c>
      <c r="F351">
        <f>_xlfn.XLOOKUP(B351,PRODUCT_MASTER!$A:$A,PRODUCT_MASTER!$E:$E,2,0)</f>
        <v>12</v>
      </c>
      <c r="G351">
        <f>_xlfn.XLOOKUP(B351,PRODUCT_MASTER!$A:$A,PRODUCT_MASTER!$F:$F,2,0)</f>
        <v>15.719999999999999</v>
      </c>
      <c r="H351">
        <v>4</v>
      </c>
      <c r="I351" t="s">
        <v>101</v>
      </c>
      <c r="J351" t="s">
        <v>102</v>
      </c>
      <c r="K351">
        <v>0</v>
      </c>
      <c r="L351" s="15">
        <f t="shared" si="35"/>
        <v>48</v>
      </c>
      <c r="M351" s="15">
        <f t="shared" si="36"/>
        <v>62.879999999999995</v>
      </c>
      <c r="N351" s="15">
        <f t="shared" si="37"/>
        <v>14.879999999999995</v>
      </c>
      <c r="O351" s="10">
        <f t="shared" si="38"/>
        <v>0.30999999999999989</v>
      </c>
      <c r="P351" t="str">
        <f t="shared" si="39"/>
        <v>07</v>
      </c>
      <c r="Q351" t="str">
        <f t="shared" si="40"/>
        <v>May</v>
      </c>
      <c r="R351" t="str">
        <f t="shared" si="41"/>
        <v>2022</v>
      </c>
    </row>
    <row r="352" spans="1:18" x14ac:dyDescent="0.2">
      <c r="A352" s="1">
        <v>44688</v>
      </c>
      <c r="B352" t="s">
        <v>59</v>
      </c>
      <c r="C352" t="str">
        <f>_xlfn.XLOOKUP(B352,PRODUCT_MASTER!$A:$A,PRODUCT_MASTER!$B:$B,2,0)</f>
        <v>Product27</v>
      </c>
      <c r="D352" t="str">
        <f>_xlfn.XLOOKUP(B352,PRODUCT_MASTER!$A:$A,PRODUCT_MASTER!$C:$C,2,0)</f>
        <v>Cheese And Dairy</v>
      </c>
      <c r="E352" t="str">
        <f>_xlfn.XLOOKUP(B352,PRODUCT_MASTER!$A:$A,PRODUCT_MASTER!$D:$D,2,0)</f>
        <v>Lt</v>
      </c>
      <c r="F352">
        <f>_xlfn.XLOOKUP(B352,PRODUCT_MASTER!$A:$A,PRODUCT_MASTER!$E:$E,2,0)</f>
        <v>48</v>
      </c>
      <c r="G352">
        <f>_xlfn.XLOOKUP(B352,PRODUCT_MASTER!$A:$A,PRODUCT_MASTER!$F:$F,2,0)</f>
        <v>57.120000000000005</v>
      </c>
      <c r="H352">
        <v>1</v>
      </c>
      <c r="I352" t="s">
        <v>101</v>
      </c>
      <c r="J352" t="s">
        <v>101</v>
      </c>
      <c r="K352">
        <v>0</v>
      </c>
      <c r="L352" s="15">
        <f t="shared" si="35"/>
        <v>48</v>
      </c>
      <c r="M352" s="15">
        <f t="shared" si="36"/>
        <v>57.120000000000005</v>
      </c>
      <c r="N352" s="15">
        <f t="shared" si="37"/>
        <v>9.1200000000000045</v>
      </c>
      <c r="O352" s="10">
        <f t="shared" si="38"/>
        <v>0.19000000000000009</v>
      </c>
      <c r="P352" t="str">
        <f t="shared" si="39"/>
        <v>07</v>
      </c>
      <c r="Q352" t="str">
        <f t="shared" si="40"/>
        <v>May</v>
      </c>
      <c r="R352" t="str">
        <f t="shared" si="41"/>
        <v>2022</v>
      </c>
    </row>
    <row r="353" spans="1:18" x14ac:dyDescent="0.2">
      <c r="A353" s="1">
        <v>44689</v>
      </c>
      <c r="B353" t="s">
        <v>49</v>
      </c>
      <c r="C353" t="str">
        <f>_xlfn.XLOOKUP(B353,PRODUCT_MASTER!$A:$A,PRODUCT_MASTER!$B:$B,2,0)</f>
        <v>Product22</v>
      </c>
      <c r="D353" t="str">
        <f>_xlfn.XLOOKUP(B353,PRODUCT_MASTER!$A:$A,PRODUCT_MASTER!$C:$C,2,0)</f>
        <v>Seafood</v>
      </c>
      <c r="E353" t="str">
        <f>_xlfn.XLOOKUP(B353,PRODUCT_MASTER!$A:$A,PRODUCT_MASTER!$D:$D,2,0)</f>
        <v>Ft</v>
      </c>
      <c r="F353">
        <f>_xlfn.XLOOKUP(B353,PRODUCT_MASTER!$A:$A,PRODUCT_MASTER!$E:$E,2,0)</f>
        <v>121</v>
      </c>
      <c r="G353">
        <f>_xlfn.XLOOKUP(B353,PRODUCT_MASTER!$A:$A,PRODUCT_MASTER!$F:$F,2,0)</f>
        <v>141.57</v>
      </c>
      <c r="H353">
        <v>7</v>
      </c>
      <c r="I353" t="s">
        <v>101</v>
      </c>
      <c r="J353" t="s">
        <v>101</v>
      </c>
      <c r="K353">
        <v>0</v>
      </c>
      <c r="L353" s="15">
        <f t="shared" si="35"/>
        <v>847</v>
      </c>
      <c r="M353" s="15">
        <f t="shared" si="36"/>
        <v>990.99</v>
      </c>
      <c r="N353" s="15">
        <f t="shared" si="37"/>
        <v>143.99</v>
      </c>
      <c r="O353" s="10">
        <f t="shared" si="38"/>
        <v>0.17</v>
      </c>
      <c r="P353" t="str">
        <f t="shared" si="39"/>
        <v>08</v>
      </c>
      <c r="Q353" t="str">
        <f t="shared" si="40"/>
        <v>May</v>
      </c>
      <c r="R353" t="str">
        <f t="shared" si="41"/>
        <v>2022</v>
      </c>
    </row>
    <row r="354" spans="1:18" x14ac:dyDescent="0.2">
      <c r="A354" s="1">
        <v>44690</v>
      </c>
      <c r="B354" t="s">
        <v>39</v>
      </c>
      <c r="C354" t="str">
        <f>_xlfn.XLOOKUP(B354,PRODUCT_MASTER!$A:$A,PRODUCT_MASTER!$B:$B,2,0)</f>
        <v>Product17</v>
      </c>
      <c r="D354" t="str">
        <f>_xlfn.XLOOKUP(B354,PRODUCT_MASTER!$A:$A,PRODUCT_MASTER!$C:$C,2,0)</f>
        <v>Poultry</v>
      </c>
      <c r="E354" t="str">
        <f>_xlfn.XLOOKUP(B354,PRODUCT_MASTER!$A:$A,PRODUCT_MASTER!$D:$D,2,0)</f>
        <v>Ft</v>
      </c>
      <c r="F354">
        <f>_xlfn.XLOOKUP(B354,PRODUCT_MASTER!$A:$A,PRODUCT_MASTER!$E:$E,2,0)</f>
        <v>134</v>
      </c>
      <c r="G354">
        <f>_xlfn.XLOOKUP(B354,PRODUCT_MASTER!$A:$A,PRODUCT_MASTER!$F:$F,2,0)</f>
        <v>156.78</v>
      </c>
      <c r="H354">
        <v>12</v>
      </c>
      <c r="I354" t="s">
        <v>100</v>
      </c>
      <c r="J354" t="s">
        <v>102</v>
      </c>
      <c r="K354">
        <v>0</v>
      </c>
      <c r="L354" s="15">
        <f t="shared" si="35"/>
        <v>1608</v>
      </c>
      <c r="M354" s="15">
        <f t="shared" si="36"/>
        <v>1881.3600000000001</v>
      </c>
      <c r="N354" s="15">
        <f t="shared" si="37"/>
        <v>273.36000000000013</v>
      </c>
      <c r="O354" s="10">
        <f t="shared" si="38"/>
        <v>0.17000000000000007</v>
      </c>
      <c r="P354" t="str">
        <f t="shared" si="39"/>
        <v>09</v>
      </c>
      <c r="Q354" t="str">
        <f t="shared" si="40"/>
        <v>May</v>
      </c>
      <c r="R354" t="str">
        <f t="shared" si="41"/>
        <v>2022</v>
      </c>
    </row>
    <row r="355" spans="1:18" x14ac:dyDescent="0.2">
      <c r="A355" s="1">
        <v>44691</v>
      </c>
      <c r="B355" t="s">
        <v>23</v>
      </c>
      <c r="C355" t="str">
        <f>_xlfn.XLOOKUP(B355,PRODUCT_MASTER!$A:$A,PRODUCT_MASTER!$B:$B,2,0)</f>
        <v>Product09</v>
      </c>
      <c r="D355" t="str">
        <f>_xlfn.XLOOKUP(B355,PRODUCT_MASTER!$A:$A,PRODUCT_MASTER!$C:$C,2,0)</f>
        <v>Gourmet Foods</v>
      </c>
      <c r="E355" t="str">
        <f>_xlfn.XLOOKUP(B355,PRODUCT_MASTER!$A:$A,PRODUCT_MASTER!$D:$D,2,0)</f>
        <v>No.</v>
      </c>
      <c r="F355">
        <f>_xlfn.XLOOKUP(B355,PRODUCT_MASTER!$A:$A,PRODUCT_MASTER!$E:$E,2,0)</f>
        <v>6</v>
      </c>
      <c r="G355">
        <f>_xlfn.XLOOKUP(B355,PRODUCT_MASTER!$A:$A,PRODUCT_MASTER!$F:$F,2,0)</f>
        <v>7.8599999999999994</v>
      </c>
      <c r="H355">
        <v>6</v>
      </c>
      <c r="I355" t="s">
        <v>103</v>
      </c>
      <c r="J355" t="s">
        <v>101</v>
      </c>
      <c r="K355">
        <v>0</v>
      </c>
      <c r="L355" s="15">
        <f t="shared" si="35"/>
        <v>36</v>
      </c>
      <c r="M355" s="15">
        <f t="shared" si="36"/>
        <v>47.16</v>
      </c>
      <c r="N355" s="15">
        <f t="shared" si="37"/>
        <v>11.159999999999997</v>
      </c>
      <c r="O355" s="10">
        <f t="shared" si="38"/>
        <v>0.30999999999999989</v>
      </c>
      <c r="P355" t="str">
        <f t="shared" si="39"/>
        <v>10</v>
      </c>
      <c r="Q355" t="str">
        <f t="shared" si="40"/>
        <v>May</v>
      </c>
      <c r="R355" t="str">
        <f t="shared" si="41"/>
        <v>2022</v>
      </c>
    </row>
    <row r="356" spans="1:18" x14ac:dyDescent="0.2">
      <c r="A356" s="1">
        <v>44693</v>
      </c>
      <c r="B356" t="s">
        <v>27</v>
      </c>
      <c r="C356" t="str">
        <f>_xlfn.XLOOKUP(B356,PRODUCT_MASTER!$A:$A,PRODUCT_MASTER!$B:$B,2,0)</f>
        <v>Product11</v>
      </c>
      <c r="D356" t="str">
        <f>_xlfn.XLOOKUP(B356,PRODUCT_MASTER!$A:$A,PRODUCT_MASTER!$C:$C,2,0)</f>
        <v>Gourmet Foods</v>
      </c>
      <c r="E356" t="str">
        <f>_xlfn.XLOOKUP(B356,PRODUCT_MASTER!$A:$A,PRODUCT_MASTER!$D:$D,2,0)</f>
        <v>Lt</v>
      </c>
      <c r="F356">
        <f>_xlfn.XLOOKUP(B356,PRODUCT_MASTER!$A:$A,PRODUCT_MASTER!$E:$E,2,0)</f>
        <v>44</v>
      </c>
      <c r="G356">
        <f>_xlfn.XLOOKUP(B356,PRODUCT_MASTER!$A:$A,PRODUCT_MASTER!$F:$F,2,0)</f>
        <v>48.4</v>
      </c>
      <c r="H356">
        <v>7</v>
      </c>
      <c r="I356" t="s">
        <v>101</v>
      </c>
      <c r="J356" t="s">
        <v>102</v>
      </c>
      <c r="K356">
        <v>0</v>
      </c>
      <c r="L356" s="15">
        <f t="shared" si="35"/>
        <v>308</v>
      </c>
      <c r="M356" s="15">
        <f t="shared" si="36"/>
        <v>338.8</v>
      </c>
      <c r="N356" s="15">
        <f t="shared" si="37"/>
        <v>30.800000000000011</v>
      </c>
      <c r="O356" s="10">
        <f t="shared" si="38"/>
        <v>0.10000000000000003</v>
      </c>
      <c r="P356" t="str">
        <f t="shared" si="39"/>
        <v>12</v>
      </c>
      <c r="Q356" t="str">
        <f t="shared" si="40"/>
        <v>May</v>
      </c>
      <c r="R356" t="str">
        <f t="shared" si="41"/>
        <v>2022</v>
      </c>
    </row>
    <row r="357" spans="1:18" x14ac:dyDescent="0.2">
      <c r="A357" s="1">
        <v>44694</v>
      </c>
      <c r="B357" t="s">
        <v>29</v>
      </c>
      <c r="C357" t="str">
        <f>_xlfn.XLOOKUP(B357,PRODUCT_MASTER!$A:$A,PRODUCT_MASTER!$B:$B,2,0)</f>
        <v>Product12</v>
      </c>
      <c r="D357" t="str">
        <f>_xlfn.XLOOKUP(B357,PRODUCT_MASTER!$A:$A,PRODUCT_MASTER!$C:$C,2,0)</f>
        <v>Meat</v>
      </c>
      <c r="E357" t="str">
        <f>_xlfn.XLOOKUP(B357,PRODUCT_MASTER!$A:$A,PRODUCT_MASTER!$D:$D,2,0)</f>
        <v>Kg</v>
      </c>
      <c r="F357">
        <f>_xlfn.XLOOKUP(B357,PRODUCT_MASTER!$A:$A,PRODUCT_MASTER!$E:$E,2,0)</f>
        <v>73</v>
      </c>
      <c r="G357">
        <f>_xlfn.XLOOKUP(B357,PRODUCT_MASTER!$A:$A,PRODUCT_MASTER!$F:$F,2,0)</f>
        <v>94.17</v>
      </c>
      <c r="H357">
        <v>5</v>
      </c>
      <c r="I357" t="s">
        <v>103</v>
      </c>
      <c r="J357" t="s">
        <v>101</v>
      </c>
      <c r="K357">
        <v>0</v>
      </c>
      <c r="L357" s="15">
        <f t="shared" si="35"/>
        <v>365</v>
      </c>
      <c r="M357" s="15">
        <f t="shared" si="36"/>
        <v>470.85</v>
      </c>
      <c r="N357" s="15">
        <f t="shared" si="37"/>
        <v>105.85000000000002</v>
      </c>
      <c r="O357" s="10">
        <f t="shared" si="38"/>
        <v>0.29000000000000004</v>
      </c>
      <c r="P357" t="str">
        <f t="shared" si="39"/>
        <v>13</v>
      </c>
      <c r="Q357" t="str">
        <f t="shared" si="40"/>
        <v>May</v>
      </c>
      <c r="R357" t="str">
        <f t="shared" si="41"/>
        <v>2022</v>
      </c>
    </row>
    <row r="358" spans="1:18" x14ac:dyDescent="0.2">
      <c r="A358" s="1">
        <v>44695</v>
      </c>
      <c r="B358" t="s">
        <v>21</v>
      </c>
      <c r="C358" t="str">
        <f>_xlfn.XLOOKUP(B358,PRODUCT_MASTER!$A:$A,PRODUCT_MASTER!$B:$B,2,0)</f>
        <v>Product08</v>
      </c>
      <c r="D358" t="str">
        <f>_xlfn.XLOOKUP(B358,PRODUCT_MASTER!$A:$A,PRODUCT_MASTER!$C:$C,2,0)</f>
        <v>Gourmet Foods</v>
      </c>
      <c r="E358" t="str">
        <f>_xlfn.XLOOKUP(B358,PRODUCT_MASTER!$A:$A,PRODUCT_MASTER!$D:$D,2,0)</f>
        <v>Kg</v>
      </c>
      <c r="F358">
        <f>_xlfn.XLOOKUP(B358,PRODUCT_MASTER!$A:$A,PRODUCT_MASTER!$E:$E,2,0)</f>
        <v>83</v>
      </c>
      <c r="G358">
        <f>_xlfn.XLOOKUP(B358,PRODUCT_MASTER!$A:$A,PRODUCT_MASTER!$F:$F,2,0)</f>
        <v>94.62</v>
      </c>
      <c r="H358">
        <v>14</v>
      </c>
      <c r="I358" t="s">
        <v>103</v>
      </c>
      <c r="J358" t="s">
        <v>102</v>
      </c>
      <c r="K358">
        <v>0</v>
      </c>
      <c r="L358" s="15">
        <f t="shared" si="35"/>
        <v>1162</v>
      </c>
      <c r="M358" s="15">
        <f t="shared" si="36"/>
        <v>1324.68</v>
      </c>
      <c r="N358" s="15">
        <f t="shared" si="37"/>
        <v>162.68000000000006</v>
      </c>
      <c r="O358" s="10">
        <f t="shared" si="38"/>
        <v>0.14000000000000004</v>
      </c>
      <c r="P358" t="str">
        <f t="shared" si="39"/>
        <v>14</v>
      </c>
      <c r="Q358" t="str">
        <f t="shared" si="40"/>
        <v>May</v>
      </c>
      <c r="R358" t="str">
        <f t="shared" si="41"/>
        <v>2022</v>
      </c>
    </row>
    <row r="359" spans="1:18" x14ac:dyDescent="0.2">
      <c r="A359" s="1">
        <v>44696</v>
      </c>
      <c r="B359" t="s">
        <v>45</v>
      </c>
      <c r="C359" t="str">
        <f>_xlfn.XLOOKUP(B359,PRODUCT_MASTER!$A:$A,PRODUCT_MASTER!$B:$B,2,0)</f>
        <v>Product20</v>
      </c>
      <c r="D359" t="str">
        <f>_xlfn.XLOOKUP(B359,PRODUCT_MASTER!$A:$A,PRODUCT_MASTER!$C:$C,2,0)</f>
        <v>Poultry</v>
      </c>
      <c r="E359" t="str">
        <f>_xlfn.XLOOKUP(B359,PRODUCT_MASTER!$A:$A,PRODUCT_MASTER!$D:$D,2,0)</f>
        <v>Lt</v>
      </c>
      <c r="F359">
        <f>_xlfn.XLOOKUP(B359,PRODUCT_MASTER!$A:$A,PRODUCT_MASTER!$E:$E,2,0)</f>
        <v>61</v>
      </c>
      <c r="G359">
        <f>_xlfn.XLOOKUP(B359,PRODUCT_MASTER!$A:$A,PRODUCT_MASTER!$F:$F,2,0)</f>
        <v>76.25</v>
      </c>
      <c r="H359">
        <v>5</v>
      </c>
      <c r="I359" t="s">
        <v>101</v>
      </c>
      <c r="J359" t="s">
        <v>101</v>
      </c>
      <c r="K359">
        <v>0</v>
      </c>
      <c r="L359" s="15">
        <f t="shared" si="35"/>
        <v>305</v>
      </c>
      <c r="M359" s="15">
        <f t="shared" si="36"/>
        <v>381.25</v>
      </c>
      <c r="N359" s="15">
        <f t="shared" si="37"/>
        <v>76.25</v>
      </c>
      <c r="O359" s="10">
        <f t="shared" si="38"/>
        <v>0.25</v>
      </c>
      <c r="P359" t="str">
        <f t="shared" si="39"/>
        <v>15</v>
      </c>
      <c r="Q359" t="str">
        <f t="shared" si="40"/>
        <v>May</v>
      </c>
      <c r="R359" t="str">
        <f t="shared" si="41"/>
        <v>2022</v>
      </c>
    </row>
    <row r="360" spans="1:18" x14ac:dyDescent="0.2">
      <c r="A360" s="1">
        <v>44697</v>
      </c>
      <c r="B360" t="s">
        <v>25</v>
      </c>
      <c r="C360" t="str">
        <f>_xlfn.XLOOKUP(B360,PRODUCT_MASTER!$A:$A,PRODUCT_MASTER!$B:$B,2,0)</f>
        <v>Product10</v>
      </c>
      <c r="D360" t="str">
        <f>_xlfn.XLOOKUP(B360,PRODUCT_MASTER!$A:$A,PRODUCT_MASTER!$C:$C,2,0)</f>
        <v>Gourmet Foods</v>
      </c>
      <c r="E360" t="str">
        <f>_xlfn.XLOOKUP(B360,PRODUCT_MASTER!$A:$A,PRODUCT_MASTER!$D:$D,2,0)</f>
        <v>Ft</v>
      </c>
      <c r="F360">
        <f>_xlfn.XLOOKUP(B360,PRODUCT_MASTER!$A:$A,PRODUCT_MASTER!$E:$E,2,0)</f>
        <v>148</v>
      </c>
      <c r="G360">
        <f>_xlfn.XLOOKUP(B360,PRODUCT_MASTER!$A:$A,PRODUCT_MASTER!$F:$F,2,0)</f>
        <v>164.28</v>
      </c>
      <c r="H360">
        <v>13</v>
      </c>
      <c r="I360" t="s">
        <v>103</v>
      </c>
      <c r="J360" t="s">
        <v>102</v>
      </c>
      <c r="K360">
        <v>0</v>
      </c>
      <c r="L360" s="15">
        <f t="shared" si="35"/>
        <v>1924</v>
      </c>
      <c r="M360" s="15">
        <f t="shared" si="36"/>
        <v>2135.64</v>
      </c>
      <c r="N360" s="15">
        <f t="shared" si="37"/>
        <v>211.63999999999987</v>
      </c>
      <c r="O360" s="10">
        <f t="shared" si="38"/>
        <v>0.10999999999999993</v>
      </c>
      <c r="P360" t="str">
        <f t="shared" si="39"/>
        <v>16</v>
      </c>
      <c r="Q360" t="str">
        <f t="shared" si="40"/>
        <v>May</v>
      </c>
      <c r="R360" t="str">
        <f t="shared" si="41"/>
        <v>2022</v>
      </c>
    </row>
    <row r="361" spans="1:18" x14ac:dyDescent="0.2">
      <c r="A361" s="1">
        <v>44697</v>
      </c>
      <c r="B361" t="s">
        <v>67</v>
      </c>
      <c r="C361" t="str">
        <f>_xlfn.XLOOKUP(B361,PRODUCT_MASTER!$A:$A,PRODUCT_MASTER!$B:$B,2,0)</f>
        <v>Product31</v>
      </c>
      <c r="D361" t="str">
        <f>_xlfn.XLOOKUP(B361,PRODUCT_MASTER!$A:$A,PRODUCT_MASTER!$C:$C,2,0)</f>
        <v>Cheese And Dairy</v>
      </c>
      <c r="E361" t="str">
        <f>_xlfn.XLOOKUP(B361,PRODUCT_MASTER!$A:$A,PRODUCT_MASTER!$D:$D,2,0)</f>
        <v>Kg</v>
      </c>
      <c r="F361">
        <f>_xlfn.XLOOKUP(B361,PRODUCT_MASTER!$A:$A,PRODUCT_MASTER!$E:$E,2,0)</f>
        <v>93</v>
      </c>
      <c r="G361">
        <f>_xlfn.XLOOKUP(B361,PRODUCT_MASTER!$A:$A,PRODUCT_MASTER!$F:$F,2,0)</f>
        <v>104.16</v>
      </c>
      <c r="H361">
        <v>13</v>
      </c>
      <c r="I361" t="s">
        <v>101</v>
      </c>
      <c r="J361" t="s">
        <v>101</v>
      </c>
      <c r="K361">
        <v>0</v>
      </c>
      <c r="L361" s="15">
        <f t="shared" si="35"/>
        <v>1209</v>
      </c>
      <c r="M361" s="15">
        <f t="shared" si="36"/>
        <v>1354.08</v>
      </c>
      <c r="N361" s="15">
        <f t="shared" si="37"/>
        <v>145.07999999999993</v>
      </c>
      <c r="O361" s="10">
        <f t="shared" si="38"/>
        <v>0.11999999999999994</v>
      </c>
      <c r="P361" t="str">
        <f t="shared" si="39"/>
        <v>16</v>
      </c>
      <c r="Q361" t="str">
        <f t="shared" si="40"/>
        <v>May</v>
      </c>
      <c r="R361" t="str">
        <f t="shared" si="41"/>
        <v>2022</v>
      </c>
    </row>
    <row r="362" spans="1:18" x14ac:dyDescent="0.2">
      <c r="A362" s="1">
        <v>44698</v>
      </c>
      <c r="B362" t="s">
        <v>59</v>
      </c>
      <c r="C362" t="str">
        <f>_xlfn.XLOOKUP(B362,PRODUCT_MASTER!$A:$A,PRODUCT_MASTER!$B:$B,2,0)</f>
        <v>Product27</v>
      </c>
      <c r="D362" t="str">
        <f>_xlfn.XLOOKUP(B362,PRODUCT_MASTER!$A:$A,PRODUCT_MASTER!$C:$C,2,0)</f>
        <v>Cheese And Dairy</v>
      </c>
      <c r="E362" t="str">
        <f>_xlfn.XLOOKUP(B362,PRODUCT_MASTER!$A:$A,PRODUCT_MASTER!$D:$D,2,0)</f>
        <v>Lt</v>
      </c>
      <c r="F362">
        <f>_xlfn.XLOOKUP(B362,PRODUCT_MASTER!$A:$A,PRODUCT_MASTER!$E:$E,2,0)</f>
        <v>48</v>
      </c>
      <c r="G362">
        <f>_xlfn.XLOOKUP(B362,PRODUCT_MASTER!$A:$A,PRODUCT_MASTER!$F:$F,2,0)</f>
        <v>57.120000000000005</v>
      </c>
      <c r="H362">
        <v>8</v>
      </c>
      <c r="I362" t="s">
        <v>103</v>
      </c>
      <c r="J362" t="s">
        <v>102</v>
      </c>
      <c r="K362">
        <v>0</v>
      </c>
      <c r="L362" s="15">
        <f t="shared" si="35"/>
        <v>384</v>
      </c>
      <c r="M362" s="15">
        <f t="shared" si="36"/>
        <v>456.96000000000004</v>
      </c>
      <c r="N362" s="15">
        <f t="shared" si="37"/>
        <v>72.960000000000036</v>
      </c>
      <c r="O362" s="10">
        <f t="shared" si="38"/>
        <v>0.19000000000000009</v>
      </c>
      <c r="P362" t="str">
        <f t="shared" si="39"/>
        <v>17</v>
      </c>
      <c r="Q362" t="str">
        <f t="shared" si="40"/>
        <v>May</v>
      </c>
      <c r="R362" t="str">
        <f t="shared" si="41"/>
        <v>2022</v>
      </c>
    </row>
    <row r="363" spans="1:18" x14ac:dyDescent="0.2">
      <c r="A363" s="1">
        <v>44699</v>
      </c>
      <c r="B363" t="s">
        <v>59</v>
      </c>
      <c r="C363" t="str">
        <f>_xlfn.XLOOKUP(B363,PRODUCT_MASTER!$A:$A,PRODUCT_MASTER!$B:$B,2,0)</f>
        <v>Product27</v>
      </c>
      <c r="D363" t="str">
        <f>_xlfn.XLOOKUP(B363,PRODUCT_MASTER!$A:$A,PRODUCT_MASTER!$C:$C,2,0)</f>
        <v>Cheese And Dairy</v>
      </c>
      <c r="E363" t="str">
        <f>_xlfn.XLOOKUP(B363,PRODUCT_MASTER!$A:$A,PRODUCT_MASTER!$D:$D,2,0)</f>
        <v>Lt</v>
      </c>
      <c r="F363">
        <f>_xlfn.XLOOKUP(B363,PRODUCT_MASTER!$A:$A,PRODUCT_MASTER!$E:$E,2,0)</f>
        <v>48</v>
      </c>
      <c r="G363">
        <f>_xlfn.XLOOKUP(B363,PRODUCT_MASTER!$A:$A,PRODUCT_MASTER!$F:$F,2,0)</f>
        <v>57.120000000000005</v>
      </c>
      <c r="H363">
        <v>4</v>
      </c>
      <c r="I363" t="s">
        <v>100</v>
      </c>
      <c r="J363" t="s">
        <v>101</v>
      </c>
      <c r="K363">
        <v>0</v>
      </c>
      <c r="L363" s="15">
        <f t="shared" si="35"/>
        <v>192</v>
      </c>
      <c r="M363" s="15">
        <f t="shared" si="36"/>
        <v>228.48000000000002</v>
      </c>
      <c r="N363" s="15">
        <f t="shared" si="37"/>
        <v>36.480000000000018</v>
      </c>
      <c r="O363" s="10">
        <f t="shared" si="38"/>
        <v>0.19000000000000009</v>
      </c>
      <c r="P363" t="str">
        <f t="shared" si="39"/>
        <v>18</v>
      </c>
      <c r="Q363" t="str">
        <f t="shared" si="40"/>
        <v>May</v>
      </c>
      <c r="R363" t="str">
        <f t="shared" si="41"/>
        <v>2022</v>
      </c>
    </row>
    <row r="364" spans="1:18" x14ac:dyDescent="0.2">
      <c r="A364" s="1">
        <v>44699</v>
      </c>
      <c r="B364" t="s">
        <v>81</v>
      </c>
      <c r="C364" t="str">
        <f>_xlfn.XLOOKUP(B364,PRODUCT_MASTER!$A:$A,PRODUCT_MASTER!$B:$B,2,0)</f>
        <v>Product38</v>
      </c>
      <c r="D364" t="str">
        <f>_xlfn.XLOOKUP(B364,PRODUCT_MASTER!$A:$A,PRODUCT_MASTER!$C:$C,2,0)</f>
        <v>Snacks</v>
      </c>
      <c r="E364" t="str">
        <f>_xlfn.XLOOKUP(B364,PRODUCT_MASTER!$A:$A,PRODUCT_MASTER!$D:$D,2,0)</f>
        <v>Kg</v>
      </c>
      <c r="F364">
        <f>_xlfn.XLOOKUP(B364,PRODUCT_MASTER!$A:$A,PRODUCT_MASTER!$E:$E,2,0)</f>
        <v>72</v>
      </c>
      <c r="G364">
        <f>_xlfn.XLOOKUP(B364,PRODUCT_MASTER!$A:$A,PRODUCT_MASTER!$F:$F,2,0)</f>
        <v>79.92</v>
      </c>
      <c r="H364">
        <v>8</v>
      </c>
      <c r="I364" t="s">
        <v>100</v>
      </c>
      <c r="J364" t="s">
        <v>101</v>
      </c>
      <c r="K364">
        <v>0</v>
      </c>
      <c r="L364" s="15">
        <f t="shared" si="35"/>
        <v>576</v>
      </c>
      <c r="M364" s="15">
        <f t="shared" si="36"/>
        <v>639.36</v>
      </c>
      <c r="N364" s="15">
        <f t="shared" si="37"/>
        <v>63.360000000000014</v>
      </c>
      <c r="O364" s="10">
        <f t="shared" si="38"/>
        <v>0.11000000000000003</v>
      </c>
      <c r="P364" t="str">
        <f t="shared" si="39"/>
        <v>18</v>
      </c>
      <c r="Q364" t="str">
        <f t="shared" si="40"/>
        <v>May</v>
      </c>
      <c r="R364" t="str">
        <f t="shared" si="41"/>
        <v>2022</v>
      </c>
    </row>
    <row r="365" spans="1:18" x14ac:dyDescent="0.2">
      <c r="A365" s="1">
        <v>44701</v>
      </c>
      <c r="B365" t="s">
        <v>93</v>
      </c>
      <c r="C365" t="str">
        <f>_xlfn.XLOOKUP(B365,PRODUCT_MASTER!$A:$A,PRODUCT_MASTER!$B:$B,2,0)</f>
        <v>Product44</v>
      </c>
      <c r="D365" t="str">
        <f>_xlfn.XLOOKUP(B365,PRODUCT_MASTER!$A:$A,PRODUCT_MASTER!$C:$C,2,0)</f>
        <v>Candy</v>
      </c>
      <c r="E365" t="str">
        <f>_xlfn.XLOOKUP(B365,PRODUCT_MASTER!$A:$A,PRODUCT_MASTER!$D:$D,2,0)</f>
        <v>Kg</v>
      </c>
      <c r="F365">
        <f>_xlfn.XLOOKUP(B365,PRODUCT_MASTER!$A:$A,PRODUCT_MASTER!$E:$E,2,0)</f>
        <v>76</v>
      </c>
      <c r="G365">
        <f>_xlfn.XLOOKUP(B365,PRODUCT_MASTER!$A:$A,PRODUCT_MASTER!$F:$F,2,0)</f>
        <v>82.08</v>
      </c>
      <c r="H365">
        <v>15</v>
      </c>
      <c r="I365" t="s">
        <v>101</v>
      </c>
      <c r="J365" t="s">
        <v>102</v>
      </c>
      <c r="K365">
        <v>0</v>
      </c>
      <c r="L365" s="15">
        <f t="shared" si="35"/>
        <v>1140</v>
      </c>
      <c r="M365" s="15">
        <f t="shared" si="36"/>
        <v>1231.2</v>
      </c>
      <c r="N365" s="15">
        <f t="shared" si="37"/>
        <v>91.200000000000045</v>
      </c>
      <c r="O365" s="10">
        <f t="shared" si="38"/>
        <v>8.0000000000000043E-2</v>
      </c>
      <c r="P365" t="str">
        <f t="shared" si="39"/>
        <v>20</v>
      </c>
      <c r="Q365" t="str">
        <f t="shared" si="40"/>
        <v>May</v>
      </c>
      <c r="R365" t="str">
        <f t="shared" si="41"/>
        <v>2022</v>
      </c>
    </row>
    <row r="366" spans="1:18" x14ac:dyDescent="0.2">
      <c r="A366" s="1">
        <v>44703</v>
      </c>
      <c r="B366" t="s">
        <v>35</v>
      </c>
      <c r="C366" t="str">
        <f>_xlfn.XLOOKUP(B366,PRODUCT_MASTER!$A:$A,PRODUCT_MASTER!$B:$B,2,0)</f>
        <v>Product15</v>
      </c>
      <c r="D366" t="str">
        <f>_xlfn.XLOOKUP(B366,PRODUCT_MASTER!$A:$A,PRODUCT_MASTER!$C:$C,2,0)</f>
        <v>Meat</v>
      </c>
      <c r="E366" t="str">
        <f>_xlfn.XLOOKUP(B366,PRODUCT_MASTER!$A:$A,PRODUCT_MASTER!$D:$D,2,0)</f>
        <v>No.</v>
      </c>
      <c r="F366">
        <f>_xlfn.XLOOKUP(B366,PRODUCT_MASTER!$A:$A,PRODUCT_MASTER!$E:$E,2,0)</f>
        <v>12</v>
      </c>
      <c r="G366">
        <f>_xlfn.XLOOKUP(B366,PRODUCT_MASTER!$A:$A,PRODUCT_MASTER!$F:$F,2,0)</f>
        <v>15.719999999999999</v>
      </c>
      <c r="H366">
        <v>12</v>
      </c>
      <c r="I366" t="s">
        <v>103</v>
      </c>
      <c r="J366" t="s">
        <v>101</v>
      </c>
      <c r="K366">
        <v>0</v>
      </c>
      <c r="L366" s="15">
        <f t="shared" si="35"/>
        <v>144</v>
      </c>
      <c r="M366" s="15">
        <f t="shared" si="36"/>
        <v>188.64</v>
      </c>
      <c r="N366" s="15">
        <f t="shared" si="37"/>
        <v>44.639999999999986</v>
      </c>
      <c r="O366" s="10">
        <f t="shared" si="38"/>
        <v>0.30999999999999989</v>
      </c>
      <c r="P366" t="str">
        <f t="shared" si="39"/>
        <v>22</v>
      </c>
      <c r="Q366" t="str">
        <f t="shared" si="40"/>
        <v>May</v>
      </c>
      <c r="R366" t="str">
        <f t="shared" si="41"/>
        <v>2022</v>
      </c>
    </row>
    <row r="367" spans="1:18" x14ac:dyDescent="0.2">
      <c r="A367" s="1">
        <v>44706</v>
      </c>
      <c r="B367" t="s">
        <v>9</v>
      </c>
      <c r="C367" t="str">
        <f>_xlfn.XLOOKUP(B367,PRODUCT_MASTER!$A:$A,PRODUCT_MASTER!$B:$B,2,0)</f>
        <v>Product02</v>
      </c>
      <c r="D367" t="str">
        <f>_xlfn.XLOOKUP(B367,PRODUCT_MASTER!$A:$A,PRODUCT_MASTER!$C:$C,2,0)</f>
        <v>Organic</v>
      </c>
      <c r="E367" t="str">
        <f>_xlfn.XLOOKUP(B367,PRODUCT_MASTER!$A:$A,PRODUCT_MASTER!$D:$D,2,0)</f>
        <v>Kg</v>
      </c>
      <c r="F367">
        <f>_xlfn.XLOOKUP(B367,PRODUCT_MASTER!$A:$A,PRODUCT_MASTER!$E:$E,2,0)</f>
        <v>105</v>
      </c>
      <c r="G367">
        <f>_xlfn.XLOOKUP(B367,PRODUCT_MASTER!$A:$A,PRODUCT_MASTER!$F:$F,2,0)</f>
        <v>142.80000000000001</v>
      </c>
      <c r="H367">
        <v>7</v>
      </c>
      <c r="I367" t="s">
        <v>101</v>
      </c>
      <c r="J367" t="s">
        <v>101</v>
      </c>
      <c r="K367">
        <v>0</v>
      </c>
      <c r="L367" s="15">
        <f t="shared" si="35"/>
        <v>735</v>
      </c>
      <c r="M367" s="15">
        <f t="shared" si="36"/>
        <v>999.60000000000014</v>
      </c>
      <c r="N367" s="15">
        <f t="shared" si="37"/>
        <v>264.60000000000014</v>
      </c>
      <c r="O367" s="10">
        <f t="shared" si="38"/>
        <v>0.36000000000000021</v>
      </c>
      <c r="P367" t="str">
        <f t="shared" si="39"/>
        <v>25</v>
      </c>
      <c r="Q367" t="str">
        <f t="shared" si="40"/>
        <v>May</v>
      </c>
      <c r="R367" t="str">
        <f t="shared" si="41"/>
        <v>2022</v>
      </c>
    </row>
    <row r="368" spans="1:18" x14ac:dyDescent="0.2">
      <c r="A368" s="1">
        <v>44707</v>
      </c>
      <c r="B368" t="s">
        <v>61</v>
      </c>
      <c r="C368" t="str">
        <f>_xlfn.XLOOKUP(B368,PRODUCT_MASTER!$A:$A,PRODUCT_MASTER!$B:$B,2,0)</f>
        <v>Product28</v>
      </c>
      <c r="D368" t="str">
        <f>_xlfn.XLOOKUP(B368,PRODUCT_MASTER!$A:$A,PRODUCT_MASTER!$C:$C,2,0)</f>
        <v>Cheese And Dairy</v>
      </c>
      <c r="E368" t="str">
        <f>_xlfn.XLOOKUP(B368,PRODUCT_MASTER!$A:$A,PRODUCT_MASTER!$D:$D,2,0)</f>
        <v>No.</v>
      </c>
      <c r="F368">
        <f>_xlfn.XLOOKUP(B368,PRODUCT_MASTER!$A:$A,PRODUCT_MASTER!$E:$E,2,0)</f>
        <v>37</v>
      </c>
      <c r="G368">
        <f>_xlfn.XLOOKUP(B368,PRODUCT_MASTER!$A:$A,PRODUCT_MASTER!$F:$F,2,0)</f>
        <v>41.81</v>
      </c>
      <c r="H368">
        <v>2</v>
      </c>
      <c r="I368" t="s">
        <v>103</v>
      </c>
      <c r="J368" t="s">
        <v>101</v>
      </c>
      <c r="K368">
        <v>0</v>
      </c>
      <c r="L368" s="15">
        <f t="shared" si="35"/>
        <v>74</v>
      </c>
      <c r="M368" s="15">
        <f t="shared" si="36"/>
        <v>83.62</v>
      </c>
      <c r="N368" s="15">
        <f t="shared" si="37"/>
        <v>9.6200000000000045</v>
      </c>
      <c r="O368" s="10">
        <f t="shared" si="38"/>
        <v>0.13000000000000006</v>
      </c>
      <c r="P368" t="str">
        <f t="shared" si="39"/>
        <v>26</v>
      </c>
      <c r="Q368" t="str">
        <f t="shared" si="40"/>
        <v>May</v>
      </c>
      <c r="R368" t="str">
        <f t="shared" si="41"/>
        <v>2022</v>
      </c>
    </row>
    <row r="369" spans="1:18" x14ac:dyDescent="0.2">
      <c r="A369" s="1">
        <v>44707</v>
      </c>
      <c r="B369" t="s">
        <v>59</v>
      </c>
      <c r="C369" t="str">
        <f>_xlfn.XLOOKUP(B369,PRODUCT_MASTER!$A:$A,PRODUCT_MASTER!$B:$B,2,0)</f>
        <v>Product27</v>
      </c>
      <c r="D369" t="str">
        <f>_xlfn.XLOOKUP(B369,PRODUCT_MASTER!$A:$A,PRODUCT_MASTER!$C:$C,2,0)</f>
        <v>Cheese And Dairy</v>
      </c>
      <c r="E369" t="str">
        <f>_xlfn.XLOOKUP(B369,PRODUCT_MASTER!$A:$A,PRODUCT_MASTER!$D:$D,2,0)</f>
        <v>Lt</v>
      </c>
      <c r="F369">
        <f>_xlfn.XLOOKUP(B369,PRODUCT_MASTER!$A:$A,PRODUCT_MASTER!$E:$E,2,0)</f>
        <v>48</v>
      </c>
      <c r="G369">
        <f>_xlfn.XLOOKUP(B369,PRODUCT_MASTER!$A:$A,PRODUCT_MASTER!$F:$F,2,0)</f>
        <v>57.120000000000005</v>
      </c>
      <c r="H369">
        <v>2</v>
      </c>
      <c r="I369" t="s">
        <v>101</v>
      </c>
      <c r="J369" t="s">
        <v>101</v>
      </c>
      <c r="K369">
        <v>0</v>
      </c>
      <c r="L369" s="15">
        <f t="shared" si="35"/>
        <v>96</v>
      </c>
      <c r="M369" s="15">
        <f t="shared" si="36"/>
        <v>114.24000000000001</v>
      </c>
      <c r="N369" s="15">
        <f t="shared" si="37"/>
        <v>18.240000000000009</v>
      </c>
      <c r="O369" s="10">
        <f t="shared" si="38"/>
        <v>0.19000000000000009</v>
      </c>
      <c r="P369" t="str">
        <f t="shared" si="39"/>
        <v>26</v>
      </c>
      <c r="Q369" t="str">
        <f t="shared" si="40"/>
        <v>May</v>
      </c>
      <c r="R369" t="str">
        <f t="shared" si="41"/>
        <v>2022</v>
      </c>
    </row>
    <row r="370" spans="1:18" x14ac:dyDescent="0.2">
      <c r="A370" s="1">
        <v>44709</v>
      </c>
      <c r="B370" t="s">
        <v>87</v>
      </c>
      <c r="C370" t="str">
        <f>_xlfn.XLOOKUP(B370,PRODUCT_MASTER!$A:$A,PRODUCT_MASTER!$B:$B,2,0)</f>
        <v>Product41</v>
      </c>
      <c r="D370" t="str">
        <f>_xlfn.XLOOKUP(B370,PRODUCT_MASTER!$A:$A,PRODUCT_MASTER!$C:$C,2,0)</f>
        <v>Snacks</v>
      </c>
      <c r="E370" t="str">
        <f>_xlfn.XLOOKUP(B370,PRODUCT_MASTER!$A:$A,PRODUCT_MASTER!$D:$D,2,0)</f>
        <v>Ft</v>
      </c>
      <c r="F370">
        <f>_xlfn.XLOOKUP(B370,PRODUCT_MASTER!$A:$A,PRODUCT_MASTER!$E:$E,2,0)</f>
        <v>138</v>
      </c>
      <c r="G370">
        <f>_xlfn.XLOOKUP(B370,PRODUCT_MASTER!$A:$A,PRODUCT_MASTER!$F:$F,2,0)</f>
        <v>173.88</v>
      </c>
      <c r="H370">
        <v>10</v>
      </c>
      <c r="I370" t="s">
        <v>100</v>
      </c>
      <c r="J370" t="s">
        <v>102</v>
      </c>
      <c r="K370">
        <v>0</v>
      </c>
      <c r="L370" s="15">
        <f t="shared" si="35"/>
        <v>1380</v>
      </c>
      <c r="M370" s="15">
        <f t="shared" si="36"/>
        <v>1738.8</v>
      </c>
      <c r="N370" s="15">
        <f t="shared" si="37"/>
        <v>358.79999999999995</v>
      </c>
      <c r="O370" s="10">
        <f t="shared" si="38"/>
        <v>0.25999999999999995</v>
      </c>
      <c r="P370" t="str">
        <f t="shared" si="39"/>
        <v>28</v>
      </c>
      <c r="Q370" t="str">
        <f t="shared" si="40"/>
        <v>May</v>
      </c>
      <c r="R370" t="str">
        <f t="shared" si="41"/>
        <v>2022</v>
      </c>
    </row>
    <row r="371" spans="1:18" x14ac:dyDescent="0.2">
      <c r="A371" s="1">
        <v>44709</v>
      </c>
      <c r="B371" t="s">
        <v>21</v>
      </c>
      <c r="C371" t="str">
        <f>_xlfn.XLOOKUP(B371,PRODUCT_MASTER!$A:$A,PRODUCT_MASTER!$B:$B,2,0)</f>
        <v>Product08</v>
      </c>
      <c r="D371" t="str">
        <f>_xlfn.XLOOKUP(B371,PRODUCT_MASTER!$A:$A,PRODUCT_MASTER!$C:$C,2,0)</f>
        <v>Gourmet Foods</v>
      </c>
      <c r="E371" t="str">
        <f>_xlfn.XLOOKUP(B371,PRODUCT_MASTER!$A:$A,PRODUCT_MASTER!$D:$D,2,0)</f>
        <v>Kg</v>
      </c>
      <c r="F371">
        <f>_xlfn.XLOOKUP(B371,PRODUCT_MASTER!$A:$A,PRODUCT_MASTER!$E:$E,2,0)</f>
        <v>83</v>
      </c>
      <c r="G371">
        <f>_xlfn.XLOOKUP(B371,PRODUCT_MASTER!$A:$A,PRODUCT_MASTER!$F:$F,2,0)</f>
        <v>94.62</v>
      </c>
      <c r="H371">
        <v>5</v>
      </c>
      <c r="I371" t="s">
        <v>100</v>
      </c>
      <c r="J371" t="s">
        <v>101</v>
      </c>
      <c r="K371">
        <v>0</v>
      </c>
      <c r="L371" s="15">
        <f t="shared" si="35"/>
        <v>415</v>
      </c>
      <c r="M371" s="15">
        <f t="shared" si="36"/>
        <v>473.1</v>
      </c>
      <c r="N371" s="15">
        <f t="shared" si="37"/>
        <v>58.100000000000023</v>
      </c>
      <c r="O371" s="10">
        <f t="shared" si="38"/>
        <v>0.14000000000000004</v>
      </c>
      <c r="P371" t="str">
        <f t="shared" si="39"/>
        <v>28</v>
      </c>
      <c r="Q371" t="str">
        <f t="shared" si="40"/>
        <v>May</v>
      </c>
      <c r="R371" t="str">
        <f t="shared" si="41"/>
        <v>2022</v>
      </c>
    </row>
    <row r="372" spans="1:18" x14ac:dyDescent="0.2">
      <c r="A372" s="1">
        <v>44709</v>
      </c>
      <c r="B372" t="s">
        <v>25</v>
      </c>
      <c r="C372" t="str">
        <f>_xlfn.XLOOKUP(B372,PRODUCT_MASTER!$A:$A,PRODUCT_MASTER!$B:$B,2,0)</f>
        <v>Product10</v>
      </c>
      <c r="D372" t="str">
        <f>_xlfn.XLOOKUP(B372,PRODUCT_MASTER!$A:$A,PRODUCT_MASTER!$C:$C,2,0)</f>
        <v>Gourmet Foods</v>
      </c>
      <c r="E372" t="str">
        <f>_xlfn.XLOOKUP(B372,PRODUCT_MASTER!$A:$A,PRODUCT_MASTER!$D:$D,2,0)</f>
        <v>Ft</v>
      </c>
      <c r="F372">
        <f>_xlfn.XLOOKUP(B372,PRODUCT_MASTER!$A:$A,PRODUCT_MASTER!$E:$E,2,0)</f>
        <v>148</v>
      </c>
      <c r="G372">
        <f>_xlfn.XLOOKUP(B372,PRODUCT_MASTER!$A:$A,PRODUCT_MASTER!$F:$F,2,0)</f>
        <v>164.28</v>
      </c>
      <c r="H372">
        <v>9</v>
      </c>
      <c r="I372" t="s">
        <v>101</v>
      </c>
      <c r="J372" t="s">
        <v>102</v>
      </c>
      <c r="K372">
        <v>0</v>
      </c>
      <c r="L372" s="15">
        <f t="shared" si="35"/>
        <v>1332</v>
      </c>
      <c r="M372" s="15">
        <f t="shared" si="36"/>
        <v>1478.52</v>
      </c>
      <c r="N372" s="15">
        <f t="shared" si="37"/>
        <v>146.51999999999998</v>
      </c>
      <c r="O372" s="10">
        <f t="shared" si="38"/>
        <v>0.10999999999999999</v>
      </c>
      <c r="P372" t="str">
        <f t="shared" si="39"/>
        <v>28</v>
      </c>
      <c r="Q372" t="str">
        <f t="shared" si="40"/>
        <v>May</v>
      </c>
      <c r="R372" t="str">
        <f t="shared" si="41"/>
        <v>2022</v>
      </c>
    </row>
    <row r="373" spans="1:18" x14ac:dyDescent="0.2">
      <c r="A373" s="1">
        <v>44709</v>
      </c>
      <c r="B373" t="s">
        <v>13</v>
      </c>
      <c r="C373" t="str">
        <f>_xlfn.XLOOKUP(B373,PRODUCT_MASTER!$A:$A,PRODUCT_MASTER!$B:$B,2,0)</f>
        <v>Product04</v>
      </c>
      <c r="D373" t="str">
        <f>_xlfn.XLOOKUP(B373,PRODUCT_MASTER!$A:$A,PRODUCT_MASTER!$C:$C,2,0)</f>
        <v>Organic</v>
      </c>
      <c r="E373" t="str">
        <f>_xlfn.XLOOKUP(B373,PRODUCT_MASTER!$A:$A,PRODUCT_MASTER!$D:$D,2,0)</f>
        <v>Lt</v>
      </c>
      <c r="F373">
        <f>_xlfn.XLOOKUP(B373,PRODUCT_MASTER!$A:$A,PRODUCT_MASTER!$E:$E,2,0)</f>
        <v>44</v>
      </c>
      <c r="G373">
        <f>_xlfn.XLOOKUP(B373,PRODUCT_MASTER!$A:$A,PRODUCT_MASTER!$F:$F,2,0)</f>
        <v>48.84</v>
      </c>
      <c r="H373">
        <v>12</v>
      </c>
      <c r="I373" t="s">
        <v>101</v>
      </c>
      <c r="J373" t="s">
        <v>101</v>
      </c>
      <c r="K373">
        <v>0</v>
      </c>
      <c r="L373" s="15">
        <f t="shared" si="35"/>
        <v>528</v>
      </c>
      <c r="M373" s="15">
        <f t="shared" si="36"/>
        <v>586.08000000000004</v>
      </c>
      <c r="N373" s="15">
        <f t="shared" si="37"/>
        <v>58.080000000000041</v>
      </c>
      <c r="O373" s="10">
        <f t="shared" si="38"/>
        <v>0.11000000000000008</v>
      </c>
      <c r="P373" t="str">
        <f t="shared" si="39"/>
        <v>28</v>
      </c>
      <c r="Q373" t="str">
        <f t="shared" si="40"/>
        <v>May</v>
      </c>
      <c r="R373" t="str">
        <f t="shared" si="41"/>
        <v>2022</v>
      </c>
    </row>
    <row r="374" spans="1:18" x14ac:dyDescent="0.2">
      <c r="A374" s="1">
        <v>44709</v>
      </c>
      <c r="B374" t="s">
        <v>45</v>
      </c>
      <c r="C374" t="str">
        <f>_xlfn.XLOOKUP(B374,PRODUCT_MASTER!$A:$A,PRODUCT_MASTER!$B:$B,2,0)</f>
        <v>Product20</v>
      </c>
      <c r="D374" t="str">
        <f>_xlfn.XLOOKUP(B374,PRODUCT_MASTER!$A:$A,PRODUCT_MASTER!$C:$C,2,0)</f>
        <v>Poultry</v>
      </c>
      <c r="E374" t="str">
        <f>_xlfn.XLOOKUP(B374,PRODUCT_MASTER!$A:$A,PRODUCT_MASTER!$D:$D,2,0)</f>
        <v>Lt</v>
      </c>
      <c r="F374">
        <f>_xlfn.XLOOKUP(B374,PRODUCT_MASTER!$A:$A,PRODUCT_MASTER!$E:$E,2,0)</f>
        <v>61</v>
      </c>
      <c r="G374">
        <f>_xlfn.XLOOKUP(B374,PRODUCT_MASTER!$A:$A,PRODUCT_MASTER!$F:$F,2,0)</f>
        <v>76.25</v>
      </c>
      <c r="H374">
        <v>14</v>
      </c>
      <c r="I374" t="s">
        <v>103</v>
      </c>
      <c r="J374" t="s">
        <v>102</v>
      </c>
      <c r="K374">
        <v>0</v>
      </c>
      <c r="L374" s="15">
        <f t="shared" si="35"/>
        <v>854</v>
      </c>
      <c r="M374" s="15">
        <f t="shared" si="36"/>
        <v>1067.5</v>
      </c>
      <c r="N374" s="15">
        <f t="shared" si="37"/>
        <v>213.5</v>
      </c>
      <c r="O374" s="10">
        <f t="shared" si="38"/>
        <v>0.25</v>
      </c>
      <c r="P374" t="str">
        <f t="shared" si="39"/>
        <v>28</v>
      </c>
      <c r="Q374" t="str">
        <f t="shared" si="40"/>
        <v>May</v>
      </c>
      <c r="R374" t="str">
        <f t="shared" si="41"/>
        <v>2022</v>
      </c>
    </row>
    <row r="375" spans="1:18" x14ac:dyDescent="0.2">
      <c r="A375" s="1">
        <v>44711</v>
      </c>
      <c r="B375" t="s">
        <v>93</v>
      </c>
      <c r="C375" t="str">
        <f>_xlfn.XLOOKUP(B375,PRODUCT_MASTER!$A:$A,PRODUCT_MASTER!$B:$B,2,0)</f>
        <v>Product44</v>
      </c>
      <c r="D375" t="str">
        <f>_xlfn.XLOOKUP(B375,PRODUCT_MASTER!$A:$A,PRODUCT_MASTER!$C:$C,2,0)</f>
        <v>Candy</v>
      </c>
      <c r="E375" t="str">
        <f>_xlfn.XLOOKUP(B375,PRODUCT_MASTER!$A:$A,PRODUCT_MASTER!$D:$D,2,0)</f>
        <v>Kg</v>
      </c>
      <c r="F375">
        <f>_xlfn.XLOOKUP(B375,PRODUCT_MASTER!$A:$A,PRODUCT_MASTER!$E:$E,2,0)</f>
        <v>76</v>
      </c>
      <c r="G375">
        <f>_xlfn.XLOOKUP(B375,PRODUCT_MASTER!$A:$A,PRODUCT_MASTER!$F:$F,2,0)</f>
        <v>82.08</v>
      </c>
      <c r="H375">
        <v>9</v>
      </c>
      <c r="I375" t="s">
        <v>103</v>
      </c>
      <c r="J375" t="s">
        <v>101</v>
      </c>
      <c r="K375">
        <v>0</v>
      </c>
      <c r="L375" s="15">
        <f t="shared" si="35"/>
        <v>684</v>
      </c>
      <c r="M375" s="15">
        <f t="shared" si="36"/>
        <v>738.72</v>
      </c>
      <c r="N375" s="15">
        <f t="shared" si="37"/>
        <v>54.720000000000027</v>
      </c>
      <c r="O375" s="10">
        <f t="shared" si="38"/>
        <v>8.0000000000000043E-2</v>
      </c>
      <c r="P375" t="str">
        <f t="shared" si="39"/>
        <v>30</v>
      </c>
      <c r="Q375" t="str">
        <f t="shared" si="40"/>
        <v>May</v>
      </c>
      <c r="R375" t="str">
        <f t="shared" si="41"/>
        <v>2022</v>
      </c>
    </row>
    <row r="376" spans="1:18" x14ac:dyDescent="0.2">
      <c r="A376" s="1">
        <v>44711</v>
      </c>
      <c r="B376" t="s">
        <v>15</v>
      </c>
      <c r="C376" t="str">
        <f>_xlfn.XLOOKUP(B376,PRODUCT_MASTER!$A:$A,PRODUCT_MASTER!$B:$B,2,0)</f>
        <v>Product05</v>
      </c>
      <c r="D376" t="str">
        <f>_xlfn.XLOOKUP(B376,PRODUCT_MASTER!$A:$A,PRODUCT_MASTER!$C:$C,2,0)</f>
        <v>Organic</v>
      </c>
      <c r="E376" t="str">
        <f>_xlfn.XLOOKUP(B376,PRODUCT_MASTER!$A:$A,PRODUCT_MASTER!$D:$D,2,0)</f>
        <v>Ft</v>
      </c>
      <c r="F376">
        <f>_xlfn.XLOOKUP(B376,PRODUCT_MASTER!$A:$A,PRODUCT_MASTER!$E:$E,2,0)</f>
        <v>133</v>
      </c>
      <c r="G376">
        <f>_xlfn.XLOOKUP(B376,PRODUCT_MASTER!$A:$A,PRODUCT_MASTER!$F:$F,2,0)</f>
        <v>155.61000000000001</v>
      </c>
      <c r="H376">
        <v>4</v>
      </c>
      <c r="I376" t="s">
        <v>100</v>
      </c>
      <c r="J376" t="s">
        <v>102</v>
      </c>
      <c r="K376">
        <v>0</v>
      </c>
      <c r="L376" s="15">
        <f t="shared" si="35"/>
        <v>532</v>
      </c>
      <c r="M376" s="15">
        <f t="shared" si="36"/>
        <v>622.44000000000005</v>
      </c>
      <c r="N376" s="15">
        <f t="shared" si="37"/>
        <v>90.440000000000055</v>
      </c>
      <c r="O376" s="10">
        <f t="shared" si="38"/>
        <v>0.1700000000000001</v>
      </c>
      <c r="P376" t="str">
        <f t="shared" si="39"/>
        <v>30</v>
      </c>
      <c r="Q376" t="str">
        <f t="shared" si="40"/>
        <v>May</v>
      </c>
      <c r="R376" t="str">
        <f t="shared" si="41"/>
        <v>2022</v>
      </c>
    </row>
    <row r="377" spans="1:18" x14ac:dyDescent="0.2">
      <c r="A377" s="1">
        <v>44711</v>
      </c>
      <c r="B377" t="s">
        <v>71</v>
      </c>
      <c r="C377" t="str">
        <f>_xlfn.XLOOKUP(B377,PRODUCT_MASTER!$A:$A,PRODUCT_MASTER!$B:$B,2,0)</f>
        <v>Product33</v>
      </c>
      <c r="D377" t="str">
        <f>_xlfn.XLOOKUP(B377,PRODUCT_MASTER!$A:$A,PRODUCT_MASTER!$C:$C,2,0)</f>
        <v>Bakery And Desserts</v>
      </c>
      <c r="E377" t="str">
        <f>_xlfn.XLOOKUP(B377,PRODUCT_MASTER!$A:$A,PRODUCT_MASTER!$D:$D,2,0)</f>
        <v>Kg</v>
      </c>
      <c r="F377">
        <f>_xlfn.XLOOKUP(B377,PRODUCT_MASTER!$A:$A,PRODUCT_MASTER!$E:$E,2,0)</f>
        <v>95</v>
      </c>
      <c r="G377">
        <f>_xlfn.XLOOKUP(B377,PRODUCT_MASTER!$A:$A,PRODUCT_MASTER!$F:$F,2,0)</f>
        <v>119.7</v>
      </c>
      <c r="H377">
        <v>3</v>
      </c>
      <c r="I377" t="s">
        <v>101</v>
      </c>
      <c r="J377" t="s">
        <v>102</v>
      </c>
      <c r="K377">
        <v>0</v>
      </c>
      <c r="L377" s="15">
        <f t="shared" si="35"/>
        <v>285</v>
      </c>
      <c r="M377" s="15">
        <f t="shared" si="36"/>
        <v>359.1</v>
      </c>
      <c r="N377" s="15">
        <f t="shared" si="37"/>
        <v>74.100000000000023</v>
      </c>
      <c r="O377" s="10">
        <f t="shared" si="38"/>
        <v>0.26000000000000006</v>
      </c>
      <c r="P377" t="str">
        <f t="shared" si="39"/>
        <v>30</v>
      </c>
      <c r="Q377" t="str">
        <f t="shared" si="40"/>
        <v>May</v>
      </c>
      <c r="R377" t="str">
        <f t="shared" si="41"/>
        <v>2022</v>
      </c>
    </row>
    <row r="378" spans="1:18" x14ac:dyDescent="0.2">
      <c r="A378" s="1">
        <v>44715</v>
      </c>
      <c r="B378" t="s">
        <v>21</v>
      </c>
      <c r="C378" t="str">
        <f>_xlfn.XLOOKUP(B378,PRODUCT_MASTER!$A:$A,PRODUCT_MASTER!$B:$B,2,0)</f>
        <v>Product08</v>
      </c>
      <c r="D378" t="str">
        <f>_xlfn.XLOOKUP(B378,PRODUCT_MASTER!$A:$A,PRODUCT_MASTER!$C:$C,2,0)</f>
        <v>Gourmet Foods</v>
      </c>
      <c r="E378" t="str">
        <f>_xlfn.XLOOKUP(B378,PRODUCT_MASTER!$A:$A,PRODUCT_MASTER!$D:$D,2,0)</f>
        <v>Kg</v>
      </c>
      <c r="F378">
        <f>_xlfn.XLOOKUP(B378,PRODUCT_MASTER!$A:$A,PRODUCT_MASTER!$E:$E,2,0)</f>
        <v>83</v>
      </c>
      <c r="G378">
        <f>_xlfn.XLOOKUP(B378,PRODUCT_MASTER!$A:$A,PRODUCT_MASTER!$F:$F,2,0)</f>
        <v>94.62</v>
      </c>
      <c r="H378">
        <v>14</v>
      </c>
      <c r="I378" t="s">
        <v>101</v>
      </c>
      <c r="J378" t="s">
        <v>101</v>
      </c>
      <c r="K378">
        <v>0</v>
      </c>
      <c r="L378" s="15">
        <f t="shared" si="35"/>
        <v>1162</v>
      </c>
      <c r="M378" s="15">
        <f t="shared" si="36"/>
        <v>1324.68</v>
      </c>
      <c r="N378" s="15">
        <f t="shared" si="37"/>
        <v>162.68000000000006</v>
      </c>
      <c r="O378" s="10">
        <f t="shared" si="38"/>
        <v>0.14000000000000004</v>
      </c>
      <c r="P378" t="str">
        <f t="shared" si="39"/>
        <v>03</v>
      </c>
      <c r="Q378" t="str">
        <f t="shared" si="40"/>
        <v>Jun</v>
      </c>
      <c r="R378" t="str">
        <f t="shared" si="41"/>
        <v>2022</v>
      </c>
    </row>
    <row r="379" spans="1:18" x14ac:dyDescent="0.2">
      <c r="A379" s="1">
        <v>44722</v>
      </c>
      <c r="B379" t="s">
        <v>61</v>
      </c>
      <c r="C379" t="str">
        <f>_xlfn.XLOOKUP(B379,PRODUCT_MASTER!$A:$A,PRODUCT_MASTER!$B:$B,2,0)</f>
        <v>Product28</v>
      </c>
      <c r="D379" t="str">
        <f>_xlfn.XLOOKUP(B379,PRODUCT_MASTER!$A:$A,PRODUCT_MASTER!$C:$C,2,0)</f>
        <v>Cheese And Dairy</v>
      </c>
      <c r="E379" t="str">
        <f>_xlfn.XLOOKUP(B379,PRODUCT_MASTER!$A:$A,PRODUCT_MASTER!$D:$D,2,0)</f>
        <v>No.</v>
      </c>
      <c r="F379">
        <f>_xlfn.XLOOKUP(B379,PRODUCT_MASTER!$A:$A,PRODUCT_MASTER!$E:$E,2,0)</f>
        <v>37</v>
      </c>
      <c r="G379">
        <f>_xlfn.XLOOKUP(B379,PRODUCT_MASTER!$A:$A,PRODUCT_MASTER!$F:$F,2,0)</f>
        <v>41.81</v>
      </c>
      <c r="H379">
        <v>8</v>
      </c>
      <c r="I379" t="s">
        <v>100</v>
      </c>
      <c r="J379" t="s">
        <v>101</v>
      </c>
      <c r="K379">
        <v>0</v>
      </c>
      <c r="L379" s="15">
        <f t="shared" si="35"/>
        <v>296</v>
      </c>
      <c r="M379" s="15">
        <f t="shared" si="36"/>
        <v>334.48</v>
      </c>
      <c r="N379" s="15">
        <f t="shared" si="37"/>
        <v>38.480000000000018</v>
      </c>
      <c r="O379" s="10">
        <f t="shared" si="38"/>
        <v>0.13000000000000006</v>
      </c>
      <c r="P379" t="str">
        <f t="shared" si="39"/>
        <v>10</v>
      </c>
      <c r="Q379" t="str">
        <f t="shared" si="40"/>
        <v>Jun</v>
      </c>
      <c r="R379" t="str">
        <f t="shared" si="41"/>
        <v>2022</v>
      </c>
    </row>
    <row r="380" spans="1:18" x14ac:dyDescent="0.2">
      <c r="A380" s="1">
        <v>44723</v>
      </c>
      <c r="B380" t="s">
        <v>83</v>
      </c>
      <c r="C380" t="str">
        <f>_xlfn.XLOOKUP(B380,PRODUCT_MASTER!$A:$A,PRODUCT_MASTER!$B:$B,2,0)</f>
        <v>Product39</v>
      </c>
      <c r="D380" t="str">
        <f>_xlfn.XLOOKUP(B380,PRODUCT_MASTER!$A:$A,PRODUCT_MASTER!$C:$C,2,0)</f>
        <v>Snacks</v>
      </c>
      <c r="E380" t="str">
        <f>_xlfn.XLOOKUP(B380,PRODUCT_MASTER!$A:$A,PRODUCT_MASTER!$D:$D,2,0)</f>
        <v>No.</v>
      </c>
      <c r="F380">
        <f>_xlfn.XLOOKUP(B380,PRODUCT_MASTER!$A:$A,PRODUCT_MASTER!$E:$E,2,0)</f>
        <v>37</v>
      </c>
      <c r="G380">
        <f>_xlfn.XLOOKUP(B380,PRODUCT_MASTER!$A:$A,PRODUCT_MASTER!$F:$F,2,0)</f>
        <v>42.55</v>
      </c>
      <c r="H380">
        <v>13</v>
      </c>
      <c r="I380" t="s">
        <v>101</v>
      </c>
      <c r="J380" t="s">
        <v>102</v>
      </c>
      <c r="K380">
        <v>0</v>
      </c>
      <c r="L380" s="15">
        <f t="shared" si="35"/>
        <v>481</v>
      </c>
      <c r="M380" s="15">
        <f t="shared" si="36"/>
        <v>553.15</v>
      </c>
      <c r="N380" s="15">
        <f t="shared" si="37"/>
        <v>72.149999999999977</v>
      </c>
      <c r="O380" s="10">
        <f t="shared" si="38"/>
        <v>0.14999999999999994</v>
      </c>
      <c r="P380" t="str">
        <f t="shared" si="39"/>
        <v>11</v>
      </c>
      <c r="Q380" t="str">
        <f t="shared" si="40"/>
        <v>Jun</v>
      </c>
      <c r="R380" t="str">
        <f t="shared" si="41"/>
        <v>2022</v>
      </c>
    </row>
    <row r="381" spans="1:18" x14ac:dyDescent="0.2">
      <c r="A381" s="1">
        <v>44723</v>
      </c>
      <c r="B381" t="s">
        <v>47</v>
      </c>
      <c r="C381" t="str">
        <f>_xlfn.XLOOKUP(B381,PRODUCT_MASTER!$A:$A,PRODUCT_MASTER!$B:$B,2,0)</f>
        <v>Product21</v>
      </c>
      <c r="D381" t="str">
        <f>_xlfn.XLOOKUP(B381,PRODUCT_MASTER!$A:$A,PRODUCT_MASTER!$C:$C,2,0)</f>
        <v>Poultry</v>
      </c>
      <c r="E381" t="str">
        <f>_xlfn.XLOOKUP(B381,PRODUCT_MASTER!$A:$A,PRODUCT_MASTER!$D:$D,2,0)</f>
        <v>Ft</v>
      </c>
      <c r="F381">
        <f>_xlfn.XLOOKUP(B381,PRODUCT_MASTER!$A:$A,PRODUCT_MASTER!$E:$E,2,0)</f>
        <v>126</v>
      </c>
      <c r="G381">
        <f>_xlfn.XLOOKUP(B381,PRODUCT_MASTER!$A:$A,PRODUCT_MASTER!$F:$F,2,0)</f>
        <v>162.54</v>
      </c>
      <c r="H381">
        <v>6</v>
      </c>
      <c r="I381" t="s">
        <v>103</v>
      </c>
      <c r="J381" t="s">
        <v>101</v>
      </c>
      <c r="K381">
        <v>0</v>
      </c>
      <c r="L381" s="15">
        <f t="shared" si="35"/>
        <v>756</v>
      </c>
      <c r="M381" s="15">
        <f t="shared" si="36"/>
        <v>975.24</v>
      </c>
      <c r="N381" s="15">
        <f t="shared" si="37"/>
        <v>219.24</v>
      </c>
      <c r="O381" s="10">
        <f t="shared" si="38"/>
        <v>0.29000000000000004</v>
      </c>
      <c r="P381" t="str">
        <f t="shared" si="39"/>
        <v>11</v>
      </c>
      <c r="Q381" t="str">
        <f t="shared" si="40"/>
        <v>Jun</v>
      </c>
      <c r="R381" t="str">
        <f t="shared" si="41"/>
        <v>2022</v>
      </c>
    </row>
    <row r="382" spans="1:18" x14ac:dyDescent="0.2">
      <c r="A382" s="1">
        <v>44725</v>
      </c>
      <c r="B382" t="s">
        <v>57</v>
      </c>
      <c r="C382" t="str">
        <f>_xlfn.XLOOKUP(B382,PRODUCT_MASTER!$A:$A,PRODUCT_MASTER!$B:$B,2,0)</f>
        <v>Product26</v>
      </c>
      <c r="D382" t="str">
        <f>_xlfn.XLOOKUP(B382,PRODUCT_MASTER!$A:$A,PRODUCT_MASTER!$C:$C,2,0)</f>
        <v>Seafood</v>
      </c>
      <c r="E382" t="str">
        <f>_xlfn.XLOOKUP(B382,PRODUCT_MASTER!$A:$A,PRODUCT_MASTER!$D:$D,2,0)</f>
        <v>No.</v>
      </c>
      <c r="F382">
        <f>_xlfn.XLOOKUP(B382,PRODUCT_MASTER!$A:$A,PRODUCT_MASTER!$E:$E,2,0)</f>
        <v>18</v>
      </c>
      <c r="G382">
        <f>_xlfn.XLOOKUP(B382,PRODUCT_MASTER!$A:$A,PRODUCT_MASTER!$F:$F,2,0)</f>
        <v>24.66</v>
      </c>
      <c r="H382">
        <v>6</v>
      </c>
      <c r="I382" t="s">
        <v>103</v>
      </c>
      <c r="J382" t="s">
        <v>102</v>
      </c>
      <c r="K382">
        <v>0</v>
      </c>
      <c r="L382" s="15">
        <f t="shared" si="35"/>
        <v>108</v>
      </c>
      <c r="M382" s="15">
        <f t="shared" si="36"/>
        <v>147.96</v>
      </c>
      <c r="N382" s="15">
        <f t="shared" si="37"/>
        <v>39.960000000000008</v>
      </c>
      <c r="O382" s="10">
        <f t="shared" si="38"/>
        <v>0.37000000000000005</v>
      </c>
      <c r="P382" t="str">
        <f t="shared" si="39"/>
        <v>13</v>
      </c>
      <c r="Q382" t="str">
        <f t="shared" si="40"/>
        <v>Jun</v>
      </c>
      <c r="R382" t="str">
        <f t="shared" si="41"/>
        <v>2022</v>
      </c>
    </row>
    <row r="383" spans="1:18" x14ac:dyDescent="0.2">
      <c r="A383" s="1">
        <v>44727</v>
      </c>
      <c r="B383" t="s">
        <v>89</v>
      </c>
      <c r="C383" t="str">
        <f>_xlfn.XLOOKUP(B383,PRODUCT_MASTER!$A:$A,PRODUCT_MASTER!$B:$B,2,0)</f>
        <v>Product42</v>
      </c>
      <c r="D383" t="str">
        <f>_xlfn.XLOOKUP(B383,PRODUCT_MASTER!$A:$A,PRODUCT_MASTER!$C:$C,2,0)</f>
        <v>Candy</v>
      </c>
      <c r="E383" t="str">
        <f>_xlfn.XLOOKUP(B383,PRODUCT_MASTER!$A:$A,PRODUCT_MASTER!$D:$D,2,0)</f>
        <v>Ft</v>
      </c>
      <c r="F383">
        <f>_xlfn.XLOOKUP(B383,PRODUCT_MASTER!$A:$A,PRODUCT_MASTER!$E:$E,2,0)</f>
        <v>120</v>
      </c>
      <c r="G383">
        <f>_xlfn.XLOOKUP(B383,PRODUCT_MASTER!$A:$A,PRODUCT_MASTER!$F:$F,2,0)</f>
        <v>162</v>
      </c>
      <c r="H383">
        <v>15</v>
      </c>
      <c r="I383" t="s">
        <v>100</v>
      </c>
      <c r="J383" t="s">
        <v>101</v>
      </c>
      <c r="K383">
        <v>0</v>
      </c>
      <c r="L383" s="15">
        <f t="shared" si="35"/>
        <v>1800</v>
      </c>
      <c r="M383" s="15">
        <f t="shared" si="36"/>
        <v>2430</v>
      </c>
      <c r="N383" s="15">
        <f t="shared" si="37"/>
        <v>630</v>
      </c>
      <c r="O383" s="10">
        <f t="shared" si="38"/>
        <v>0.35</v>
      </c>
      <c r="P383" t="str">
        <f t="shared" si="39"/>
        <v>15</v>
      </c>
      <c r="Q383" t="str">
        <f t="shared" si="40"/>
        <v>Jun</v>
      </c>
      <c r="R383" t="str">
        <f t="shared" si="41"/>
        <v>2022</v>
      </c>
    </row>
    <row r="384" spans="1:18" x14ac:dyDescent="0.2">
      <c r="A384" s="1">
        <v>44728</v>
      </c>
      <c r="B384" t="s">
        <v>63</v>
      </c>
      <c r="C384" t="str">
        <f>_xlfn.XLOOKUP(B384,PRODUCT_MASTER!$A:$A,PRODUCT_MASTER!$B:$B,2,0)</f>
        <v>Product29</v>
      </c>
      <c r="D384" t="str">
        <f>_xlfn.XLOOKUP(B384,PRODUCT_MASTER!$A:$A,PRODUCT_MASTER!$C:$C,2,0)</f>
        <v>Cheese And Dairy</v>
      </c>
      <c r="E384" t="str">
        <f>_xlfn.XLOOKUP(B384,PRODUCT_MASTER!$A:$A,PRODUCT_MASTER!$D:$D,2,0)</f>
        <v>Lt</v>
      </c>
      <c r="F384">
        <f>_xlfn.XLOOKUP(B384,PRODUCT_MASTER!$A:$A,PRODUCT_MASTER!$E:$E,2,0)</f>
        <v>47</v>
      </c>
      <c r="G384">
        <f>_xlfn.XLOOKUP(B384,PRODUCT_MASTER!$A:$A,PRODUCT_MASTER!$F:$F,2,0)</f>
        <v>53.11</v>
      </c>
      <c r="H384">
        <v>15</v>
      </c>
      <c r="I384" t="s">
        <v>101</v>
      </c>
      <c r="J384" t="s">
        <v>102</v>
      </c>
      <c r="K384">
        <v>0</v>
      </c>
      <c r="L384" s="15">
        <f t="shared" si="35"/>
        <v>705</v>
      </c>
      <c r="M384" s="15">
        <f t="shared" si="36"/>
        <v>796.65</v>
      </c>
      <c r="N384" s="15">
        <f t="shared" si="37"/>
        <v>91.649999999999977</v>
      </c>
      <c r="O384" s="10">
        <f t="shared" si="38"/>
        <v>0.12999999999999998</v>
      </c>
      <c r="P384" t="str">
        <f t="shared" si="39"/>
        <v>16</v>
      </c>
      <c r="Q384" t="str">
        <f t="shared" si="40"/>
        <v>Jun</v>
      </c>
      <c r="R384" t="str">
        <f t="shared" si="41"/>
        <v>2022</v>
      </c>
    </row>
    <row r="385" spans="1:18" x14ac:dyDescent="0.2">
      <c r="A385" s="1">
        <v>44731</v>
      </c>
      <c r="B385" t="s">
        <v>9</v>
      </c>
      <c r="C385" t="str">
        <f>_xlfn.XLOOKUP(B385,PRODUCT_MASTER!$A:$A,PRODUCT_MASTER!$B:$B,2,0)</f>
        <v>Product02</v>
      </c>
      <c r="D385" t="str">
        <f>_xlfn.XLOOKUP(B385,PRODUCT_MASTER!$A:$A,PRODUCT_MASTER!$C:$C,2,0)</f>
        <v>Organic</v>
      </c>
      <c r="E385" t="str">
        <f>_xlfn.XLOOKUP(B385,PRODUCT_MASTER!$A:$A,PRODUCT_MASTER!$D:$D,2,0)</f>
        <v>Kg</v>
      </c>
      <c r="F385">
        <f>_xlfn.XLOOKUP(B385,PRODUCT_MASTER!$A:$A,PRODUCT_MASTER!$E:$E,2,0)</f>
        <v>105</v>
      </c>
      <c r="G385">
        <f>_xlfn.XLOOKUP(B385,PRODUCT_MASTER!$A:$A,PRODUCT_MASTER!$F:$F,2,0)</f>
        <v>142.80000000000001</v>
      </c>
      <c r="H385">
        <v>8</v>
      </c>
      <c r="I385" t="s">
        <v>103</v>
      </c>
      <c r="J385" t="s">
        <v>102</v>
      </c>
      <c r="K385">
        <v>0</v>
      </c>
      <c r="L385" s="15">
        <f t="shared" si="35"/>
        <v>840</v>
      </c>
      <c r="M385" s="15">
        <f t="shared" si="36"/>
        <v>1142.4000000000001</v>
      </c>
      <c r="N385" s="15">
        <f t="shared" si="37"/>
        <v>302.40000000000009</v>
      </c>
      <c r="O385" s="10">
        <f t="shared" si="38"/>
        <v>0.3600000000000001</v>
      </c>
      <c r="P385" t="str">
        <f t="shared" si="39"/>
        <v>19</v>
      </c>
      <c r="Q385" t="str">
        <f t="shared" si="40"/>
        <v>Jun</v>
      </c>
      <c r="R385" t="str">
        <f t="shared" si="41"/>
        <v>2022</v>
      </c>
    </row>
    <row r="386" spans="1:18" x14ac:dyDescent="0.2">
      <c r="A386" s="1">
        <v>44733</v>
      </c>
      <c r="B386" t="s">
        <v>39</v>
      </c>
      <c r="C386" t="str">
        <f>_xlfn.XLOOKUP(B386,PRODUCT_MASTER!$A:$A,PRODUCT_MASTER!$B:$B,2,0)</f>
        <v>Product17</v>
      </c>
      <c r="D386" t="str">
        <f>_xlfn.XLOOKUP(B386,PRODUCT_MASTER!$A:$A,PRODUCT_MASTER!$C:$C,2,0)</f>
        <v>Poultry</v>
      </c>
      <c r="E386" t="str">
        <f>_xlfn.XLOOKUP(B386,PRODUCT_MASTER!$A:$A,PRODUCT_MASTER!$D:$D,2,0)</f>
        <v>Ft</v>
      </c>
      <c r="F386">
        <f>_xlfn.XLOOKUP(B386,PRODUCT_MASTER!$A:$A,PRODUCT_MASTER!$E:$E,2,0)</f>
        <v>134</v>
      </c>
      <c r="G386">
        <f>_xlfn.XLOOKUP(B386,PRODUCT_MASTER!$A:$A,PRODUCT_MASTER!$F:$F,2,0)</f>
        <v>156.78</v>
      </c>
      <c r="H386">
        <v>14</v>
      </c>
      <c r="I386" t="s">
        <v>103</v>
      </c>
      <c r="J386" t="s">
        <v>102</v>
      </c>
      <c r="K386">
        <v>0</v>
      </c>
      <c r="L386" s="15">
        <f t="shared" si="35"/>
        <v>1876</v>
      </c>
      <c r="M386" s="15">
        <f t="shared" si="36"/>
        <v>2194.92</v>
      </c>
      <c r="N386" s="15">
        <f t="shared" si="37"/>
        <v>318.92000000000007</v>
      </c>
      <c r="O386" s="10">
        <f t="shared" si="38"/>
        <v>0.17000000000000004</v>
      </c>
      <c r="P386" t="str">
        <f t="shared" si="39"/>
        <v>21</v>
      </c>
      <c r="Q386" t="str">
        <f t="shared" si="40"/>
        <v>Jun</v>
      </c>
      <c r="R386" t="str">
        <f t="shared" si="41"/>
        <v>2022</v>
      </c>
    </row>
    <row r="387" spans="1:18" x14ac:dyDescent="0.2">
      <c r="A387" s="1">
        <v>44734</v>
      </c>
      <c r="B387" t="s">
        <v>85</v>
      </c>
      <c r="C387" t="str">
        <f>_xlfn.XLOOKUP(B387,PRODUCT_MASTER!$A:$A,PRODUCT_MASTER!$B:$B,2,0)</f>
        <v>Product40</v>
      </c>
      <c r="D387" t="str">
        <f>_xlfn.XLOOKUP(B387,PRODUCT_MASTER!$A:$A,PRODUCT_MASTER!$C:$C,2,0)</f>
        <v>Snacks</v>
      </c>
      <c r="E387" t="str">
        <f>_xlfn.XLOOKUP(B387,PRODUCT_MASTER!$A:$A,PRODUCT_MASTER!$D:$D,2,0)</f>
        <v>Kg</v>
      </c>
      <c r="F387">
        <f>_xlfn.XLOOKUP(B387,PRODUCT_MASTER!$A:$A,PRODUCT_MASTER!$E:$E,2,0)</f>
        <v>90</v>
      </c>
      <c r="G387">
        <f>_xlfn.XLOOKUP(B387,PRODUCT_MASTER!$A:$A,PRODUCT_MASTER!$F:$F,2,0)</f>
        <v>115.2</v>
      </c>
      <c r="H387">
        <v>10</v>
      </c>
      <c r="I387" t="s">
        <v>101</v>
      </c>
      <c r="J387" t="s">
        <v>102</v>
      </c>
      <c r="K387">
        <v>0</v>
      </c>
      <c r="L387" s="15">
        <f t="shared" ref="L387:L450" si="42">F387*H387</f>
        <v>900</v>
      </c>
      <c r="M387" s="15">
        <f t="shared" ref="M387:M450" si="43">G387*H387</f>
        <v>1152</v>
      </c>
      <c r="N387" s="15">
        <f t="shared" ref="N387:N450" si="44">M387-L387</f>
        <v>252</v>
      </c>
      <c r="O387" s="10">
        <f t="shared" ref="O387:O450" si="45">N387/L387</f>
        <v>0.28000000000000003</v>
      </c>
      <c r="P387" t="str">
        <f t="shared" ref="P387:P450" si="46">TEXT(A387,"DD")</f>
        <v>22</v>
      </c>
      <c r="Q387" t="str">
        <f t="shared" ref="Q387:Q450" si="47">TEXT(A387,"MMM")</f>
        <v>Jun</v>
      </c>
      <c r="R387" t="str">
        <f t="shared" ref="R387:R450" si="48">TEXT(A387,"YYYY")</f>
        <v>2022</v>
      </c>
    </row>
    <row r="388" spans="1:18" x14ac:dyDescent="0.2">
      <c r="A388" s="1">
        <v>44734</v>
      </c>
      <c r="B388" t="s">
        <v>6</v>
      </c>
      <c r="C388" t="str">
        <f>_xlfn.XLOOKUP(B388,PRODUCT_MASTER!$A:$A,PRODUCT_MASTER!$B:$B,2,0)</f>
        <v>Product01</v>
      </c>
      <c r="D388" t="str">
        <f>_xlfn.XLOOKUP(B388,PRODUCT_MASTER!$A:$A,PRODUCT_MASTER!$C:$C,2,0)</f>
        <v>Organic</v>
      </c>
      <c r="E388" t="str">
        <f>_xlfn.XLOOKUP(B388,PRODUCT_MASTER!$A:$A,PRODUCT_MASTER!$D:$D,2,0)</f>
        <v>Kg</v>
      </c>
      <c r="F388">
        <f>_xlfn.XLOOKUP(B388,PRODUCT_MASTER!$A:$A,PRODUCT_MASTER!$E:$E,2,0)</f>
        <v>98</v>
      </c>
      <c r="G388">
        <f>_xlfn.XLOOKUP(B388,PRODUCT_MASTER!$A:$A,PRODUCT_MASTER!$F:$F,2,0)</f>
        <v>103.88</v>
      </c>
      <c r="H388">
        <v>4</v>
      </c>
      <c r="I388" t="s">
        <v>103</v>
      </c>
      <c r="J388" t="s">
        <v>102</v>
      </c>
      <c r="K388">
        <v>0</v>
      </c>
      <c r="L388" s="15">
        <f t="shared" si="42"/>
        <v>392</v>
      </c>
      <c r="M388" s="15">
        <f t="shared" si="43"/>
        <v>415.52</v>
      </c>
      <c r="N388" s="15">
        <f t="shared" si="44"/>
        <v>23.519999999999982</v>
      </c>
      <c r="O388" s="10">
        <f t="shared" si="45"/>
        <v>5.9999999999999956E-2</v>
      </c>
      <c r="P388" t="str">
        <f t="shared" si="46"/>
        <v>22</v>
      </c>
      <c r="Q388" t="str">
        <f t="shared" si="47"/>
        <v>Jun</v>
      </c>
      <c r="R388" t="str">
        <f t="shared" si="48"/>
        <v>2022</v>
      </c>
    </row>
    <row r="389" spans="1:18" x14ac:dyDescent="0.2">
      <c r="A389" s="1">
        <v>44735</v>
      </c>
      <c r="B389" t="s">
        <v>13</v>
      </c>
      <c r="C389" t="str">
        <f>_xlfn.XLOOKUP(B389,PRODUCT_MASTER!$A:$A,PRODUCT_MASTER!$B:$B,2,0)</f>
        <v>Product04</v>
      </c>
      <c r="D389" t="str">
        <f>_xlfn.XLOOKUP(B389,PRODUCT_MASTER!$A:$A,PRODUCT_MASTER!$C:$C,2,0)</f>
        <v>Organic</v>
      </c>
      <c r="E389" t="str">
        <f>_xlfn.XLOOKUP(B389,PRODUCT_MASTER!$A:$A,PRODUCT_MASTER!$D:$D,2,0)</f>
        <v>Lt</v>
      </c>
      <c r="F389">
        <f>_xlfn.XLOOKUP(B389,PRODUCT_MASTER!$A:$A,PRODUCT_MASTER!$E:$E,2,0)</f>
        <v>44</v>
      </c>
      <c r="G389">
        <f>_xlfn.XLOOKUP(B389,PRODUCT_MASTER!$A:$A,PRODUCT_MASTER!$F:$F,2,0)</f>
        <v>48.84</v>
      </c>
      <c r="H389">
        <v>8</v>
      </c>
      <c r="I389" t="s">
        <v>103</v>
      </c>
      <c r="J389" t="s">
        <v>101</v>
      </c>
      <c r="K389">
        <v>0</v>
      </c>
      <c r="L389" s="15">
        <f t="shared" si="42"/>
        <v>352</v>
      </c>
      <c r="M389" s="15">
        <f t="shared" si="43"/>
        <v>390.72</v>
      </c>
      <c r="N389" s="15">
        <f t="shared" si="44"/>
        <v>38.720000000000027</v>
      </c>
      <c r="O389" s="10">
        <f t="shared" si="45"/>
        <v>0.11000000000000008</v>
      </c>
      <c r="P389" t="str">
        <f t="shared" si="46"/>
        <v>23</v>
      </c>
      <c r="Q389" t="str">
        <f t="shared" si="47"/>
        <v>Jun</v>
      </c>
      <c r="R389" t="str">
        <f t="shared" si="48"/>
        <v>2022</v>
      </c>
    </row>
    <row r="390" spans="1:18" x14ac:dyDescent="0.2">
      <c r="A390" s="1">
        <v>44736</v>
      </c>
      <c r="B390" t="s">
        <v>41</v>
      </c>
      <c r="C390" t="str">
        <f>_xlfn.XLOOKUP(B390,PRODUCT_MASTER!$A:$A,PRODUCT_MASTER!$B:$B,2,0)</f>
        <v>Product18</v>
      </c>
      <c r="D390" t="str">
        <f>_xlfn.XLOOKUP(B390,PRODUCT_MASTER!$A:$A,PRODUCT_MASTER!$C:$C,2,0)</f>
        <v>Poultry</v>
      </c>
      <c r="E390" t="str">
        <f>_xlfn.XLOOKUP(B390,PRODUCT_MASTER!$A:$A,PRODUCT_MASTER!$D:$D,2,0)</f>
        <v>No.</v>
      </c>
      <c r="F390">
        <f>_xlfn.XLOOKUP(B390,PRODUCT_MASTER!$A:$A,PRODUCT_MASTER!$E:$E,2,0)</f>
        <v>37</v>
      </c>
      <c r="G390">
        <f>_xlfn.XLOOKUP(B390,PRODUCT_MASTER!$A:$A,PRODUCT_MASTER!$F:$F,2,0)</f>
        <v>49.21</v>
      </c>
      <c r="H390">
        <v>7</v>
      </c>
      <c r="I390" t="s">
        <v>103</v>
      </c>
      <c r="J390" t="s">
        <v>102</v>
      </c>
      <c r="K390">
        <v>0</v>
      </c>
      <c r="L390" s="15">
        <f t="shared" si="42"/>
        <v>259</v>
      </c>
      <c r="M390" s="15">
        <f t="shared" si="43"/>
        <v>344.47</v>
      </c>
      <c r="N390" s="15">
        <f t="shared" si="44"/>
        <v>85.470000000000027</v>
      </c>
      <c r="O390" s="10">
        <f t="shared" si="45"/>
        <v>0.33000000000000013</v>
      </c>
      <c r="P390" t="str">
        <f t="shared" si="46"/>
        <v>24</v>
      </c>
      <c r="Q390" t="str">
        <f t="shared" si="47"/>
        <v>Jun</v>
      </c>
      <c r="R390" t="str">
        <f t="shared" si="48"/>
        <v>2022</v>
      </c>
    </row>
    <row r="391" spans="1:18" x14ac:dyDescent="0.2">
      <c r="A391" s="1">
        <v>44737</v>
      </c>
      <c r="B391" t="s">
        <v>29</v>
      </c>
      <c r="C391" t="str">
        <f>_xlfn.XLOOKUP(B391,PRODUCT_MASTER!$A:$A,PRODUCT_MASTER!$B:$B,2,0)</f>
        <v>Product12</v>
      </c>
      <c r="D391" t="str">
        <f>_xlfn.XLOOKUP(B391,PRODUCT_MASTER!$A:$A,PRODUCT_MASTER!$C:$C,2,0)</f>
        <v>Meat</v>
      </c>
      <c r="E391" t="str">
        <f>_xlfn.XLOOKUP(B391,PRODUCT_MASTER!$A:$A,PRODUCT_MASTER!$D:$D,2,0)</f>
        <v>Kg</v>
      </c>
      <c r="F391">
        <f>_xlfn.XLOOKUP(B391,PRODUCT_MASTER!$A:$A,PRODUCT_MASTER!$E:$E,2,0)</f>
        <v>73</v>
      </c>
      <c r="G391">
        <f>_xlfn.XLOOKUP(B391,PRODUCT_MASTER!$A:$A,PRODUCT_MASTER!$F:$F,2,0)</f>
        <v>94.17</v>
      </c>
      <c r="H391">
        <v>7</v>
      </c>
      <c r="I391" t="s">
        <v>101</v>
      </c>
      <c r="J391" t="s">
        <v>101</v>
      </c>
      <c r="K391">
        <v>0</v>
      </c>
      <c r="L391" s="15">
        <f t="shared" si="42"/>
        <v>511</v>
      </c>
      <c r="M391" s="15">
        <f t="shared" si="43"/>
        <v>659.19</v>
      </c>
      <c r="N391" s="15">
        <f t="shared" si="44"/>
        <v>148.19000000000005</v>
      </c>
      <c r="O391" s="10">
        <f t="shared" si="45"/>
        <v>0.29000000000000009</v>
      </c>
      <c r="P391" t="str">
        <f t="shared" si="46"/>
        <v>25</v>
      </c>
      <c r="Q391" t="str">
        <f t="shared" si="47"/>
        <v>Jun</v>
      </c>
      <c r="R391" t="str">
        <f t="shared" si="48"/>
        <v>2022</v>
      </c>
    </row>
    <row r="392" spans="1:18" x14ac:dyDescent="0.2">
      <c r="A392" s="1">
        <v>44738</v>
      </c>
      <c r="B392" t="s">
        <v>73</v>
      </c>
      <c r="C392" t="str">
        <f>_xlfn.XLOOKUP(B392,PRODUCT_MASTER!$A:$A,PRODUCT_MASTER!$B:$B,2,0)</f>
        <v>Product34</v>
      </c>
      <c r="D392" t="str">
        <f>_xlfn.XLOOKUP(B392,PRODUCT_MASTER!$A:$A,PRODUCT_MASTER!$C:$C,2,0)</f>
        <v>Bakery And Desserts</v>
      </c>
      <c r="E392" t="str">
        <f>_xlfn.XLOOKUP(B392,PRODUCT_MASTER!$A:$A,PRODUCT_MASTER!$D:$D,2,0)</f>
        <v>Lt</v>
      </c>
      <c r="F392">
        <f>_xlfn.XLOOKUP(B392,PRODUCT_MASTER!$A:$A,PRODUCT_MASTER!$E:$E,2,0)</f>
        <v>55</v>
      </c>
      <c r="G392">
        <f>_xlfn.XLOOKUP(B392,PRODUCT_MASTER!$A:$A,PRODUCT_MASTER!$F:$F,2,0)</f>
        <v>58.3</v>
      </c>
      <c r="H392">
        <v>4</v>
      </c>
      <c r="I392" t="s">
        <v>103</v>
      </c>
      <c r="J392" t="s">
        <v>102</v>
      </c>
      <c r="K392">
        <v>0</v>
      </c>
      <c r="L392" s="15">
        <f t="shared" si="42"/>
        <v>220</v>
      </c>
      <c r="M392" s="15">
        <f t="shared" si="43"/>
        <v>233.2</v>
      </c>
      <c r="N392" s="15">
        <f t="shared" si="44"/>
        <v>13.199999999999989</v>
      </c>
      <c r="O392" s="10">
        <f t="shared" si="45"/>
        <v>5.9999999999999949E-2</v>
      </c>
      <c r="P392" t="str">
        <f t="shared" si="46"/>
        <v>26</v>
      </c>
      <c r="Q392" t="str">
        <f t="shared" si="47"/>
        <v>Jun</v>
      </c>
      <c r="R392" t="str">
        <f t="shared" si="48"/>
        <v>2022</v>
      </c>
    </row>
    <row r="393" spans="1:18" x14ac:dyDescent="0.2">
      <c r="A393" s="1">
        <v>44738</v>
      </c>
      <c r="B393" t="s">
        <v>91</v>
      </c>
      <c r="C393" t="str">
        <f>_xlfn.XLOOKUP(B393,PRODUCT_MASTER!$A:$A,PRODUCT_MASTER!$B:$B,2,0)</f>
        <v>Product43</v>
      </c>
      <c r="D393" t="str">
        <f>_xlfn.XLOOKUP(B393,PRODUCT_MASTER!$A:$A,PRODUCT_MASTER!$C:$C,2,0)</f>
        <v>Candy</v>
      </c>
      <c r="E393" t="str">
        <f>_xlfn.XLOOKUP(B393,PRODUCT_MASTER!$A:$A,PRODUCT_MASTER!$D:$D,2,0)</f>
        <v>Kg</v>
      </c>
      <c r="F393">
        <f>_xlfn.XLOOKUP(B393,PRODUCT_MASTER!$A:$A,PRODUCT_MASTER!$E:$E,2,0)</f>
        <v>67</v>
      </c>
      <c r="G393">
        <f>_xlfn.XLOOKUP(B393,PRODUCT_MASTER!$A:$A,PRODUCT_MASTER!$F:$F,2,0)</f>
        <v>83.08</v>
      </c>
      <c r="H393">
        <v>12</v>
      </c>
      <c r="I393" t="s">
        <v>103</v>
      </c>
      <c r="J393" t="s">
        <v>101</v>
      </c>
      <c r="K393">
        <v>0</v>
      </c>
      <c r="L393" s="15">
        <f t="shared" si="42"/>
        <v>804</v>
      </c>
      <c r="M393" s="15">
        <f t="shared" si="43"/>
        <v>996.96</v>
      </c>
      <c r="N393" s="15">
        <f t="shared" si="44"/>
        <v>192.96000000000004</v>
      </c>
      <c r="O393" s="10">
        <f t="shared" si="45"/>
        <v>0.24000000000000005</v>
      </c>
      <c r="P393" t="str">
        <f t="shared" si="46"/>
        <v>26</v>
      </c>
      <c r="Q393" t="str">
        <f t="shared" si="47"/>
        <v>Jun</v>
      </c>
      <c r="R393" t="str">
        <f t="shared" si="48"/>
        <v>2022</v>
      </c>
    </row>
    <row r="394" spans="1:18" x14ac:dyDescent="0.2">
      <c r="A394" s="1">
        <v>44745</v>
      </c>
      <c r="B394" t="s">
        <v>71</v>
      </c>
      <c r="C394" t="str">
        <f>_xlfn.XLOOKUP(B394,PRODUCT_MASTER!$A:$A,PRODUCT_MASTER!$B:$B,2,0)</f>
        <v>Product33</v>
      </c>
      <c r="D394" t="str">
        <f>_xlfn.XLOOKUP(B394,PRODUCT_MASTER!$A:$A,PRODUCT_MASTER!$C:$C,2,0)</f>
        <v>Bakery And Desserts</v>
      </c>
      <c r="E394" t="str">
        <f>_xlfn.XLOOKUP(B394,PRODUCT_MASTER!$A:$A,PRODUCT_MASTER!$D:$D,2,0)</f>
        <v>Kg</v>
      </c>
      <c r="F394">
        <f>_xlfn.XLOOKUP(B394,PRODUCT_MASTER!$A:$A,PRODUCT_MASTER!$E:$E,2,0)</f>
        <v>95</v>
      </c>
      <c r="G394">
        <f>_xlfn.XLOOKUP(B394,PRODUCT_MASTER!$A:$A,PRODUCT_MASTER!$F:$F,2,0)</f>
        <v>119.7</v>
      </c>
      <c r="H394">
        <v>15</v>
      </c>
      <c r="I394" t="s">
        <v>103</v>
      </c>
      <c r="J394" t="s">
        <v>102</v>
      </c>
      <c r="K394">
        <v>0</v>
      </c>
      <c r="L394" s="15">
        <f t="shared" si="42"/>
        <v>1425</v>
      </c>
      <c r="M394" s="15">
        <f t="shared" si="43"/>
        <v>1795.5</v>
      </c>
      <c r="N394" s="15">
        <f t="shared" si="44"/>
        <v>370.5</v>
      </c>
      <c r="O394" s="10">
        <f t="shared" si="45"/>
        <v>0.26</v>
      </c>
      <c r="P394" t="str">
        <f t="shared" si="46"/>
        <v>03</v>
      </c>
      <c r="Q394" t="str">
        <f t="shared" si="47"/>
        <v>Jul</v>
      </c>
      <c r="R394" t="str">
        <f t="shared" si="48"/>
        <v>2022</v>
      </c>
    </row>
    <row r="395" spans="1:18" x14ac:dyDescent="0.2">
      <c r="A395" s="1">
        <v>44746</v>
      </c>
      <c r="B395" t="s">
        <v>19</v>
      </c>
      <c r="C395" t="str">
        <f>_xlfn.XLOOKUP(B395,PRODUCT_MASTER!$A:$A,PRODUCT_MASTER!$B:$B,2,0)</f>
        <v>Product07</v>
      </c>
      <c r="D395" t="str">
        <f>_xlfn.XLOOKUP(B395,PRODUCT_MASTER!$A:$A,PRODUCT_MASTER!$C:$C,2,0)</f>
        <v>Gourmet Foods</v>
      </c>
      <c r="E395" t="str">
        <f>_xlfn.XLOOKUP(B395,PRODUCT_MASTER!$A:$A,PRODUCT_MASTER!$D:$D,2,0)</f>
        <v>Lt</v>
      </c>
      <c r="F395">
        <f>_xlfn.XLOOKUP(B395,PRODUCT_MASTER!$A:$A,PRODUCT_MASTER!$E:$E,2,0)</f>
        <v>43</v>
      </c>
      <c r="G395">
        <f>_xlfn.XLOOKUP(B395,PRODUCT_MASTER!$A:$A,PRODUCT_MASTER!$F:$F,2,0)</f>
        <v>47.730000000000004</v>
      </c>
      <c r="H395">
        <v>7</v>
      </c>
      <c r="I395" t="s">
        <v>103</v>
      </c>
      <c r="J395" t="s">
        <v>101</v>
      </c>
      <c r="K395">
        <v>0</v>
      </c>
      <c r="L395" s="15">
        <f t="shared" si="42"/>
        <v>301</v>
      </c>
      <c r="M395" s="15">
        <f t="shared" si="43"/>
        <v>334.11</v>
      </c>
      <c r="N395" s="15">
        <f t="shared" si="44"/>
        <v>33.110000000000014</v>
      </c>
      <c r="O395" s="10">
        <f t="shared" si="45"/>
        <v>0.11000000000000004</v>
      </c>
      <c r="P395" t="str">
        <f t="shared" si="46"/>
        <v>04</v>
      </c>
      <c r="Q395" t="str">
        <f t="shared" si="47"/>
        <v>Jul</v>
      </c>
      <c r="R395" t="str">
        <f t="shared" si="48"/>
        <v>2022</v>
      </c>
    </row>
    <row r="396" spans="1:18" x14ac:dyDescent="0.2">
      <c r="A396" s="1">
        <v>44747</v>
      </c>
      <c r="B396" t="s">
        <v>55</v>
      </c>
      <c r="C396" t="str">
        <f>_xlfn.XLOOKUP(B396,PRODUCT_MASTER!$A:$A,PRODUCT_MASTER!$B:$B,2,0)</f>
        <v>Product25</v>
      </c>
      <c r="D396" t="str">
        <f>_xlfn.XLOOKUP(B396,PRODUCT_MASTER!$A:$A,PRODUCT_MASTER!$C:$C,2,0)</f>
        <v>Seafood</v>
      </c>
      <c r="E396" t="str">
        <f>_xlfn.XLOOKUP(B396,PRODUCT_MASTER!$A:$A,PRODUCT_MASTER!$D:$D,2,0)</f>
        <v>No.</v>
      </c>
      <c r="F396">
        <f>_xlfn.XLOOKUP(B396,PRODUCT_MASTER!$A:$A,PRODUCT_MASTER!$E:$E,2,0)</f>
        <v>7</v>
      </c>
      <c r="G396">
        <f>_xlfn.XLOOKUP(B396,PRODUCT_MASTER!$A:$A,PRODUCT_MASTER!$F:$F,2,0)</f>
        <v>8.33</v>
      </c>
      <c r="H396">
        <v>7</v>
      </c>
      <c r="I396" t="s">
        <v>101</v>
      </c>
      <c r="J396" t="s">
        <v>102</v>
      </c>
      <c r="K396">
        <v>0</v>
      </c>
      <c r="L396" s="15">
        <f t="shared" si="42"/>
        <v>49</v>
      </c>
      <c r="M396" s="15">
        <f t="shared" si="43"/>
        <v>58.31</v>
      </c>
      <c r="N396" s="15">
        <f t="shared" si="44"/>
        <v>9.3100000000000023</v>
      </c>
      <c r="O396" s="10">
        <f t="shared" si="45"/>
        <v>0.19000000000000006</v>
      </c>
      <c r="P396" t="str">
        <f t="shared" si="46"/>
        <v>05</v>
      </c>
      <c r="Q396" t="str">
        <f t="shared" si="47"/>
        <v>Jul</v>
      </c>
      <c r="R396" t="str">
        <f t="shared" si="48"/>
        <v>2022</v>
      </c>
    </row>
    <row r="397" spans="1:18" x14ac:dyDescent="0.2">
      <c r="A397" s="1">
        <v>44747</v>
      </c>
      <c r="B397" t="s">
        <v>35</v>
      </c>
      <c r="C397" t="str">
        <f>_xlfn.XLOOKUP(B397,PRODUCT_MASTER!$A:$A,PRODUCT_MASTER!$B:$B,2,0)</f>
        <v>Product15</v>
      </c>
      <c r="D397" t="str">
        <f>_xlfn.XLOOKUP(B397,PRODUCT_MASTER!$A:$A,PRODUCT_MASTER!$C:$C,2,0)</f>
        <v>Meat</v>
      </c>
      <c r="E397" t="str">
        <f>_xlfn.XLOOKUP(B397,PRODUCT_MASTER!$A:$A,PRODUCT_MASTER!$D:$D,2,0)</f>
        <v>No.</v>
      </c>
      <c r="F397">
        <f>_xlfn.XLOOKUP(B397,PRODUCT_MASTER!$A:$A,PRODUCT_MASTER!$E:$E,2,0)</f>
        <v>12</v>
      </c>
      <c r="G397">
        <f>_xlfn.XLOOKUP(B397,PRODUCT_MASTER!$A:$A,PRODUCT_MASTER!$F:$F,2,0)</f>
        <v>15.719999999999999</v>
      </c>
      <c r="H397">
        <v>8</v>
      </c>
      <c r="I397" t="s">
        <v>103</v>
      </c>
      <c r="J397" t="s">
        <v>101</v>
      </c>
      <c r="K397">
        <v>0</v>
      </c>
      <c r="L397" s="15">
        <f t="shared" si="42"/>
        <v>96</v>
      </c>
      <c r="M397" s="15">
        <f t="shared" si="43"/>
        <v>125.75999999999999</v>
      </c>
      <c r="N397" s="15">
        <f t="shared" si="44"/>
        <v>29.759999999999991</v>
      </c>
      <c r="O397" s="10">
        <f t="shared" si="45"/>
        <v>0.30999999999999989</v>
      </c>
      <c r="P397" t="str">
        <f t="shared" si="46"/>
        <v>05</v>
      </c>
      <c r="Q397" t="str">
        <f t="shared" si="47"/>
        <v>Jul</v>
      </c>
      <c r="R397" t="str">
        <f t="shared" si="48"/>
        <v>2022</v>
      </c>
    </row>
    <row r="398" spans="1:18" x14ac:dyDescent="0.2">
      <c r="A398" s="1">
        <v>44748</v>
      </c>
      <c r="B398" t="s">
        <v>87</v>
      </c>
      <c r="C398" t="str">
        <f>_xlfn.XLOOKUP(B398,PRODUCT_MASTER!$A:$A,PRODUCT_MASTER!$B:$B,2,0)</f>
        <v>Product41</v>
      </c>
      <c r="D398" t="str">
        <f>_xlfn.XLOOKUP(B398,PRODUCT_MASTER!$A:$A,PRODUCT_MASTER!$C:$C,2,0)</f>
        <v>Snacks</v>
      </c>
      <c r="E398" t="str">
        <f>_xlfn.XLOOKUP(B398,PRODUCT_MASTER!$A:$A,PRODUCT_MASTER!$D:$D,2,0)</f>
        <v>Ft</v>
      </c>
      <c r="F398">
        <f>_xlfn.XLOOKUP(B398,PRODUCT_MASTER!$A:$A,PRODUCT_MASTER!$E:$E,2,0)</f>
        <v>138</v>
      </c>
      <c r="G398">
        <f>_xlfn.XLOOKUP(B398,PRODUCT_MASTER!$A:$A,PRODUCT_MASTER!$F:$F,2,0)</f>
        <v>173.88</v>
      </c>
      <c r="H398">
        <v>2</v>
      </c>
      <c r="I398" t="s">
        <v>103</v>
      </c>
      <c r="J398" t="s">
        <v>102</v>
      </c>
      <c r="K398">
        <v>0</v>
      </c>
      <c r="L398" s="15">
        <f t="shared" si="42"/>
        <v>276</v>
      </c>
      <c r="M398" s="15">
        <f t="shared" si="43"/>
        <v>347.76</v>
      </c>
      <c r="N398" s="15">
        <f t="shared" si="44"/>
        <v>71.759999999999991</v>
      </c>
      <c r="O398" s="10">
        <f t="shared" si="45"/>
        <v>0.25999999999999995</v>
      </c>
      <c r="P398" t="str">
        <f t="shared" si="46"/>
        <v>06</v>
      </c>
      <c r="Q398" t="str">
        <f t="shared" si="47"/>
        <v>Jul</v>
      </c>
      <c r="R398" t="str">
        <f t="shared" si="48"/>
        <v>2022</v>
      </c>
    </row>
    <row r="399" spans="1:18" x14ac:dyDescent="0.2">
      <c r="A399" s="1">
        <v>44750</v>
      </c>
      <c r="B399" t="s">
        <v>41</v>
      </c>
      <c r="C399" t="str">
        <f>_xlfn.XLOOKUP(B399,PRODUCT_MASTER!$A:$A,PRODUCT_MASTER!$B:$B,2,0)</f>
        <v>Product18</v>
      </c>
      <c r="D399" t="str">
        <f>_xlfn.XLOOKUP(B399,PRODUCT_MASTER!$A:$A,PRODUCT_MASTER!$C:$C,2,0)</f>
        <v>Poultry</v>
      </c>
      <c r="E399" t="str">
        <f>_xlfn.XLOOKUP(B399,PRODUCT_MASTER!$A:$A,PRODUCT_MASTER!$D:$D,2,0)</f>
        <v>No.</v>
      </c>
      <c r="F399">
        <f>_xlfn.XLOOKUP(B399,PRODUCT_MASTER!$A:$A,PRODUCT_MASTER!$E:$E,2,0)</f>
        <v>37</v>
      </c>
      <c r="G399">
        <f>_xlfn.XLOOKUP(B399,PRODUCT_MASTER!$A:$A,PRODUCT_MASTER!$F:$F,2,0)</f>
        <v>49.21</v>
      </c>
      <c r="H399">
        <v>2</v>
      </c>
      <c r="I399" t="s">
        <v>103</v>
      </c>
      <c r="J399" t="s">
        <v>101</v>
      </c>
      <c r="K399">
        <v>0</v>
      </c>
      <c r="L399" s="15">
        <f t="shared" si="42"/>
        <v>74</v>
      </c>
      <c r="M399" s="15">
        <f t="shared" si="43"/>
        <v>98.42</v>
      </c>
      <c r="N399" s="15">
        <f t="shared" si="44"/>
        <v>24.42</v>
      </c>
      <c r="O399" s="10">
        <f t="shared" si="45"/>
        <v>0.33</v>
      </c>
      <c r="P399" t="str">
        <f t="shared" si="46"/>
        <v>08</v>
      </c>
      <c r="Q399" t="str">
        <f t="shared" si="47"/>
        <v>Jul</v>
      </c>
      <c r="R399" t="str">
        <f t="shared" si="48"/>
        <v>2022</v>
      </c>
    </row>
    <row r="400" spans="1:18" x14ac:dyDescent="0.2">
      <c r="A400" s="1">
        <v>44752</v>
      </c>
      <c r="B400" t="s">
        <v>69</v>
      </c>
      <c r="C400" t="str">
        <f>_xlfn.XLOOKUP(B400,PRODUCT_MASTER!$A:$A,PRODUCT_MASTER!$B:$B,2,0)</f>
        <v>Product32</v>
      </c>
      <c r="D400" t="str">
        <f>_xlfn.XLOOKUP(B400,PRODUCT_MASTER!$A:$A,PRODUCT_MASTER!$C:$C,2,0)</f>
        <v>Bakery And Desserts</v>
      </c>
      <c r="E400" t="str">
        <f>_xlfn.XLOOKUP(B400,PRODUCT_MASTER!$A:$A,PRODUCT_MASTER!$D:$D,2,0)</f>
        <v>Kg</v>
      </c>
      <c r="F400">
        <f>_xlfn.XLOOKUP(B400,PRODUCT_MASTER!$A:$A,PRODUCT_MASTER!$E:$E,2,0)</f>
        <v>89</v>
      </c>
      <c r="G400">
        <f>_xlfn.XLOOKUP(B400,PRODUCT_MASTER!$A:$A,PRODUCT_MASTER!$F:$F,2,0)</f>
        <v>117.48</v>
      </c>
      <c r="H400">
        <v>12</v>
      </c>
      <c r="I400" t="s">
        <v>101</v>
      </c>
      <c r="J400" t="s">
        <v>102</v>
      </c>
      <c r="K400">
        <v>0</v>
      </c>
      <c r="L400" s="15">
        <f t="shared" si="42"/>
        <v>1068</v>
      </c>
      <c r="M400" s="15">
        <f t="shared" si="43"/>
        <v>1409.76</v>
      </c>
      <c r="N400" s="15">
        <f t="shared" si="44"/>
        <v>341.76</v>
      </c>
      <c r="O400" s="10">
        <f t="shared" si="45"/>
        <v>0.32</v>
      </c>
      <c r="P400" t="str">
        <f t="shared" si="46"/>
        <v>10</v>
      </c>
      <c r="Q400" t="str">
        <f t="shared" si="47"/>
        <v>Jul</v>
      </c>
      <c r="R400" t="str">
        <f t="shared" si="48"/>
        <v>2022</v>
      </c>
    </row>
    <row r="401" spans="1:18" x14ac:dyDescent="0.2">
      <c r="A401" s="1">
        <v>44754</v>
      </c>
      <c r="B401" t="s">
        <v>61</v>
      </c>
      <c r="C401" t="str">
        <f>_xlfn.XLOOKUP(B401,PRODUCT_MASTER!$A:$A,PRODUCT_MASTER!$B:$B,2,0)</f>
        <v>Product28</v>
      </c>
      <c r="D401" t="str">
        <f>_xlfn.XLOOKUP(B401,PRODUCT_MASTER!$A:$A,PRODUCT_MASTER!$C:$C,2,0)</f>
        <v>Cheese And Dairy</v>
      </c>
      <c r="E401" t="str">
        <f>_xlfn.XLOOKUP(B401,PRODUCT_MASTER!$A:$A,PRODUCT_MASTER!$D:$D,2,0)</f>
        <v>No.</v>
      </c>
      <c r="F401">
        <f>_xlfn.XLOOKUP(B401,PRODUCT_MASTER!$A:$A,PRODUCT_MASTER!$E:$E,2,0)</f>
        <v>37</v>
      </c>
      <c r="G401">
        <f>_xlfn.XLOOKUP(B401,PRODUCT_MASTER!$A:$A,PRODUCT_MASTER!$F:$F,2,0)</f>
        <v>41.81</v>
      </c>
      <c r="H401">
        <v>12</v>
      </c>
      <c r="I401" t="s">
        <v>103</v>
      </c>
      <c r="J401" t="s">
        <v>102</v>
      </c>
      <c r="K401">
        <v>0</v>
      </c>
      <c r="L401" s="15">
        <f t="shared" si="42"/>
        <v>444</v>
      </c>
      <c r="M401" s="15">
        <f t="shared" si="43"/>
        <v>501.72</v>
      </c>
      <c r="N401" s="15">
        <f t="shared" si="44"/>
        <v>57.720000000000027</v>
      </c>
      <c r="O401" s="10">
        <f t="shared" si="45"/>
        <v>0.13000000000000006</v>
      </c>
      <c r="P401" t="str">
        <f t="shared" si="46"/>
        <v>12</v>
      </c>
      <c r="Q401" t="str">
        <f t="shared" si="47"/>
        <v>Jul</v>
      </c>
      <c r="R401" t="str">
        <f t="shared" si="48"/>
        <v>2022</v>
      </c>
    </row>
    <row r="402" spans="1:18" x14ac:dyDescent="0.2">
      <c r="A402" s="1">
        <v>44755</v>
      </c>
      <c r="B402" t="s">
        <v>55</v>
      </c>
      <c r="C402" t="str">
        <f>_xlfn.XLOOKUP(B402,PRODUCT_MASTER!$A:$A,PRODUCT_MASTER!$B:$B,2,0)</f>
        <v>Product25</v>
      </c>
      <c r="D402" t="str">
        <f>_xlfn.XLOOKUP(B402,PRODUCT_MASTER!$A:$A,PRODUCT_MASTER!$C:$C,2,0)</f>
        <v>Seafood</v>
      </c>
      <c r="E402" t="str">
        <f>_xlfn.XLOOKUP(B402,PRODUCT_MASTER!$A:$A,PRODUCT_MASTER!$D:$D,2,0)</f>
        <v>No.</v>
      </c>
      <c r="F402">
        <f>_xlfn.XLOOKUP(B402,PRODUCT_MASTER!$A:$A,PRODUCT_MASTER!$E:$E,2,0)</f>
        <v>7</v>
      </c>
      <c r="G402">
        <f>_xlfn.XLOOKUP(B402,PRODUCT_MASTER!$A:$A,PRODUCT_MASTER!$F:$F,2,0)</f>
        <v>8.33</v>
      </c>
      <c r="H402">
        <v>7</v>
      </c>
      <c r="I402" t="s">
        <v>103</v>
      </c>
      <c r="J402" t="s">
        <v>101</v>
      </c>
      <c r="K402">
        <v>0</v>
      </c>
      <c r="L402" s="15">
        <f t="shared" si="42"/>
        <v>49</v>
      </c>
      <c r="M402" s="15">
        <f t="shared" si="43"/>
        <v>58.31</v>
      </c>
      <c r="N402" s="15">
        <f t="shared" si="44"/>
        <v>9.3100000000000023</v>
      </c>
      <c r="O402" s="10">
        <f t="shared" si="45"/>
        <v>0.19000000000000006</v>
      </c>
      <c r="P402" t="str">
        <f t="shared" si="46"/>
        <v>13</v>
      </c>
      <c r="Q402" t="str">
        <f t="shared" si="47"/>
        <v>Jul</v>
      </c>
      <c r="R402" t="str">
        <f t="shared" si="48"/>
        <v>2022</v>
      </c>
    </row>
    <row r="403" spans="1:18" x14ac:dyDescent="0.2">
      <c r="A403" s="1">
        <v>44756</v>
      </c>
      <c r="B403" t="s">
        <v>71</v>
      </c>
      <c r="C403" t="str">
        <f>_xlfn.XLOOKUP(B403,PRODUCT_MASTER!$A:$A,PRODUCT_MASTER!$B:$B,2,0)</f>
        <v>Product33</v>
      </c>
      <c r="D403" t="str">
        <f>_xlfn.XLOOKUP(B403,PRODUCT_MASTER!$A:$A,PRODUCT_MASTER!$C:$C,2,0)</f>
        <v>Bakery And Desserts</v>
      </c>
      <c r="E403" t="str">
        <f>_xlfn.XLOOKUP(B403,PRODUCT_MASTER!$A:$A,PRODUCT_MASTER!$D:$D,2,0)</f>
        <v>Kg</v>
      </c>
      <c r="F403">
        <f>_xlfn.XLOOKUP(B403,PRODUCT_MASTER!$A:$A,PRODUCT_MASTER!$E:$E,2,0)</f>
        <v>95</v>
      </c>
      <c r="G403">
        <f>_xlfn.XLOOKUP(B403,PRODUCT_MASTER!$A:$A,PRODUCT_MASTER!$F:$F,2,0)</f>
        <v>119.7</v>
      </c>
      <c r="H403">
        <v>9</v>
      </c>
      <c r="I403" t="s">
        <v>103</v>
      </c>
      <c r="J403" t="s">
        <v>101</v>
      </c>
      <c r="K403">
        <v>0</v>
      </c>
      <c r="L403" s="15">
        <f t="shared" si="42"/>
        <v>855</v>
      </c>
      <c r="M403" s="15">
        <f t="shared" si="43"/>
        <v>1077.3</v>
      </c>
      <c r="N403" s="15">
        <f t="shared" si="44"/>
        <v>222.29999999999995</v>
      </c>
      <c r="O403" s="10">
        <f t="shared" si="45"/>
        <v>0.25999999999999995</v>
      </c>
      <c r="P403" t="str">
        <f t="shared" si="46"/>
        <v>14</v>
      </c>
      <c r="Q403" t="str">
        <f t="shared" si="47"/>
        <v>Jul</v>
      </c>
      <c r="R403" t="str">
        <f t="shared" si="48"/>
        <v>2022</v>
      </c>
    </row>
    <row r="404" spans="1:18" x14ac:dyDescent="0.2">
      <c r="A404" s="1">
        <v>44757</v>
      </c>
      <c r="B404" t="s">
        <v>13</v>
      </c>
      <c r="C404" t="str">
        <f>_xlfn.XLOOKUP(B404,PRODUCT_MASTER!$A:$A,PRODUCT_MASTER!$B:$B,2,0)</f>
        <v>Product04</v>
      </c>
      <c r="D404" t="str">
        <f>_xlfn.XLOOKUP(B404,PRODUCT_MASTER!$A:$A,PRODUCT_MASTER!$C:$C,2,0)</f>
        <v>Organic</v>
      </c>
      <c r="E404" t="str">
        <f>_xlfn.XLOOKUP(B404,PRODUCT_MASTER!$A:$A,PRODUCT_MASTER!$D:$D,2,0)</f>
        <v>Lt</v>
      </c>
      <c r="F404">
        <f>_xlfn.XLOOKUP(B404,PRODUCT_MASTER!$A:$A,PRODUCT_MASTER!$E:$E,2,0)</f>
        <v>44</v>
      </c>
      <c r="G404">
        <f>_xlfn.XLOOKUP(B404,PRODUCT_MASTER!$A:$A,PRODUCT_MASTER!$F:$F,2,0)</f>
        <v>48.84</v>
      </c>
      <c r="H404">
        <v>2</v>
      </c>
      <c r="I404" t="s">
        <v>101</v>
      </c>
      <c r="J404" t="s">
        <v>101</v>
      </c>
      <c r="K404">
        <v>0</v>
      </c>
      <c r="L404" s="15">
        <f t="shared" si="42"/>
        <v>88</v>
      </c>
      <c r="M404" s="15">
        <f t="shared" si="43"/>
        <v>97.68</v>
      </c>
      <c r="N404" s="15">
        <f t="shared" si="44"/>
        <v>9.6800000000000068</v>
      </c>
      <c r="O404" s="10">
        <f t="shared" si="45"/>
        <v>0.11000000000000008</v>
      </c>
      <c r="P404" t="str">
        <f t="shared" si="46"/>
        <v>15</v>
      </c>
      <c r="Q404" t="str">
        <f t="shared" si="47"/>
        <v>Jul</v>
      </c>
      <c r="R404" t="str">
        <f t="shared" si="48"/>
        <v>2022</v>
      </c>
    </row>
    <row r="405" spans="1:18" x14ac:dyDescent="0.2">
      <c r="A405" s="1">
        <v>44759</v>
      </c>
      <c r="B405" t="s">
        <v>87</v>
      </c>
      <c r="C405" t="str">
        <f>_xlfn.XLOOKUP(B405,PRODUCT_MASTER!$A:$A,PRODUCT_MASTER!$B:$B,2,0)</f>
        <v>Product41</v>
      </c>
      <c r="D405" t="str">
        <f>_xlfn.XLOOKUP(B405,PRODUCT_MASTER!$A:$A,PRODUCT_MASTER!$C:$C,2,0)</f>
        <v>Snacks</v>
      </c>
      <c r="E405" t="str">
        <f>_xlfn.XLOOKUP(B405,PRODUCT_MASTER!$A:$A,PRODUCT_MASTER!$D:$D,2,0)</f>
        <v>Ft</v>
      </c>
      <c r="F405">
        <f>_xlfn.XLOOKUP(B405,PRODUCT_MASTER!$A:$A,PRODUCT_MASTER!$E:$E,2,0)</f>
        <v>138</v>
      </c>
      <c r="G405">
        <f>_xlfn.XLOOKUP(B405,PRODUCT_MASTER!$A:$A,PRODUCT_MASTER!$F:$F,2,0)</f>
        <v>173.88</v>
      </c>
      <c r="H405">
        <v>8</v>
      </c>
      <c r="I405" t="s">
        <v>101</v>
      </c>
      <c r="J405" t="s">
        <v>102</v>
      </c>
      <c r="K405">
        <v>0</v>
      </c>
      <c r="L405" s="15">
        <f t="shared" si="42"/>
        <v>1104</v>
      </c>
      <c r="M405" s="15">
        <f t="shared" si="43"/>
        <v>1391.04</v>
      </c>
      <c r="N405" s="15">
        <f t="shared" si="44"/>
        <v>287.03999999999996</v>
      </c>
      <c r="O405" s="10">
        <f t="shared" si="45"/>
        <v>0.25999999999999995</v>
      </c>
      <c r="P405" t="str">
        <f t="shared" si="46"/>
        <v>17</v>
      </c>
      <c r="Q405" t="str">
        <f t="shared" si="47"/>
        <v>Jul</v>
      </c>
      <c r="R405" t="str">
        <f t="shared" si="48"/>
        <v>2022</v>
      </c>
    </row>
    <row r="406" spans="1:18" x14ac:dyDescent="0.2">
      <c r="A406" s="1">
        <v>44760</v>
      </c>
      <c r="B406" t="s">
        <v>25</v>
      </c>
      <c r="C406" t="str">
        <f>_xlfn.XLOOKUP(B406,PRODUCT_MASTER!$A:$A,PRODUCT_MASTER!$B:$B,2,0)</f>
        <v>Product10</v>
      </c>
      <c r="D406" t="str">
        <f>_xlfn.XLOOKUP(B406,PRODUCT_MASTER!$A:$A,PRODUCT_MASTER!$C:$C,2,0)</f>
        <v>Gourmet Foods</v>
      </c>
      <c r="E406" t="str">
        <f>_xlfn.XLOOKUP(B406,PRODUCT_MASTER!$A:$A,PRODUCT_MASTER!$D:$D,2,0)</f>
        <v>Ft</v>
      </c>
      <c r="F406">
        <f>_xlfn.XLOOKUP(B406,PRODUCT_MASTER!$A:$A,PRODUCT_MASTER!$E:$E,2,0)</f>
        <v>148</v>
      </c>
      <c r="G406">
        <f>_xlfn.XLOOKUP(B406,PRODUCT_MASTER!$A:$A,PRODUCT_MASTER!$F:$F,2,0)</f>
        <v>164.28</v>
      </c>
      <c r="H406">
        <v>12</v>
      </c>
      <c r="I406" t="s">
        <v>103</v>
      </c>
      <c r="J406" t="s">
        <v>101</v>
      </c>
      <c r="K406">
        <v>0</v>
      </c>
      <c r="L406" s="15">
        <f t="shared" si="42"/>
        <v>1776</v>
      </c>
      <c r="M406" s="15">
        <f t="shared" si="43"/>
        <v>1971.3600000000001</v>
      </c>
      <c r="N406" s="15">
        <f t="shared" si="44"/>
        <v>195.36000000000013</v>
      </c>
      <c r="O406" s="10">
        <f t="shared" si="45"/>
        <v>0.11000000000000007</v>
      </c>
      <c r="P406" t="str">
        <f t="shared" si="46"/>
        <v>18</v>
      </c>
      <c r="Q406" t="str">
        <f t="shared" si="47"/>
        <v>Jul</v>
      </c>
      <c r="R406" t="str">
        <f t="shared" si="48"/>
        <v>2022</v>
      </c>
    </row>
    <row r="407" spans="1:18" x14ac:dyDescent="0.2">
      <c r="A407" s="1">
        <v>44762</v>
      </c>
      <c r="B407" t="s">
        <v>89</v>
      </c>
      <c r="C407" t="str">
        <f>_xlfn.XLOOKUP(B407,PRODUCT_MASTER!$A:$A,PRODUCT_MASTER!$B:$B,2,0)</f>
        <v>Product42</v>
      </c>
      <c r="D407" t="str">
        <f>_xlfn.XLOOKUP(B407,PRODUCT_MASTER!$A:$A,PRODUCT_MASTER!$C:$C,2,0)</f>
        <v>Candy</v>
      </c>
      <c r="E407" t="str">
        <f>_xlfn.XLOOKUP(B407,PRODUCT_MASTER!$A:$A,PRODUCT_MASTER!$D:$D,2,0)</f>
        <v>Ft</v>
      </c>
      <c r="F407">
        <f>_xlfn.XLOOKUP(B407,PRODUCT_MASTER!$A:$A,PRODUCT_MASTER!$E:$E,2,0)</f>
        <v>120</v>
      </c>
      <c r="G407">
        <f>_xlfn.XLOOKUP(B407,PRODUCT_MASTER!$A:$A,PRODUCT_MASTER!$F:$F,2,0)</f>
        <v>162</v>
      </c>
      <c r="H407">
        <v>8</v>
      </c>
      <c r="I407" t="s">
        <v>100</v>
      </c>
      <c r="J407" t="s">
        <v>101</v>
      </c>
      <c r="K407">
        <v>0</v>
      </c>
      <c r="L407" s="15">
        <f t="shared" si="42"/>
        <v>960</v>
      </c>
      <c r="M407" s="15">
        <f t="shared" si="43"/>
        <v>1296</v>
      </c>
      <c r="N407" s="15">
        <f t="shared" si="44"/>
        <v>336</v>
      </c>
      <c r="O407" s="10">
        <f t="shared" si="45"/>
        <v>0.35</v>
      </c>
      <c r="P407" t="str">
        <f t="shared" si="46"/>
        <v>20</v>
      </c>
      <c r="Q407" t="str">
        <f t="shared" si="47"/>
        <v>Jul</v>
      </c>
      <c r="R407" t="str">
        <f t="shared" si="48"/>
        <v>2022</v>
      </c>
    </row>
    <row r="408" spans="1:18" x14ac:dyDescent="0.2">
      <c r="A408" s="1">
        <v>44764</v>
      </c>
      <c r="B408" t="s">
        <v>73</v>
      </c>
      <c r="C408" t="str">
        <f>_xlfn.XLOOKUP(B408,PRODUCT_MASTER!$A:$A,PRODUCT_MASTER!$B:$B,2,0)</f>
        <v>Product34</v>
      </c>
      <c r="D408" t="str">
        <f>_xlfn.XLOOKUP(B408,PRODUCT_MASTER!$A:$A,PRODUCT_MASTER!$C:$C,2,0)</f>
        <v>Bakery And Desserts</v>
      </c>
      <c r="E408" t="str">
        <f>_xlfn.XLOOKUP(B408,PRODUCT_MASTER!$A:$A,PRODUCT_MASTER!$D:$D,2,0)</f>
        <v>Lt</v>
      </c>
      <c r="F408">
        <f>_xlfn.XLOOKUP(B408,PRODUCT_MASTER!$A:$A,PRODUCT_MASTER!$E:$E,2,0)</f>
        <v>55</v>
      </c>
      <c r="G408">
        <f>_xlfn.XLOOKUP(B408,PRODUCT_MASTER!$A:$A,PRODUCT_MASTER!$F:$F,2,0)</f>
        <v>58.3</v>
      </c>
      <c r="H408">
        <v>6</v>
      </c>
      <c r="I408" t="s">
        <v>103</v>
      </c>
      <c r="J408" t="s">
        <v>102</v>
      </c>
      <c r="K408">
        <v>0</v>
      </c>
      <c r="L408" s="15">
        <f t="shared" si="42"/>
        <v>330</v>
      </c>
      <c r="M408" s="15">
        <f t="shared" si="43"/>
        <v>349.79999999999995</v>
      </c>
      <c r="N408" s="15">
        <f t="shared" si="44"/>
        <v>19.799999999999955</v>
      </c>
      <c r="O408" s="10">
        <f t="shared" si="45"/>
        <v>5.9999999999999859E-2</v>
      </c>
      <c r="P408" t="str">
        <f t="shared" si="46"/>
        <v>22</v>
      </c>
      <c r="Q408" t="str">
        <f t="shared" si="47"/>
        <v>Jul</v>
      </c>
      <c r="R408" t="str">
        <f t="shared" si="48"/>
        <v>2022</v>
      </c>
    </row>
    <row r="409" spans="1:18" x14ac:dyDescent="0.2">
      <c r="A409" s="1">
        <v>44765</v>
      </c>
      <c r="B409" t="s">
        <v>41</v>
      </c>
      <c r="C409" t="str">
        <f>_xlfn.XLOOKUP(B409,PRODUCT_MASTER!$A:$A,PRODUCT_MASTER!$B:$B,2,0)</f>
        <v>Product18</v>
      </c>
      <c r="D409" t="str">
        <f>_xlfn.XLOOKUP(B409,PRODUCT_MASTER!$A:$A,PRODUCT_MASTER!$C:$C,2,0)</f>
        <v>Poultry</v>
      </c>
      <c r="E409" t="str">
        <f>_xlfn.XLOOKUP(B409,PRODUCT_MASTER!$A:$A,PRODUCT_MASTER!$D:$D,2,0)</f>
        <v>No.</v>
      </c>
      <c r="F409">
        <f>_xlfn.XLOOKUP(B409,PRODUCT_MASTER!$A:$A,PRODUCT_MASTER!$E:$E,2,0)</f>
        <v>37</v>
      </c>
      <c r="G409">
        <f>_xlfn.XLOOKUP(B409,PRODUCT_MASTER!$A:$A,PRODUCT_MASTER!$F:$F,2,0)</f>
        <v>49.21</v>
      </c>
      <c r="H409">
        <v>2</v>
      </c>
      <c r="I409" t="s">
        <v>101</v>
      </c>
      <c r="J409" t="s">
        <v>101</v>
      </c>
      <c r="K409">
        <v>0</v>
      </c>
      <c r="L409" s="15">
        <f t="shared" si="42"/>
        <v>74</v>
      </c>
      <c r="M409" s="15">
        <f t="shared" si="43"/>
        <v>98.42</v>
      </c>
      <c r="N409" s="15">
        <f t="shared" si="44"/>
        <v>24.42</v>
      </c>
      <c r="O409" s="10">
        <f t="shared" si="45"/>
        <v>0.33</v>
      </c>
      <c r="P409" t="str">
        <f t="shared" si="46"/>
        <v>23</v>
      </c>
      <c r="Q409" t="str">
        <f t="shared" si="47"/>
        <v>Jul</v>
      </c>
      <c r="R409" t="str">
        <f t="shared" si="48"/>
        <v>2022</v>
      </c>
    </row>
    <row r="410" spans="1:18" x14ac:dyDescent="0.2">
      <c r="A410" s="1">
        <v>44766</v>
      </c>
      <c r="B410" t="s">
        <v>17</v>
      </c>
      <c r="C410" t="str">
        <f>_xlfn.XLOOKUP(B410,PRODUCT_MASTER!$A:$A,PRODUCT_MASTER!$B:$B,2,0)</f>
        <v>Product06</v>
      </c>
      <c r="D410" t="str">
        <f>_xlfn.XLOOKUP(B410,PRODUCT_MASTER!$A:$A,PRODUCT_MASTER!$C:$C,2,0)</f>
        <v>Gourmet Foods</v>
      </c>
      <c r="E410" t="str">
        <f>_xlfn.XLOOKUP(B410,PRODUCT_MASTER!$A:$A,PRODUCT_MASTER!$D:$D,2,0)</f>
        <v>Kg</v>
      </c>
      <c r="F410">
        <f>_xlfn.XLOOKUP(B410,PRODUCT_MASTER!$A:$A,PRODUCT_MASTER!$E:$E,2,0)</f>
        <v>75</v>
      </c>
      <c r="G410">
        <f>_xlfn.XLOOKUP(B410,PRODUCT_MASTER!$A:$A,PRODUCT_MASTER!$F:$F,2,0)</f>
        <v>85.5</v>
      </c>
      <c r="H410">
        <v>14</v>
      </c>
      <c r="I410" t="s">
        <v>103</v>
      </c>
      <c r="J410" t="s">
        <v>102</v>
      </c>
      <c r="K410">
        <v>0</v>
      </c>
      <c r="L410" s="15">
        <f t="shared" si="42"/>
        <v>1050</v>
      </c>
      <c r="M410" s="15">
        <f t="shared" si="43"/>
        <v>1197</v>
      </c>
      <c r="N410" s="15">
        <f t="shared" si="44"/>
        <v>147</v>
      </c>
      <c r="O410" s="10">
        <f t="shared" si="45"/>
        <v>0.14000000000000001</v>
      </c>
      <c r="P410" t="str">
        <f t="shared" si="46"/>
        <v>24</v>
      </c>
      <c r="Q410" t="str">
        <f t="shared" si="47"/>
        <v>Jul</v>
      </c>
      <c r="R410" t="str">
        <f t="shared" si="48"/>
        <v>2022</v>
      </c>
    </row>
    <row r="411" spans="1:18" x14ac:dyDescent="0.2">
      <c r="A411" s="1">
        <v>44766</v>
      </c>
      <c r="B411" t="s">
        <v>59</v>
      </c>
      <c r="C411" t="str">
        <f>_xlfn.XLOOKUP(B411,PRODUCT_MASTER!$A:$A,PRODUCT_MASTER!$B:$B,2,0)</f>
        <v>Product27</v>
      </c>
      <c r="D411" t="str">
        <f>_xlfn.XLOOKUP(B411,PRODUCT_MASTER!$A:$A,PRODUCT_MASTER!$C:$C,2,0)</f>
        <v>Cheese And Dairy</v>
      </c>
      <c r="E411" t="str">
        <f>_xlfn.XLOOKUP(B411,PRODUCT_MASTER!$A:$A,PRODUCT_MASTER!$D:$D,2,0)</f>
        <v>Lt</v>
      </c>
      <c r="F411">
        <f>_xlfn.XLOOKUP(B411,PRODUCT_MASTER!$A:$A,PRODUCT_MASTER!$E:$E,2,0)</f>
        <v>48</v>
      </c>
      <c r="G411">
        <f>_xlfn.XLOOKUP(B411,PRODUCT_MASTER!$A:$A,PRODUCT_MASTER!$F:$F,2,0)</f>
        <v>57.120000000000005</v>
      </c>
      <c r="H411">
        <v>1</v>
      </c>
      <c r="I411" t="s">
        <v>101</v>
      </c>
      <c r="J411" t="s">
        <v>101</v>
      </c>
      <c r="K411">
        <v>0</v>
      </c>
      <c r="L411" s="15">
        <f t="shared" si="42"/>
        <v>48</v>
      </c>
      <c r="M411" s="15">
        <f t="shared" si="43"/>
        <v>57.120000000000005</v>
      </c>
      <c r="N411" s="15">
        <f t="shared" si="44"/>
        <v>9.1200000000000045</v>
      </c>
      <c r="O411" s="10">
        <f t="shared" si="45"/>
        <v>0.19000000000000009</v>
      </c>
      <c r="P411" t="str">
        <f t="shared" si="46"/>
        <v>24</v>
      </c>
      <c r="Q411" t="str">
        <f t="shared" si="47"/>
        <v>Jul</v>
      </c>
      <c r="R411" t="str">
        <f t="shared" si="48"/>
        <v>2022</v>
      </c>
    </row>
    <row r="412" spans="1:18" x14ac:dyDescent="0.2">
      <c r="A412" s="1">
        <v>44767</v>
      </c>
      <c r="B412" t="s">
        <v>93</v>
      </c>
      <c r="C412" t="str">
        <f>_xlfn.XLOOKUP(B412,PRODUCT_MASTER!$A:$A,PRODUCT_MASTER!$B:$B,2,0)</f>
        <v>Product44</v>
      </c>
      <c r="D412" t="str">
        <f>_xlfn.XLOOKUP(B412,PRODUCT_MASTER!$A:$A,PRODUCT_MASTER!$C:$C,2,0)</f>
        <v>Candy</v>
      </c>
      <c r="E412" t="str">
        <f>_xlfn.XLOOKUP(B412,PRODUCT_MASTER!$A:$A,PRODUCT_MASTER!$D:$D,2,0)</f>
        <v>Kg</v>
      </c>
      <c r="F412">
        <f>_xlfn.XLOOKUP(B412,PRODUCT_MASTER!$A:$A,PRODUCT_MASTER!$E:$E,2,0)</f>
        <v>76</v>
      </c>
      <c r="G412">
        <f>_xlfn.XLOOKUP(B412,PRODUCT_MASTER!$A:$A,PRODUCT_MASTER!$F:$F,2,0)</f>
        <v>82.08</v>
      </c>
      <c r="H412">
        <v>2</v>
      </c>
      <c r="I412" t="s">
        <v>103</v>
      </c>
      <c r="J412" t="s">
        <v>102</v>
      </c>
      <c r="K412">
        <v>0</v>
      </c>
      <c r="L412" s="15">
        <f t="shared" si="42"/>
        <v>152</v>
      </c>
      <c r="M412" s="15">
        <f t="shared" si="43"/>
        <v>164.16</v>
      </c>
      <c r="N412" s="15">
        <f t="shared" si="44"/>
        <v>12.159999999999997</v>
      </c>
      <c r="O412" s="10">
        <f t="shared" si="45"/>
        <v>7.9999999999999974E-2</v>
      </c>
      <c r="P412" t="str">
        <f t="shared" si="46"/>
        <v>25</v>
      </c>
      <c r="Q412" t="str">
        <f t="shared" si="47"/>
        <v>Jul</v>
      </c>
      <c r="R412" t="str">
        <f t="shared" si="48"/>
        <v>2022</v>
      </c>
    </row>
    <row r="413" spans="1:18" x14ac:dyDescent="0.2">
      <c r="A413" s="1">
        <v>44767</v>
      </c>
      <c r="B413" t="s">
        <v>39</v>
      </c>
      <c r="C413" t="str">
        <f>_xlfn.XLOOKUP(B413,PRODUCT_MASTER!$A:$A,PRODUCT_MASTER!$B:$B,2,0)</f>
        <v>Product17</v>
      </c>
      <c r="D413" t="str">
        <f>_xlfn.XLOOKUP(B413,PRODUCT_MASTER!$A:$A,PRODUCT_MASTER!$C:$C,2,0)</f>
        <v>Poultry</v>
      </c>
      <c r="E413" t="str">
        <f>_xlfn.XLOOKUP(B413,PRODUCT_MASTER!$A:$A,PRODUCT_MASTER!$D:$D,2,0)</f>
        <v>Ft</v>
      </c>
      <c r="F413">
        <f>_xlfn.XLOOKUP(B413,PRODUCT_MASTER!$A:$A,PRODUCT_MASTER!$E:$E,2,0)</f>
        <v>134</v>
      </c>
      <c r="G413">
        <f>_xlfn.XLOOKUP(B413,PRODUCT_MASTER!$A:$A,PRODUCT_MASTER!$F:$F,2,0)</f>
        <v>156.78</v>
      </c>
      <c r="H413">
        <v>12</v>
      </c>
      <c r="I413" t="s">
        <v>103</v>
      </c>
      <c r="J413" t="s">
        <v>102</v>
      </c>
      <c r="K413">
        <v>0</v>
      </c>
      <c r="L413" s="15">
        <f t="shared" si="42"/>
        <v>1608</v>
      </c>
      <c r="M413" s="15">
        <f t="shared" si="43"/>
        <v>1881.3600000000001</v>
      </c>
      <c r="N413" s="15">
        <f t="shared" si="44"/>
        <v>273.36000000000013</v>
      </c>
      <c r="O413" s="10">
        <f t="shared" si="45"/>
        <v>0.17000000000000007</v>
      </c>
      <c r="P413" t="str">
        <f t="shared" si="46"/>
        <v>25</v>
      </c>
      <c r="Q413" t="str">
        <f t="shared" si="47"/>
        <v>Jul</v>
      </c>
      <c r="R413" t="str">
        <f t="shared" si="48"/>
        <v>2022</v>
      </c>
    </row>
    <row r="414" spans="1:18" x14ac:dyDescent="0.2">
      <c r="A414" s="1">
        <v>44767</v>
      </c>
      <c r="B414" t="s">
        <v>11</v>
      </c>
      <c r="C414" t="str">
        <f>_xlfn.XLOOKUP(B414,PRODUCT_MASTER!$A:$A,PRODUCT_MASTER!$B:$B,2,0)</f>
        <v>Product03</v>
      </c>
      <c r="D414" t="str">
        <f>_xlfn.XLOOKUP(B414,PRODUCT_MASTER!$A:$A,PRODUCT_MASTER!$C:$C,2,0)</f>
        <v>Organic</v>
      </c>
      <c r="E414" t="str">
        <f>_xlfn.XLOOKUP(B414,PRODUCT_MASTER!$A:$A,PRODUCT_MASTER!$D:$D,2,0)</f>
        <v>Kg</v>
      </c>
      <c r="F414">
        <f>_xlfn.XLOOKUP(B414,PRODUCT_MASTER!$A:$A,PRODUCT_MASTER!$E:$E,2,0)</f>
        <v>71</v>
      </c>
      <c r="G414">
        <f>_xlfn.XLOOKUP(B414,PRODUCT_MASTER!$A:$A,PRODUCT_MASTER!$F:$F,2,0)</f>
        <v>80.94</v>
      </c>
      <c r="H414">
        <v>13</v>
      </c>
      <c r="I414" t="s">
        <v>101</v>
      </c>
      <c r="J414" t="s">
        <v>102</v>
      </c>
      <c r="K414">
        <v>0</v>
      </c>
      <c r="L414" s="15">
        <f t="shared" si="42"/>
        <v>923</v>
      </c>
      <c r="M414" s="15">
        <f t="shared" si="43"/>
        <v>1052.22</v>
      </c>
      <c r="N414" s="15">
        <f t="shared" si="44"/>
        <v>129.22000000000003</v>
      </c>
      <c r="O414" s="10">
        <f t="shared" si="45"/>
        <v>0.14000000000000004</v>
      </c>
      <c r="P414" t="str">
        <f t="shared" si="46"/>
        <v>25</v>
      </c>
      <c r="Q414" t="str">
        <f t="shared" si="47"/>
        <v>Jul</v>
      </c>
      <c r="R414" t="str">
        <f t="shared" si="48"/>
        <v>2022</v>
      </c>
    </row>
    <row r="415" spans="1:18" x14ac:dyDescent="0.2">
      <c r="A415" s="1">
        <v>44768</v>
      </c>
      <c r="B415" t="s">
        <v>11</v>
      </c>
      <c r="C415" t="str">
        <f>_xlfn.XLOOKUP(B415,PRODUCT_MASTER!$A:$A,PRODUCT_MASTER!$B:$B,2,0)</f>
        <v>Product03</v>
      </c>
      <c r="D415" t="str">
        <f>_xlfn.XLOOKUP(B415,PRODUCT_MASTER!$A:$A,PRODUCT_MASTER!$C:$C,2,0)</f>
        <v>Organic</v>
      </c>
      <c r="E415" t="str">
        <f>_xlfn.XLOOKUP(B415,PRODUCT_MASTER!$A:$A,PRODUCT_MASTER!$D:$D,2,0)</f>
        <v>Kg</v>
      </c>
      <c r="F415">
        <f>_xlfn.XLOOKUP(B415,PRODUCT_MASTER!$A:$A,PRODUCT_MASTER!$E:$E,2,0)</f>
        <v>71</v>
      </c>
      <c r="G415">
        <f>_xlfn.XLOOKUP(B415,PRODUCT_MASTER!$A:$A,PRODUCT_MASTER!$F:$F,2,0)</f>
        <v>80.94</v>
      </c>
      <c r="H415">
        <v>10</v>
      </c>
      <c r="I415" t="s">
        <v>101</v>
      </c>
      <c r="J415" t="s">
        <v>101</v>
      </c>
      <c r="K415">
        <v>0</v>
      </c>
      <c r="L415" s="15">
        <f t="shared" si="42"/>
        <v>710</v>
      </c>
      <c r="M415" s="15">
        <f t="shared" si="43"/>
        <v>809.4</v>
      </c>
      <c r="N415" s="15">
        <f t="shared" si="44"/>
        <v>99.399999999999977</v>
      </c>
      <c r="O415" s="10">
        <f t="shared" si="45"/>
        <v>0.13999999999999996</v>
      </c>
      <c r="P415" t="str">
        <f t="shared" si="46"/>
        <v>26</v>
      </c>
      <c r="Q415" t="str">
        <f t="shared" si="47"/>
        <v>Jul</v>
      </c>
      <c r="R415" t="str">
        <f t="shared" si="48"/>
        <v>2022</v>
      </c>
    </row>
    <row r="416" spans="1:18" x14ac:dyDescent="0.2">
      <c r="A416" s="1">
        <v>44768</v>
      </c>
      <c r="B416" t="s">
        <v>57</v>
      </c>
      <c r="C416" t="str">
        <f>_xlfn.XLOOKUP(B416,PRODUCT_MASTER!$A:$A,PRODUCT_MASTER!$B:$B,2,0)</f>
        <v>Product26</v>
      </c>
      <c r="D416" t="str">
        <f>_xlfn.XLOOKUP(B416,PRODUCT_MASTER!$A:$A,PRODUCT_MASTER!$C:$C,2,0)</f>
        <v>Seafood</v>
      </c>
      <c r="E416" t="str">
        <f>_xlfn.XLOOKUP(B416,PRODUCT_MASTER!$A:$A,PRODUCT_MASTER!$D:$D,2,0)</f>
        <v>No.</v>
      </c>
      <c r="F416">
        <f>_xlfn.XLOOKUP(B416,PRODUCT_MASTER!$A:$A,PRODUCT_MASTER!$E:$E,2,0)</f>
        <v>18</v>
      </c>
      <c r="G416">
        <f>_xlfn.XLOOKUP(B416,PRODUCT_MASTER!$A:$A,PRODUCT_MASTER!$F:$F,2,0)</f>
        <v>24.66</v>
      </c>
      <c r="H416">
        <v>1</v>
      </c>
      <c r="I416" t="s">
        <v>101</v>
      </c>
      <c r="J416" t="s">
        <v>102</v>
      </c>
      <c r="K416">
        <v>0</v>
      </c>
      <c r="L416" s="15">
        <f t="shared" si="42"/>
        <v>18</v>
      </c>
      <c r="M416" s="15">
        <f t="shared" si="43"/>
        <v>24.66</v>
      </c>
      <c r="N416" s="15">
        <f t="shared" si="44"/>
        <v>6.66</v>
      </c>
      <c r="O416" s="10">
        <f t="shared" si="45"/>
        <v>0.37</v>
      </c>
      <c r="P416" t="str">
        <f t="shared" si="46"/>
        <v>26</v>
      </c>
      <c r="Q416" t="str">
        <f t="shared" si="47"/>
        <v>Jul</v>
      </c>
      <c r="R416" t="str">
        <f t="shared" si="48"/>
        <v>2022</v>
      </c>
    </row>
    <row r="417" spans="1:18" x14ac:dyDescent="0.2">
      <c r="A417" s="1">
        <v>44776</v>
      </c>
      <c r="B417" t="s">
        <v>29</v>
      </c>
      <c r="C417" t="str">
        <f>_xlfn.XLOOKUP(B417,PRODUCT_MASTER!$A:$A,PRODUCT_MASTER!$B:$B,2,0)</f>
        <v>Product12</v>
      </c>
      <c r="D417" t="str">
        <f>_xlfn.XLOOKUP(B417,PRODUCT_MASTER!$A:$A,PRODUCT_MASTER!$C:$C,2,0)</f>
        <v>Meat</v>
      </c>
      <c r="E417" t="str">
        <f>_xlfn.XLOOKUP(B417,PRODUCT_MASTER!$A:$A,PRODUCT_MASTER!$D:$D,2,0)</f>
        <v>Kg</v>
      </c>
      <c r="F417">
        <f>_xlfn.XLOOKUP(B417,PRODUCT_MASTER!$A:$A,PRODUCT_MASTER!$E:$E,2,0)</f>
        <v>73</v>
      </c>
      <c r="G417">
        <f>_xlfn.XLOOKUP(B417,PRODUCT_MASTER!$A:$A,PRODUCT_MASTER!$F:$F,2,0)</f>
        <v>94.17</v>
      </c>
      <c r="H417">
        <v>5</v>
      </c>
      <c r="I417" t="s">
        <v>103</v>
      </c>
      <c r="J417" t="s">
        <v>102</v>
      </c>
      <c r="K417">
        <v>0</v>
      </c>
      <c r="L417" s="15">
        <f t="shared" si="42"/>
        <v>365</v>
      </c>
      <c r="M417" s="15">
        <f t="shared" si="43"/>
        <v>470.85</v>
      </c>
      <c r="N417" s="15">
        <f t="shared" si="44"/>
        <v>105.85000000000002</v>
      </c>
      <c r="O417" s="10">
        <f t="shared" si="45"/>
        <v>0.29000000000000004</v>
      </c>
      <c r="P417" t="str">
        <f t="shared" si="46"/>
        <v>03</v>
      </c>
      <c r="Q417" t="str">
        <f t="shared" si="47"/>
        <v>Aug</v>
      </c>
      <c r="R417" t="str">
        <f t="shared" si="48"/>
        <v>2022</v>
      </c>
    </row>
    <row r="418" spans="1:18" x14ac:dyDescent="0.2">
      <c r="A418" s="1">
        <v>44779</v>
      </c>
      <c r="B418" t="s">
        <v>37</v>
      </c>
      <c r="C418" t="str">
        <f>_xlfn.XLOOKUP(B418,PRODUCT_MASTER!$A:$A,PRODUCT_MASTER!$B:$B,2,0)</f>
        <v>Product16</v>
      </c>
      <c r="D418" t="str">
        <f>_xlfn.XLOOKUP(B418,PRODUCT_MASTER!$A:$A,PRODUCT_MASTER!$C:$C,2,0)</f>
        <v>Meat</v>
      </c>
      <c r="E418" t="str">
        <f>_xlfn.XLOOKUP(B418,PRODUCT_MASTER!$A:$A,PRODUCT_MASTER!$D:$D,2,0)</f>
        <v>No.</v>
      </c>
      <c r="F418">
        <f>_xlfn.XLOOKUP(B418,PRODUCT_MASTER!$A:$A,PRODUCT_MASTER!$E:$E,2,0)</f>
        <v>13</v>
      </c>
      <c r="G418">
        <f>_xlfn.XLOOKUP(B418,PRODUCT_MASTER!$A:$A,PRODUCT_MASTER!$F:$F,2,0)</f>
        <v>16.64</v>
      </c>
      <c r="H418">
        <v>9</v>
      </c>
      <c r="I418" t="s">
        <v>101</v>
      </c>
      <c r="J418" t="s">
        <v>101</v>
      </c>
      <c r="K418">
        <v>0</v>
      </c>
      <c r="L418" s="15">
        <f t="shared" si="42"/>
        <v>117</v>
      </c>
      <c r="M418" s="15">
        <f t="shared" si="43"/>
        <v>149.76</v>
      </c>
      <c r="N418" s="15">
        <f t="shared" si="44"/>
        <v>32.759999999999991</v>
      </c>
      <c r="O418" s="10">
        <f t="shared" si="45"/>
        <v>0.27999999999999992</v>
      </c>
      <c r="P418" t="str">
        <f t="shared" si="46"/>
        <v>06</v>
      </c>
      <c r="Q418" t="str">
        <f t="shared" si="47"/>
        <v>Aug</v>
      </c>
      <c r="R418" t="str">
        <f t="shared" si="48"/>
        <v>2022</v>
      </c>
    </row>
    <row r="419" spans="1:18" x14ac:dyDescent="0.2">
      <c r="A419" s="1">
        <v>44781</v>
      </c>
      <c r="B419" t="s">
        <v>37</v>
      </c>
      <c r="C419" t="str">
        <f>_xlfn.XLOOKUP(B419,PRODUCT_MASTER!$A:$A,PRODUCT_MASTER!$B:$B,2,0)</f>
        <v>Product16</v>
      </c>
      <c r="D419" t="str">
        <f>_xlfn.XLOOKUP(B419,PRODUCT_MASTER!$A:$A,PRODUCT_MASTER!$C:$C,2,0)</f>
        <v>Meat</v>
      </c>
      <c r="E419" t="str">
        <f>_xlfn.XLOOKUP(B419,PRODUCT_MASTER!$A:$A,PRODUCT_MASTER!$D:$D,2,0)</f>
        <v>No.</v>
      </c>
      <c r="F419">
        <f>_xlfn.XLOOKUP(B419,PRODUCT_MASTER!$A:$A,PRODUCT_MASTER!$E:$E,2,0)</f>
        <v>13</v>
      </c>
      <c r="G419">
        <f>_xlfn.XLOOKUP(B419,PRODUCT_MASTER!$A:$A,PRODUCT_MASTER!$F:$F,2,0)</f>
        <v>16.64</v>
      </c>
      <c r="H419">
        <v>2</v>
      </c>
      <c r="I419" t="s">
        <v>103</v>
      </c>
      <c r="J419" t="s">
        <v>101</v>
      </c>
      <c r="K419">
        <v>0</v>
      </c>
      <c r="L419" s="15">
        <f t="shared" si="42"/>
        <v>26</v>
      </c>
      <c r="M419" s="15">
        <f t="shared" si="43"/>
        <v>33.28</v>
      </c>
      <c r="N419" s="15">
        <f t="shared" si="44"/>
        <v>7.2800000000000011</v>
      </c>
      <c r="O419" s="10">
        <f t="shared" si="45"/>
        <v>0.28000000000000003</v>
      </c>
      <c r="P419" t="str">
        <f t="shared" si="46"/>
        <v>08</v>
      </c>
      <c r="Q419" t="str">
        <f t="shared" si="47"/>
        <v>Aug</v>
      </c>
      <c r="R419" t="str">
        <f t="shared" si="48"/>
        <v>2022</v>
      </c>
    </row>
    <row r="420" spans="1:18" x14ac:dyDescent="0.2">
      <c r="A420" s="1">
        <v>44781</v>
      </c>
      <c r="B420" t="s">
        <v>69</v>
      </c>
      <c r="C420" t="str">
        <f>_xlfn.XLOOKUP(B420,PRODUCT_MASTER!$A:$A,PRODUCT_MASTER!$B:$B,2,0)</f>
        <v>Product32</v>
      </c>
      <c r="D420" t="str">
        <f>_xlfn.XLOOKUP(B420,PRODUCT_MASTER!$A:$A,PRODUCT_MASTER!$C:$C,2,0)</f>
        <v>Bakery And Desserts</v>
      </c>
      <c r="E420" t="str">
        <f>_xlfn.XLOOKUP(B420,PRODUCT_MASTER!$A:$A,PRODUCT_MASTER!$D:$D,2,0)</f>
        <v>Kg</v>
      </c>
      <c r="F420">
        <f>_xlfn.XLOOKUP(B420,PRODUCT_MASTER!$A:$A,PRODUCT_MASTER!$E:$E,2,0)</f>
        <v>89</v>
      </c>
      <c r="G420">
        <f>_xlfn.XLOOKUP(B420,PRODUCT_MASTER!$A:$A,PRODUCT_MASTER!$F:$F,2,0)</f>
        <v>117.48</v>
      </c>
      <c r="H420">
        <v>12</v>
      </c>
      <c r="I420" t="s">
        <v>103</v>
      </c>
      <c r="J420" t="s">
        <v>102</v>
      </c>
      <c r="K420">
        <v>0</v>
      </c>
      <c r="L420" s="15">
        <f t="shared" si="42"/>
        <v>1068</v>
      </c>
      <c r="M420" s="15">
        <f t="shared" si="43"/>
        <v>1409.76</v>
      </c>
      <c r="N420" s="15">
        <f t="shared" si="44"/>
        <v>341.76</v>
      </c>
      <c r="O420" s="10">
        <f t="shared" si="45"/>
        <v>0.32</v>
      </c>
      <c r="P420" t="str">
        <f t="shared" si="46"/>
        <v>08</v>
      </c>
      <c r="Q420" t="str">
        <f t="shared" si="47"/>
        <v>Aug</v>
      </c>
      <c r="R420" t="str">
        <f t="shared" si="48"/>
        <v>2022</v>
      </c>
    </row>
    <row r="421" spans="1:18" x14ac:dyDescent="0.2">
      <c r="A421" s="1">
        <v>44781</v>
      </c>
      <c r="B421" t="s">
        <v>47</v>
      </c>
      <c r="C421" t="str">
        <f>_xlfn.XLOOKUP(B421,PRODUCT_MASTER!$A:$A,PRODUCT_MASTER!$B:$B,2,0)</f>
        <v>Product21</v>
      </c>
      <c r="D421" t="str">
        <f>_xlfn.XLOOKUP(B421,PRODUCT_MASTER!$A:$A,PRODUCT_MASTER!$C:$C,2,0)</f>
        <v>Poultry</v>
      </c>
      <c r="E421" t="str">
        <f>_xlfn.XLOOKUP(B421,PRODUCT_MASTER!$A:$A,PRODUCT_MASTER!$D:$D,2,0)</f>
        <v>Ft</v>
      </c>
      <c r="F421">
        <f>_xlfn.XLOOKUP(B421,PRODUCT_MASTER!$A:$A,PRODUCT_MASTER!$E:$E,2,0)</f>
        <v>126</v>
      </c>
      <c r="G421">
        <f>_xlfn.XLOOKUP(B421,PRODUCT_MASTER!$A:$A,PRODUCT_MASTER!$F:$F,2,0)</f>
        <v>162.54</v>
      </c>
      <c r="H421">
        <v>11</v>
      </c>
      <c r="I421" t="s">
        <v>103</v>
      </c>
      <c r="J421" t="s">
        <v>102</v>
      </c>
      <c r="K421">
        <v>0</v>
      </c>
      <c r="L421" s="15">
        <f t="shared" si="42"/>
        <v>1386</v>
      </c>
      <c r="M421" s="15">
        <f t="shared" si="43"/>
        <v>1787.9399999999998</v>
      </c>
      <c r="N421" s="15">
        <f t="shared" si="44"/>
        <v>401.93999999999983</v>
      </c>
      <c r="O421" s="10">
        <f t="shared" si="45"/>
        <v>0.28999999999999987</v>
      </c>
      <c r="P421" t="str">
        <f t="shared" si="46"/>
        <v>08</v>
      </c>
      <c r="Q421" t="str">
        <f t="shared" si="47"/>
        <v>Aug</v>
      </c>
      <c r="R421" t="str">
        <f t="shared" si="48"/>
        <v>2022</v>
      </c>
    </row>
    <row r="422" spans="1:18" x14ac:dyDescent="0.2">
      <c r="A422" s="1">
        <v>44787</v>
      </c>
      <c r="B422" t="s">
        <v>65</v>
      </c>
      <c r="C422" t="str">
        <f>_xlfn.XLOOKUP(B422,PRODUCT_MASTER!$A:$A,PRODUCT_MASTER!$B:$B,2,0)</f>
        <v>Product30</v>
      </c>
      <c r="D422" t="str">
        <f>_xlfn.XLOOKUP(B422,PRODUCT_MASTER!$A:$A,PRODUCT_MASTER!$C:$C,2,0)</f>
        <v>Cheese And Dairy</v>
      </c>
      <c r="E422" t="str">
        <f>_xlfn.XLOOKUP(B422,PRODUCT_MASTER!$A:$A,PRODUCT_MASTER!$D:$D,2,0)</f>
        <v>Ft</v>
      </c>
      <c r="F422">
        <f>_xlfn.XLOOKUP(B422,PRODUCT_MASTER!$A:$A,PRODUCT_MASTER!$E:$E,2,0)</f>
        <v>148</v>
      </c>
      <c r="G422">
        <f>_xlfn.XLOOKUP(B422,PRODUCT_MASTER!$A:$A,PRODUCT_MASTER!$F:$F,2,0)</f>
        <v>201.28</v>
      </c>
      <c r="H422">
        <v>14</v>
      </c>
      <c r="I422" t="s">
        <v>103</v>
      </c>
      <c r="J422" t="s">
        <v>102</v>
      </c>
      <c r="K422">
        <v>0</v>
      </c>
      <c r="L422" s="15">
        <f t="shared" si="42"/>
        <v>2072</v>
      </c>
      <c r="M422" s="15">
        <f t="shared" si="43"/>
        <v>2817.92</v>
      </c>
      <c r="N422" s="15">
        <f t="shared" si="44"/>
        <v>745.92000000000007</v>
      </c>
      <c r="O422" s="10">
        <f t="shared" si="45"/>
        <v>0.36000000000000004</v>
      </c>
      <c r="P422" t="str">
        <f t="shared" si="46"/>
        <v>14</v>
      </c>
      <c r="Q422" t="str">
        <f t="shared" si="47"/>
        <v>Aug</v>
      </c>
      <c r="R422" t="str">
        <f t="shared" si="48"/>
        <v>2022</v>
      </c>
    </row>
    <row r="423" spans="1:18" x14ac:dyDescent="0.2">
      <c r="A423" s="1">
        <v>44788</v>
      </c>
      <c r="B423" t="s">
        <v>27</v>
      </c>
      <c r="C423" t="str">
        <f>_xlfn.XLOOKUP(B423,PRODUCT_MASTER!$A:$A,PRODUCT_MASTER!$B:$B,2,0)</f>
        <v>Product11</v>
      </c>
      <c r="D423" t="str">
        <f>_xlfn.XLOOKUP(B423,PRODUCT_MASTER!$A:$A,PRODUCT_MASTER!$C:$C,2,0)</f>
        <v>Gourmet Foods</v>
      </c>
      <c r="E423" t="str">
        <f>_xlfn.XLOOKUP(B423,PRODUCT_MASTER!$A:$A,PRODUCT_MASTER!$D:$D,2,0)</f>
        <v>Lt</v>
      </c>
      <c r="F423">
        <f>_xlfn.XLOOKUP(B423,PRODUCT_MASTER!$A:$A,PRODUCT_MASTER!$E:$E,2,0)</f>
        <v>44</v>
      </c>
      <c r="G423">
        <f>_xlfn.XLOOKUP(B423,PRODUCT_MASTER!$A:$A,PRODUCT_MASTER!$F:$F,2,0)</f>
        <v>48.4</v>
      </c>
      <c r="H423">
        <v>10</v>
      </c>
      <c r="I423" t="s">
        <v>100</v>
      </c>
      <c r="J423" t="s">
        <v>102</v>
      </c>
      <c r="K423">
        <v>0</v>
      </c>
      <c r="L423" s="15">
        <f t="shared" si="42"/>
        <v>440</v>
      </c>
      <c r="M423" s="15">
        <f t="shared" si="43"/>
        <v>484</v>
      </c>
      <c r="N423" s="15">
        <f t="shared" si="44"/>
        <v>44</v>
      </c>
      <c r="O423" s="10">
        <f t="shared" si="45"/>
        <v>0.1</v>
      </c>
      <c r="P423" t="str">
        <f t="shared" si="46"/>
        <v>15</v>
      </c>
      <c r="Q423" t="str">
        <f t="shared" si="47"/>
        <v>Aug</v>
      </c>
      <c r="R423" t="str">
        <f t="shared" si="48"/>
        <v>2022</v>
      </c>
    </row>
    <row r="424" spans="1:18" x14ac:dyDescent="0.2">
      <c r="A424" s="1">
        <v>44788</v>
      </c>
      <c r="B424" t="s">
        <v>35</v>
      </c>
      <c r="C424" t="str">
        <f>_xlfn.XLOOKUP(B424,PRODUCT_MASTER!$A:$A,PRODUCT_MASTER!$B:$B,2,0)</f>
        <v>Product15</v>
      </c>
      <c r="D424" t="str">
        <f>_xlfn.XLOOKUP(B424,PRODUCT_MASTER!$A:$A,PRODUCT_MASTER!$C:$C,2,0)</f>
        <v>Meat</v>
      </c>
      <c r="E424" t="str">
        <f>_xlfn.XLOOKUP(B424,PRODUCT_MASTER!$A:$A,PRODUCT_MASTER!$D:$D,2,0)</f>
        <v>No.</v>
      </c>
      <c r="F424">
        <f>_xlfn.XLOOKUP(B424,PRODUCT_MASTER!$A:$A,PRODUCT_MASTER!$E:$E,2,0)</f>
        <v>12</v>
      </c>
      <c r="G424">
        <f>_xlfn.XLOOKUP(B424,PRODUCT_MASTER!$A:$A,PRODUCT_MASTER!$F:$F,2,0)</f>
        <v>15.719999999999999</v>
      </c>
      <c r="H424">
        <v>7</v>
      </c>
      <c r="I424" t="s">
        <v>103</v>
      </c>
      <c r="J424" t="s">
        <v>101</v>
      </c>
      <c r="K424">
        <v>0</v>
      </c>
      <c r="L424" s="15">
        <f t="shared" si="42"/>
        <v>84</v>
      </c>
      <c r="M424" s="15">
        <f t="shared" si="43"/>
        <v>110.03999999999999</v>
      </c>
      <c r="N424" s="15">
        <f t="shared" si="44"/>
        <v>26.039999999999992</v>
      </c>
      <c r="O424" s="10">
        <f t="shared" si="45"/>
        <v>0.30999999999999989</v>
      </c>
      <c r="P424" t="str">
        <f t="shared" si="46"/>
        <v>15</v>
      </c>
      <c r="Q424" t="str">
        <f t="shared" si="47"/>
        <v>Aug</v>
      </c>
      <c r="R424" t="str">
        <f t="shared" si="48"/>
        <v>2022</v>
      </c>
    </row>
    <row r="425" spans="1:18" x14ac:dyDescent="0.2">
      <c r="A425" s="1">
        <v>44791</v>
      </c>
      <c r="B425" t="s">
        <v>63</v>
      </c>
      <c r="C425" t="str">
        <f>_xlfn.XLOOKUP(B425,PRODUCT_MASTER!$A:$A,PRODUCT_MASTER!$B:$B,2,0)</f>
        <v>Product29</v>
      </c>
      <c r="D425" t="str">
        <f>_xlfn.XLOOKUP(B425,PRODUCT_MASTER!$A:$A,PRODUCT_MASTER!$C:$C,2,0)</f>
        <v>Cheese And Dairy</v>
      </c>
      <c r="E425" t="str">
        <f>_xlfn.XLOOKUP(B425,PRODUCT_MASTER!$A:$A,PRODUCT_MASTER!$D:$D,2,0)</f>
        <v>Lt</v>
      </c>
      <c r="F425">
        <f>_xlfn.XLOOKUP(B425,PRODUCT_MASTER!$A:$A,PRODUCT_MASTER!$E:$E,2,0)</f>
        <v>47</v>
      </c>
      <c r="G425">
        <f>_xlfn.XLOOKUP(B425,PRODUCT_MASTER!$A:$A,PRODUCT_MASTER!$F:$F,2,0)</f>
        <v>53.11</v>
      </c>
      <c r="H425">
        <v>8</v>
      </c>
      <c r="I425" t="s">
        <v>101</v>
      </c>
      <c r="J425" t="s">
        <v>101</v>
      </c>
      <c r="K425">
        <v>0</v>
      </c>
      <c r="L425" s="15">
        <f t="shared" si="42"/>
        <v>376</v>
      </c>
      <c r="M425" s="15">
        <f t="shared" si="43"/>
        <v>424.88</v>
      </c>
      <c r="N425" s="15">
        <f t="shared" si="44"/>
        <v>48.879999999999995</v>
      </c>
      <c r="O425" s="10">
        <f t="shared" si="45"/>
        <v>0.12999999999999998</v>
      </c>
      <c r="P425" t="str">
        <f t="shared" si="46"/>
        <v>18</v>
      </c>
      <c r="Q425" t="str">
        <f t="shared" si="47"/>
        <v>Aug</v>
      </c>
      <c r="R425" t="str">
        <f t="shared" si="48"/>
        <v>2022</v>
      </c>
    </row>
    <row r="426" spans="1:18" x14ac:dyDescent="0.2">
      <c r="A426" s="1">
        <v>44791</v>
      </c>
      <c r="B426" t="s">
        <v>25</v>
      </c>
      <c r="C426" t="str">
        <f>_xlfn.XLOOKUP(B426,PRODUCT_MASTER!$A:$A,PRODUCT_MASTER!$B:$B,2,0)</f>
        <v>Product10</v>
      </c>
      <c r="D426" t="str">
        <f>_xlfn.XLOOKUP(B426,PRODUCT_MASTER!$A:$A,PRODUCT_MASTER!$C:$C,2,0)</f>
        <v>Gourmet Foods</v>
      </c>
      <c r="E426" t="str">
        <f>_xlfn.XLOOKUP(B426,PRODUCT_MASTER!$A:$A,PRODUCT_MASTER!$D:$D,2,0)</f>
        <v>Ft</v>
      </c>
      <c r="F426">
        <f>_xlfn.XLOOKUP(B426,PRODUCT_MASTER!$A:$A,PRODUCT_MASTER!$E:$E,2,0)</f>
        <v>148</v>
      </c>
      <c r="G426">
        <f>_xlfn.XLOOKUP(B426,PRODUCT_MASTER!$A:$A,PRODUCT_MASTER!$F:$F,2,0)</f>
        <v>164.28</v>
      </c>
      <c r="H426">
        <v>2</v>
      </c>
      <c r="I426" t="s">
        <v>101</v>
      </c>
      <c r="J426" t="s">
        <v>102</v>
      </c>
      <c r="K426">
        <v>0</v>
      </c>
      <c r="L426" s="15">
        <f t="shared" si="42"/>
        <v>296</v>
      </c>
      <c r="M426" s="15">
        <f t="shared" si="43"/>
        <v>328.56</v>
      </c>
      <c r="N426" s="15">
        <f t="shared" si="44"/>
        <v>32.56</v>
      </c>
      <c r="O426" s="10">
        <f t="shared" si="45"/>
        <v>0.11000000000000001</v>
      </c>
      <c r="P426" t="str">
        <f t="shared" si="46"/>
        <v>18</v>
      </c>
      <c r="Q426" t="str">
        <f t="shared" si="47"/>
        <v>Aug</v>
      </c>
      <c r="R426" t="str">
        <f t="shared" si="48"/>
        <v>2022</v>
      </c>
    </row>
    <row r="427" spans="1:18" x14ac:dyDescent="0.2">
      <c r="A427" s="1">
        <v>44792</v>
      </c>
      <c r="B427" t="s">
        <v>19</v>
      </c>
      <c r="C427" t="str">
        <f>_xlfn.XLOOKUP(B427,PRODUCT_MASTER!$A:$A,PRODUCT_MASTER!$B:$B,2,0)</f>
        <v>Product07</v>
      </c>
      <c r="D427" t="str">
        <f>_xlfn.XLOOKUP(B427,PRODUCT_MASTER!$A:$A,PRODUCT_MASTER!$C:$C,2,0)</f>
        <v>Gourmet Foods</v>
      </c>
      <c r="E427" t="str">
        <f>_xlfn.XLOOKUP(B427,PRODUCT_MASTER!$A:$A,PRODUCT_MASTER!$D:$D,2,0)</f>
        <v>Lt</v>
      </c>
      <c r="F427">
        <f>_xlfn.XLOOKUP(B427,PRODUCT_MASTER!$A:$A,PRODUCT_MASTER!$E:$E,2,0)</f>
        <v>43</v>
      </c>
      <c r="G427">
        <f>_xlfn.XLOOKUP(B427,PRODUCT_MASTER!$A:$A,PRODUCT_MASTER!$F:$F,2,0)</f>
        <v>47.730000000000004</v>
      </c>
      <c r="H427">
        <v>3</v>
      </c>
      <c r="I427" t="s">
        <v>101</v>
      </c>
      <c r="J427" t="s">
        <v>101</v>
      </c>
      <c r="K427">
        <v>0</v>
      </c>
      <c r="L427" s="15">
        <f t="shared" si="42"/>
        <v>129</v>
      </c>
      <c r="M427" s="15">
        <f t="shared" si="43"/>
        <v>143.19</v>
      </c>
      <c r="N427" s="15">
        <f t="shared" si="44"/>
        <v>14.189999999999998</v>
      </c>
      <c r="O427" s="10">
        <f t="shared" si="45"/>
        <v>0.10999999999999999</v>
      </c>
      <c r="P427" t="str">
        <f t="shared" si="46"/>
        <v>19</v>
      </c>
      <c r="Q427" t="str">
        <f t="shared" si="47"/>
        <v>Aug</v>
      </c>
      <c r="R427" t="str">
        <f t="shared" si="48"/>
        <v>2022</v>
      </c>
    </row>
    <row r="428" spans="1:18" x14ac:dyDescent="0.2">
      <c r="A428" s="1">
        <v>44793</v>
      </c>
      <c r="B428" t="s">
        <v>51</v>
      </c>
      <c r="C428" t="str">
        <f>_xlfn.XLOOKUP(B428,PRODUCT_MASTER!$A:$A,PRODUCT_MASTER!$B:$B,2,0)</f>
        <v>Product23</v>
      </c>
      <c r="D428" t="str">
        <f>_xlfn.XLOOKUP(B428,PRODUCT_MASTER!$A:$A,PRODUCT_MASTER!$C:$C,2,0)</f>
        <v>Seafood</v>
      </c>
      <c r="E428" t="str">
        <f>_xlfn.XLOOKUP(B428,PRODUCT_MASTER!$A:$A,PRODUCT_MASTER!$D:$D,2,0)</f>
        <v>Ft</v>
      </c>
      <c r="F428">
        <f>_xlfn.XLOOKUP(B428,PRODUCT_MASTER!$A:$A,PRODUCT_MASTER!$E:$E,2,0)</f>
        <v>141</v>
      </c>
      <c r="G428">
        <f>_xlfn.XLOOKUP(B428,PRODUCT_MASTER!$A:$A,PRODUCT_MASTER!$F:$F,2,0)</f>
        <v>149.46</v>
      </c>
      <c r="H428">
        <v>13</v>
      </c>
      <c r="I428" t="s">
        <v>103</v>
      </c>
      <c r="J428" t="s">
        <v>101</v>
      </c>
      <c r="K428">
        <v>0</v>
      </c>
      <c r="L428" s="15">
        <f t="shared" si="42"/>
        <v>1833</v>
      </c>
      <c r="M428" s="15">
        <f t="shared" si="43"/>
        <v>1942.98</v>
      </c>
      <c r="N428" s="15">
        <f t="shared" si="44"/>
        <v>109.98000000000002</v>
      </c>
      <c r="O428" s="10">
        <f t="shared" si="45"/>
        <v>6.0000000000000012E-2</v>
      </c>
      <c r="P428" t="str">
        <f t="shared" si="46"/>
        <v>20</v>
      </c>
      <c r="Q428" t="str">
        <f t="shared" si="47"/>
        <v>Aug</v>
      </c>
      <c r="R428" t="str">
        <f t="shared" si="48"/>
        <v>2022</v>
      </c>
    </row>
    <row r="429" spans="1:18" x14ac:dyDescent="0.2">
      <c r="A429" s="1">
        <v>44793</v>
      </c>
      <c r="B429" t="s">
        <v>71</v>
      </c>
      <c r="C429" t="str">
        <f>_xlfn.XLOOKUP(B429,PRODUCT_MASTER!$A:$A,PRODUCT_MASTER!$B:$B,2,0)</f>
        <v>Product33</v>
      </c>
      <c r="D429" t="str">
        <f>_xlfn.XLOOKUP(B429,PRODUCT_MASTER!$A:$A,PRODUCT_MASTER!$C:$C,2,0)</f>
        <v>Bakery And Desserts</v>
      </c>
      <c r="E429" t="str">
        <f>_xlfn.XLOOKUP(B429,PRODUCT_MASTER!$A:$A,PRODUCT_MASTER!$D:$D,2,0)</f>
        <v>Kg</v>
      </c>
      <c r="F429">
        <f>_xlfn.XLOOKUP(B429,PRODUCT_MASTER!$A:$A,PRODUCT_MASTER!$E:$E,2,0)</f>
        <v>95</v>
      </c>
      <c r="G429">
        <f>_xlfn.XLOOKUP(B429,PRODUCT_MASTER!$A:$A,PRODUCT_MASTER!$F:$F,2,0)</f>
        <v>119.7</v>
      </c>
      <c r="H429">
        <v>14</v>
      </c>
      <c r="I429" t="s">
        <v>103</v>
      </c>
      <c r="J429" t="s">
        <v>101</v>
      </c>
      <c r="K429">
        <v>0</v>
      </c>
      <c r="L429" s="15">
        <f t="shared" si="42"/>
        <v>1330</v>
      </c>
      <c r="M429" s="15">
        <f t="shared" si="43"/>
        <v>1675.8</v>
      </c>
      <c r="N429" s="15">
        <f t="shared" si="44"/>
        <v>345.79999999999995</v>
      </c>
      <c r="O429" s="10">
        <f t="shared" si="45"/>
        <v>0.25999999999999995</v>
      </c>
      <c r="P429" t="str">
        <f t="shared" si="46"/>
        <v>20</v>
      </c>
      <c r="Q429" t="str">
        <f t="shared" si="47"/>
        <v>Aug</v>
      </c>
      <c r="R429" t="str">
        <f t="shared" si="48"/>
        <v>2022</v>
      </c>
    </row>
    <row r="430" spans="1:18" x14ac:dyDescent="0.2">
      <c r="A430" s="1">
        <v>44794</v>
      </c>
      <c r="B430" t="s">
        <v>37</v>
      </c>
      <c r="C430" t="str">
        <f>_xlfn.XLOOKUP(B430,PRODUCT_MASTER!$A:$A,PRODUCT_MASTER!$B:$B,2,0)</f>
        <v>Product16</v>
      </c>
      <c r="D430" t="str">
        <f>_xlfn.XLOOKUP(B430,PRODUCT_MASTER!$A:$A,PRODUCT_MASTER!$C:$C,2,0)</f>
        <v>Meat</v>
      </c>
      <c r="E430" t="str">
        <f>_xlfn.XLOOKUP(B430,PRODUCT_MASTER!$A:$A,PRODUCT_MASTER!$D:$D,2,0)</f>
        <v>No.</v>
      </c>
      <c r="F430">
        <f>_xlfn.XLOOKUP(B430,PRODUCT_MASTER!$A:$A,PRODUCT_MASTER!$E:$E,2,0)</f>
        <v>13</v>
      </c>
      <c r="G430">
        <f>_xlfn.XLOOKUP(B430,PRODUCT_MASTER!$A:$A,PRODUCT_MASTER!$F:$F,2,0)</f>
        <v>16.64</v>
      </c>
      <c r="H430">
        <v>4</v>
      </c>
      <c r="I430" t="s">
        <v>103</v>
      </c>
      <c r="J430" t="s">
        <v>101</v>
      </c>
      <c r="K430">
        <v>0</v>
      </c>
      <c r="L430" s="15">
        <f t="shared" si="42"/>
        <v>52</v>
      </c>
      <c r="M430" s="15">
        <f t="shared" si="43"/>
        <v>66.56</v>
      </c>
      <c r="N430" s="15">
        <f t="shared" si="44"/>
        <v>14.560000000000002</v>
      </c>
      <c r="O430" s="10">
        <f t="shared" si="45"/>
        <v>0.28000000000000003</v>
      </c>
      <c r="P430" t="str">
        <f t="shared" si="46"/>
        <v>21</v>
      </c>
      <c r="Q430" t="str">
        <f t="shared" si="47"/>
        <v>Aug</v>
      </c>
      <c r="R430" t="str">
        <f t="shared" si="48"/>
        <v>2022</v>
      </c>
    </row>
    <row r="431" spans="1:18" x14ac:dyDescent="0.2">
      <c r="A431" s="1">
        <v>44796</v>
      </c>
      <c r="B431" t="s">
        <v>93</v>
      </c>
      <c r="C431" t="str">
        <f>_xlfn.XLOOKUP(B431,PRODUCT_MASTER!$A:$A,PRODUCT_MASTER!$B:$B,2,0)</f>
        <v>Product44</v>
      </c>
      <c r="D431" t="str">
        <f>_xlfn.XLOOKUP(B431,PRODUCT_MASTER!$A:$A,PRODUCT_MASTER!$C:$C,2,0)</f>
        <v>Candy</v>
      </c>
      <c r="E431" t="str">
        <f>_xlfn.XLOOKUP(B431,PRODUCT_MASTER!$A:$A,PRODUCT_MASTER!$D:$D,2,0)</f>
        <v>Kg</v>
      </c>
      <c r="F431">
        <f>_xlfn.XLOOKUP(B431,PRODUCT_MASTER!$A:$A,PRODUCT_MASTER!$E:$E,2,0)</f>
        <v>76</v>
      </c>
      <c r="G431">
        <f>_xlfn.XLOOKUP(B431,PRODUCT_MASTER!$A:$A,PRODUCT_MASTER!$F:$F,2,0)</f>
        <v>82.08</v>
      </c>
      <c r="H431">
        <v>11</v>
      </c>
      <c r="I431" t="s">
        <v>101</v>
      </c>
      <c r="J431" t="s">
        <v>101</v>
      </c>
      <c r="K431">
        <v>0</v>
      </c>
      <c r="L431" s="15">
        <f t="shared" si="42"/>
        <v>836</v>
      </c>
      <c r="M431" s="15">
        <f t="shared" si="43"/>
        <v>902.88</v>
      </c>
      <c r="N431" s="15">
        <f t="shared" si="44"/>
        <v>66.88</v>
      </c>
      <c r="O431" s="10">
        <f t="shared" si="45"/>
        <v>7.9999999999999988E-2</v>
      </c>
      <c r="P431" t="str">
        <f t="shared" si="46"/>
        <v>23</v>
      </c>
      <c r="Q431" t="str">
        <f t="shared" si="47"/>
        <v>Aug</v>
      </c>
      <c r="R431" t="str">
        <f t="shared" si="48"/>
        <v>2022</v>
      </c>
    </row>
    <row r="432" spans="1:18" x14ac:dyDescent="0.2">
      <c r="A432" s="1">
        <v>44796</v>
      </c>
      <c r="B432" t="s">
        <v>63</v>
      </c>
      <c r="C432" t="str">
        <f>_xlfn.XLOOKUP(B432,PRODUCT_MASTER!$A:$A,PRODUCT_MASTER!$B:$B,2,0)</f>
        <v>Product29</v>
      </c>
      <c r="D432" t="str">
        <f>_xlfn.XLOOKUP(B432,PRODUCT_MASTER!$A:$A,PRODUCT_MASTER!$C:$C,2,0)</f>
        <v>Cheese And Dairy</v>
      </c>
      <c r="E432" t="str">
        <f>_xlfn.XLOOKUP(B432,PRODUCT_MASTER!$A:$A,PRODUCT_MASTER!$D:$D,2,0)</f>
        <v>Lt</v>
      </c>
      <c r="F432">
        <f>_xlfn.XLOOKUP(B432,PRODUCT_MASTER!$A:$A,PRODUCT_MASTER!$E:$E,2,0)</f>
        <v>47</v>
      </c>
      <c r="G432">
        <f>_xlfn.XLOOKUP(B432,PRODUCT_MASTER!$A:$A,PRODUCT_MASTER!$F:$F,2,0)</f>
        <v>53.11</v>
      </c>
      <c r="H432">
        <v>14</v>
      </c>
      <c r="I432" t="s">
        <v>103</v>
      </c>
      <c r="J432" t="s">
        <v>102</v>
      </c>
      <c r="K432">
        <v>0</v>
      </c>
      <c r="L432" s="15">
        <f t="shared" si="42"/>
        <v>658</v>
      </c>
      <c r="M432" s="15">
        <f t="shared" si="43"/>
        <v>743.54</v>
      </c>
      <c r="N432" s="15">
        <f t="shared" si="44"/>
        <v>85.539999999999964</v>
      </c>
      <c r="O432" s="10">
        <f t="shared" si="45"/>
        <v>0.12999999999999995</v>
      </c>
      <c r="P432" t="str">
        <f t="shared" si="46"/>
        <v>23</v>
      </c>
      <c r="Q432" t="str">
        <f t="shared" si="47"/>
        <v>Aug</v>
      </c>
      <c r="R432" t="str">
        <f t="shared" si="48"/>
        <v>2022</v>
      </c>
    </row>
    <row r="433" spans="1:18" x14ac:dyDescent="0.2">
      <c r="A433" s="1">
        <v>44797</v>
      </c>
      <c r="B433" t="s">
        <v>15</v>
      </c>
      <c r="C433" t="str">
        <f>_xlfn.XLOOKUP(B433,PRODUCT_MASTER!$A:$A,PRODUCT_MASTER!$B:$B,2,0)</f>
        <v>Product05</v>
      </c>
      <c r="D433" t="str">
        <f>_xlfn.XLOOKUP(B433,PRODUCT_MASTER!$A:$A,PRODUCT_MASTER!$C:$C,2,0)</f>
        <v>Organic</v>
      </c>
      <c r="E433" t="str">
        <f>_xlfn.XLOOKUP(B433,PRODUCT_MASTER!$A:$A,PRODUCT_MASTER!$D:$D,2,0)</f>
        <v>Ft</v>
      </c>
      <c r="F433">
        <f>_xlfn.XLOOKUP(B433,PRODUCT_MASTER!$A:$A,PRODUCT_MASTER!$E:$E,2,0)</f>
        <v>133</v>
      </c>
      <c r="G433">
        <f>_xlfn.XLOOKUP(B433,PRODUCT_MASTER!$A:$A,PRODUCT_MASTER!$F:$F,2,0)</f>
        <v>155.61000000000001</v>
      </c>
      <c r="H433">
        <v>5</v>
      </c>
      <c r="I433" t="s">
        <v>103</v>
      </c>
      <c r="J433" t="s">
        <v>102</v>
      </c>
      <c r="K433">
        <v>0</v>
      </c>
      <c r="L433" s="15">
        <f t="shared" si="42"/>
        <v>665</v>
      </c>
      <c r="M433" s="15">
        <f t="shared" si="43"/>
        <v>778.05000000000007</v>
      </c>
      <c r="N433" s="15">
        <f t="shared" si="44"/>
        <v>113.05000000000007</v>
      </c>
      <c r="O433" s="10">
        <f t="shared" si="45"/>
        <v>0.1700000000000001</v>
      </c>
      <c r="P433" t="str">
        <f t="shared" si="46"/>
        <v>24</v>
      </c>
      <c r="Q433" t="str">
        <f t="shared" si="47"/>
        <v>Aug</v>
      </c>
      <c r="R433" t="str">
        <f t="shared" si="48"/>
        <v>2022</v>
      </c>
    </row>
    <row r="434" spans="1:18" x14ac:dyDescent="0.2">
      <c r="A434" s="1">
        <v>44799</v>
      </c>
      <c r="B434" t="s">
        <v>43</v>
      </c>
      <c r="C434" t="str">
        <f>_xlfn.XLOOKUP(B434,PRODUCT_MASTER!$A:$A,PRODUCT_MASTER!$B:$B,2,0)</f>
        <v>Product19</v>
      </c>
      <c r="D434" t="str">
        <f>_xlfn.XLOOKUP(B434,PRODUCT_MASTER!$A:$A,PRODUCT_MASTER!$C:$C,2,0)</f>
        <v>Poultry</v>
      </c>
      <c r="E434" t="str">
        <f>_xlfn.XLOOKUP(B434,PRODUCT_MASTER!$A:$A,PRODUCT_MASTER!$D:$D,2,0)</f>
        <v>Ft</v>
      </c>
      <c r="F434">
        <f>_xlfn.XLOOKUP(B434,PRODUCT_MASTER!$A:$A,PRODUCT_MASTER!$E:$E,2,0)</f>
        <v>150</v>
      </c>
      <c r="G434">
        <f>_xlfn.XLOOKUP(B434,PRODUCT_MASTER!$A:$A,PRODUCT_MASTER!$F:$F,2,0)</f>
        <v>210</v>
      </c>
      <c r="H434">
        <v>13</v>
      </c>
      <c r="I434" t="s">
        <v>100</v>
      </c>
      <c r="J434" t="s">
        <v>102</v>
      </c>
      <c r="K434">
        <v>0</v>
      </c>
      <c r="L434" s="15">
        <f t="shared" si="42"/>
        <v>1950</v>
      </c>
      <c r="M434" s="15">
        <f t="shared" si="43"/>
        <v>2730</v>
      </c>
      <c r="N434" s="15">
        <f t="shared" si="44"/>
        <v>780</v>
      </c>
      <c r="O434" s="10">
        <f t="shared" si="45"/>
        <v>0.4</v>
      </c>
      <c r="P434" t="str">
        <f t="shared" si="46"/>
        <v>26</v>
      </c>
      <c r="Q434" t="str">
        <f t="shared" si="47"/>
        <v>Aug</v>
      </c>
      <c r="R434" t="str">
        <f t="shared" si="48"/>
        <v>2022</v>
      </c>
    </row>
    <row r="435" spans="1:18" x14ac:dyDescent="0.2">
      <c r="A435" s="1">
        <v>44799</v>
      </c>
      <c r="B435" t="s">
        <v>79</v>
      </c>
      <c r="C435" t="str">
        <f>_xlfn.XLOOKUP(B435,PRODUCT_MASTER!$A:$A,PRODUCT_MASTER!$B:$B,2,0)</f>
        <v>Product37</v>
      </c>
      <c r="D435" t="str">
        <f>_xlfn.XLOOKUP(B435,PRODUCT_MASTER!$A:$A,PRODUCT_MASTER!$C:$C,2,0)</f>
        <v>Snacks</v>
      </c>
      <c r="E435" t="str">
        <f>_xlfn.XLOOKUP(B435,PRODUCT_MASTER!$A:$A,PRODUCT_MASTER!$D:$D,2,0)</f>
        <v>Kg</v>
      </c>
      <c r="F435">
        <f>_xlfn.XLOOKUP(B435,PRODUCT_MASTER!$A:$A,PRODUCT_MASTER!$E:$E,2,0)</f>
        <v>67</v>
      </c>
      <c r="G435">
        <f>_xlfn.XLOOKUP(B435,PRODUCT_MASTER!$A:$A,PRODUCT_MASTER!$F:$F,2,0)</f>
        <v>85.76</v>
      </c>
      <c r="H435">
        <v>8</v>
      </c>
      <c r="I435" t="s">
        <v>101</v>
      </c>
      <c r="J435" t="s">
        <v>101</v>
      </c>
      <c r="K435">
        <v>0</v>
      </c>
      <c r="L435" s="15">
        <f t="shared" si="42"/>
        <v>536</v>
      </c>
      <c r="M435" s="15">
        <f t="shared" si="43"/>
        <v>686.08</v>
      </c>
      <c r="N435" s="15">
        <f t="shared" si="44"/>
        <v>150.08000000000004</v>
      </c>
      <c r="O435" s="10">
        <f t="shared" si="45"/>
        <v>0.28000000000000008</v>
      </c>
      <c r="P435" t="str">
        <f t="shared" si="46"/>
        <v>26</v>
      </c>
      <c r="Q435" t="str">
        <f t="shared" si="47"/>
        <v>Aug</v>
      </c>
      <c r="R435" t="str">
        <f t="shared" si="48"/>
        <v>2022</v>
      </c>
    </row>
    <row r="436" spans="1:18" x14ac:dyDescent="0.2">
      <c r="A436" s="1">
        <v>44800</v>
      </c>
      <c r="B436" t="s">
        <v>83</v>
      </c>
      <c r="C436" t="str">
        <f>_xlfn.XLOOKUP(B436,PRODUCT_MASTER!$A:$A,PRODUCT_MASTER!$B:$B,2,0)</f>
        <v>Product39</v>
      </c>
      <c r="D436" t="str">
        <f>_xlfn.XLOOKUP(B436,PRODUCT_MASTER!$A:$A,PRODUCT_MASTER!$C:$C,2,0)</f>
        <v>Snacks</v>
      </c>
      <c r="E436" t="str">
        <f>_xlfn.XLOOKUP(B436,PRODUCT_MASTER!$A:$A,PRODUCT_MASTER!$D:$D,2,0)</f>
        <v>No.</v>
      </c>
      <c r="F436">
        <f>_xlfn.XLOOKUP(B436,PRODUCT_MASTER!$A:$A,PRODUCT_MASTER!$E:$E,2,0)</f>
        <v>37</v>
      </c>
      <c r="G436">
        <f>_xlfn.XLOOKUP(B436,PRODUCT_MASTER!$A:$A,PRODUCT_MASTER!$F:$F,2,0)</f>
        <v>42.55</v>
      </c>
      <c r="H436">
        <v>15</v>
      </c>
      <c r="I436" t="s">
        <v>100</v>
      </c>
      <c r="J436" t="s">
        <v>101</v>
      </c>
      <c r="K436">
        <v>0</v>
      </c>
      <c r="L436" s="15">
        <f t="shared" si="42"/>
        <v>555</v>
      </c>
      <c r="M436" s="15">
        <f t="shared" si="43"/>
        <v>638.25</v>
      </c>
      <c r="N436" s="15">
        <f t="shared" si="44"/>
        <v>83.25</v>
      </c>
      <c r="O436" s="10">
        <f t="shared" si="45"/>
        <v>0.15</v>
      </c>
      <c r="P436" t="str">
        <f t="shared" si="46"/>
        <v>27</v>
      </c>
      <c r="Q436" t="str">
        <f t="shared" si="47"/>
        <v>Aug</v>
      </c>
      <c r="R436" t="str">
        <f t="shared" si="48"/>
        <v>2022</v>
      </c>
    </row>
    <row r="437" spans="1:18" x14ac:dyDescent="0.2">
      <c r="A437" s="1">
        <v>44801</v>
      </c>
      <c r="B437" t="s">
        <v>15</v>
      </c>
      <c r="C437" t="str">
        <f>_xlfn.XLOOKUP(B437,PRODUCT_MASTER!$A:$A,PRODUCT_MASTER!$B:$B,2,0)</f>
        <v>Product05</v>
      </c>
      <c r="D437" t="str">
        <f>_xlfn.XLOOKUP(B437,PRODUCT_MASTER!$A:$A,PRODUCT_MASTER!$C:$C,2,0)</f>
        <v>Organic</v>
      </c>
      <c r="E437" t="str">
        <f>_xlfn.XLOOKUP(B437,PRODUCT_MASTER!$A:$A,PRODUCT_MASTER!$D:$D,2,0)</f>
        <v>Ft</v>
      </c>
      <c r="F437">
        <f>_xlfn.XLOOKUP(B437,PRODUCT_MASTER!$A:$A,PRODUCT_MASTER!$E:$E,2,0)</f>
        <v>133</v>
      </c>
      <c r="G437">
        <f>_xlfn.XLOOKUP(B437,PRODUCT_MASTER!$A:$A,PRODUCT_MASTER!$F:$F,2,0)</f>
        <v>155.61000000000001</v>
      </c>
      <c r="H437">
        <v>9</v>
      </c>
      <c r="I437" t="s">
        <v>101</v>
      </c>
      <c r="J437" t="s">
        <v>101</v>
      </c>
      <c r="K437">
        <v>0</v>
      </c>
      <c r="L437" s="15">
        <f t="shared" si="42"/>
        <v>1197</v>
      </c>
      <c r="M437" s="15">
        <f t="shared" si="43"/>
        <v>1400.4900000000002</v>
      </c>
      <c r="N437" s="15">
        <f t="shared" si="44"/>
        <v>203.49000000000024</v>
      </c>
      <c r="O437" s="10">
        <f t="shared" si="45"/>
        <v>0.17000000000000021</v>
      </c>
      <c r="P437" t="str">
        <f t="shared" si="46"/>
        <v>28</v>
      </c>
      <c r="Q437" t="str">
        <f t="shared" si="47"/>
        <v>Aug</v>
      </c>
      <c r="R437" t="str">
        <f t="shared" si="48"/>
        <v>2022</v>
      </c>
    </row>
    <row r="438" spans="1:18" x14ac:dyDescent="0.2">
      <c r="A438" s="1">
        <v>44801</v>
      </c>
      <c r="B438" t="s">
        <v>83</v>
      </c>
      <c r="C438" t="str">
        <f>_xlfn.XLOOKUP(B438,PRODUCT_MASTER!$A:$A,PRODUCT_MASTER!$B:$B,2,0)</f>
        <v>Product39</v>
      </c>
      <c r="D438" t="str">
        <f>_xlfn.XLOOKUP(B438,PRODUCT_MASTER!$A:$A,PRODUCT_MASTER!$C:$C,2,0)</f>
        <v>Snacks</v>
      </c>
      <c r="E438" t="str">
        <f>_xlfn.XLOOKUP(B438,PRODUCT_MASTER!$A:$A,PRODUCT_MASTER!$D:$D,2,0)</f>
        <v>No.</v>
      </c>
      <c r="F438">
        <f>_xlfn.XLOOKUP(B438,PRODUCT_MASTER!$A:$A,PRODUCT_MASTER!$E:$E,2,0)</f>
        <v>37</v>
      </c>
      <c r="G438">
        <f>_xlfn.XLOOKUP(B438,PRODUCT_MASTER!$A:$A,PRODUCT_MASTER!$F:$F,2,0)</f>
        <v>42.55</v>
      </c>
      <c r="H438">
        <v>5</v>
      </c>
      <c r="I438" t="s">
        <v>103</v>
      </c>
      <c r="J438" t="s">
        <v>101</v>
      </c>
      <c r="K438">
        <v>0</v>
      </c>
      <c r="L438" s="15">
        <f t="shared" si="42"/>
        <v>185</v>
      </c>
      <c r="M438" s="15">
        <f t="shared" si="43"/>
        <v>212.75</v>
      </c>
      <c r="N438" s="15">
        <f t="shared" si="44"/>
        <v>27.75</v>
      </c>
      <c r="O438" s="10">
        <f t="shared" si="45"/>
        <v>0.15</v>
      </c>
      <c r="P438" t="str">
        <f t="shared" si="46"/>
        <v>28</v>
      </c>
      <c r="Q438" t="str">
        <f t="shared" si="47"/>
        <v>Aug</v>
      </c>
      <c r="R438" t="str">
        <f t="shared" si="48"/>
        <v>2022</v>
      </c>
    </row>
    <row r="439" spans="1:18" x14ac:dyDescent="0.2">
      <c r="A439" s="1">
        <v>44803</v>
      </c>
      <c r="B439" t="s">
        <v>17</v>
      </c>
      <c r="C439" t="str">
        <f>_xlfn.XLOOKUP(B439,PRODUCT_MASTER!$A:$A,PRODUCT_MASTER!$B:$B,2,0)</f>
        <v>Product06</v>
      </c>
      <c r="D439" t="str">
        <f>_xlfn.XLOOKUP(B439,PRODUCT_MASTER!$A:$A,PRODUCT_MASTER!$C:$C,2,0)</f>
        <v>Gourmet Foods</v>
      </c>
      <c r="E439" t="str">
        <f>_xlfn.XLOOKUP(B439,PRODUCT_MASTER!$A:$A,PRODUCT_MASTER!$D:$D,2,0)</f>
        <v>Kg</v>
      </c>
      <c r="F439">
        <f>_xlfn.XLOOKUP(B439,PRODUCT_MASTER!$A:$A,PRODUCT_MASTER!$E:$E,2,0)</f>
        <v>75</v>
      </c>
      <c r="G439">
        <f>_xlfn.XLOOKUP(B439,PRODUCT_MASTER!$A:$A,PRODUCT_MASTER!$F:$F,2,0)</f>
        <v>85.5</v>
      </c>
      <c r="H439">
        <v>6</v>
      </c>
      <c r="I439" t="s">
        <v>101</v>
      </c>
      <c r="J439" t="s">
        <v>102</v>
      </c>
      <c r="K439">
        <v>0</v>
      </c>
      <c r="L439" s="15">
        <f t="shared" si="42"/>
        <v>450</v>
      </c>
      <c r="M439" s="15">
        <f t="shared" si="43"/>
        <v>513</v>
      </c>
      <c r="N439" s="15">
        <f t="shared" si="44"/>
        <v>63</v>
      </c>
      <c r="O439" s="10">
        <f t="shared" si="45"/>
        <v>0.14000000000000001</v>
      </c>
      <c r="P439" t="str">
        <f t="shared" si="46"/>
        <v>30</v>
      </c>
      <c r="Q439" t="str">
        <f t="shared" si="47"/>
        <v>Aug</v>
      </c>
      <c r="R439" t="str">
        <f t="shared" si="48"/>
        <v>2022</v>
      </c>
    </row>
    <row r="440" spans="1:18" x14ac:dyDescent="0.2">
      <c r="A440" s="1">
        <v>44803</v>
      </c>
      <c r="B440" t="s">
        <v>91</v>
      </c>
      <c r="C440" t="str">
        <f>_xlfn.XLOOKUP(B440,PRODUCT_MASTER!$A:$A,PRODUCT_MASTER!$B:$B,2,0)</f>
        <v>Product43</v>
      </c>
      <c r="D440" t="str">
        <f>_xlfn.XLOOKUP(B440,PRODUCT_MASTER!$A:$A,PRODUCT_MASTER!$C:$C,2,0)</f>
        <v>Candy</v>
      </c>
      <c r="E440" t="str">
        <f>_xlfn.XLOOKUP(B440,PRODUCT_MASTER!$A:$A,PRODUCT_MASTER!$D:$D,2,0)</f>
        <v>Kg</v>
      </c>
      <c r="F440">
        <f>_xlfn.XLOOKUP(B440,PRODUCT_MASTER!$A:$A,PRODUCT_MASTER!$E:$E,2,0)</f>
        <v>67</v>
      </c>
      <c r="G440">
        <f>_xlfn.XLOOKUP(B440,PRODUCT_MASTER!$A:$A,PRODUCT_MASTER!$F:$F,2,0)</f>
        <v>83.08</v>
      </c>
      <c r="H440">
        <v>6</v>
      </c>
      <c r="I440" t="s">
        <v>103</v>
      </c>
      <c r="J440" t="s">
        <v>102</v>
      </c>
      <c r="K440">
        <v>0</v>
      </c>
      <c r="L440" s="15">
        <f t="shared" si="42"/>
        <v>402</v>
      </c>
      <c r="M440" s="15">
        <f t="shared" si="43"/>
        <v>498.48</v>
      </c>
      <c r="N440" s="15">
        <f t="shared" si="44"/>
        <v>96.480000000000018</v>
      </c>
      <c r="O440" s="10">
        <f t="shared" si="45"/>
        <v>0.24000000000000005</v>
      </c>
      <c r="P440" t="str">
        <f t="shared" si="46"/>
        <v>30</v>
      </c>
      <c r="Q440" t="str">
        <f t="shared" si="47"/>
        <v>Aug</v>
      </c>
      <c r="R440" t="str">
        <f t="shared" si="48"/>
        <v>2022</v>
      </c>
    </row>
    <row r="441" spans="1:18" x14ac:dyDescent="0.2">
      <c r="A441" s="1">
        <v>44803</v>
      </c>
      <c r="B441" t="s">
        <v>55</v>
      </c>
      <c r="C441" t="str">
        <f>_xlfn.XLOOKUP(B441,PRODUCT_MASTER!$A:$A,PRODUCT_MASTER!$B:$B,2,0)</f>
        <v>Product25</v>
      </c>
      <c r="D441" t="str">
        <f>_xlfn.XLOOKUP(B441,PRODUCT_MASTER!$A:$A,PRODUCT_MASTER!$C:$C,2,0)</f>
        <v>Seafood</v>
      </c>
      <c r="E441" t="str">
        <f>_xlfn.XLOOKUP(B441,PRODUCT_MASTER!$A:$A,PRODUCT_MASTER!$D:$D,2,0)</f>
        <v>No.</v>
      </c>
      <c r="F441">
        <f>_xlfn.XLOOKUP(B441,PRODUCT_MASTER!$A:$A,PRODUCT_MASTER!$E:$E,2,0)</f>
        <v>7</v>
      </c>
      <c r="G441">
        <f>_xlfn.XLOOKUP(B441,PRODUCT_MASTER!$A:$A,PRODUCT_MASTER!$F:$F,2,0)</f>
        <v>8.33</v>
      </c>
      <c r="H441">
        <v>5</v>
      </c>
      <c r="I441" t="s">
        <v>103</v>
      </c>
      <c r="J441" t="s">
        <v>102</v>
      </c>
      <c r="K441">
        <v>0</v>
      </c>
      <c r="L441" s="15">
        <f t="shared" si="42"/>
        <v>35</v>
      </c>
      <c r="M441" s="15">
        <f t="shared" si="43"/>
        <v>41.65</v>
      </c>
      <c r="N441" s="15">
        <f t="shared" si="44"/>
        <v>6.6499999999999986</v>
      </c>
      <c r="O441" s="10">
        <f t="shared" si="45"/>
        <v>0.18999999999999995</v>
      </c>
      <c r="P441" t="str">
        <f t="shared" si="46"/>
        <v>30</v>
      </c>
      <c r="Q441" t="str">
        <f t="shared" si="47"/>
        <v>Aug</v>
      </c>
      <c r="R441" t="str">
        <f t="shared" si="48"/>
        <v>2022</v>
      </c>
    </row>
    <row r="442" spans="1:18" x14ac:dyDescent="0.2">
      <c r="A442" s="1">
        <v>44804</v>
      </c>
      <c r="B442" t="s">
        <v>35</v>
      </c>
      <c r="C442" t="str">
        <f>_xlfn.XLOOKUP(B442,PRODUCT_MASTER!$A:$A,PRODUCT_MASTER!$B:$B,2,0)</f>
        <v>Product15</v>
      </c>
      <c r="D442" t="str">
        <f>_xlfn.XLOOKUP(B442,PRODUCT_MASTER!$A:$A,PRODUCT_MASTER!$C:$C,2,0)</f>
        <v>Meat</v>
      </c>
      <c r="E442" t="str">
        <f>_xlfn.XLOOKUP(B442,PRODUCT_MASTER!$A:$A,PRODUCT_MASTER!$D:$D,2,0)</f>
        <v>No.</v>
      </c>
      <c r="F442">
        <f>_xlfn.XLOOKUP(B442,PRODUCT_MASTER!$A:$A,PRODUCT_MASTER!$E:$E,2,0)</f>
        <v>12</v>
      </c>
      <c r="G442">
        <f>_xlfn.XLOOKUP(B442,PRODUCT_MASTER!$A:$A,PRODUCT_MASTER!$F:$F,2,0)</f>
        <v>15.719999999999999</v>
      </c>
      <c r="H442">
        <v>13</v>
      </c>
      <c r="I442" t="s">
        <v>103</v>
      </c>
      <c r="J442" t="s">
        <v>102</v>
      </c>
      <c r="K442">
        <v>0</v>
      </c>
      <c r="L442" s="15">
        <f t="shared" si="42"/>
        <v>156</v>
      </c>
      <c r="M442" s="15">
        <f t="shared" si="43"/>
        <v>204.35999999999999</v>
      </c>
      <c r="N442" s="15">
        <f t="shared" si="44"/>
        <v>48.359999999999985</v>
      </c>
      <c r="O442" s="10">
        <f t="shared" si="45"/>
        <v>0.30999999999999989</v>
      </c>
      <c r="P442" t="str">
        <f t="shared" si="46"/>
        <v>31</v>
      </c>
      <c r="Q442" t="str">
        <f t="shared" si="47"/>
        <v>Aug</v>
      </c>
      <c r="R442" t="str">
        <f t="shared" si="48"/>
        <v>2022</v>
      </c>
    </row>
    <row r="443" spans="1:18" x14ac:dyDescent="0.2">
      <c r="A443" s="1">
        <v>44808</v>
      </c>
      <c r="B443" t="s">
        <v>9</v>
      </c>
      <c r="C443" t="str">
        <f>_xlfn.XLOOKUP(B443,PRODUCT_MASTER!$A:$A,PRODUCT_MASTER!$B:$B,2,0)</f>
        <v>Product02</v>
      </c>
      <c r="D443" t="str">
        <f>_xlfn.XLOOKUP(B443,PRODUCT_MASTER!$A:$A,PRODUCT_MASTER!$C:$C,2,0)</f>
        <v>Organic</v>
      </c>
      <c r="E443" t="str">
        <f>_xlfn.XLOOKUP(B443,PRODUCT_MASTER!$A:$A,PRODUCT_MASTER!$D:$D,2,0)</f>
        <v>Kg</v>
      </c>
      <c r="F443">
        <f>_xlfn.XLOOKUP(B443,PRODUCT_MASTER!$A:$A,PRODUCT_MASTER!$E:$E,2,0)</f>
        <v>105</v>
      </c>
      <c r="G443">
        <f>_xlfn.XLOOKUP(B443,PRODUCT_MASTER!$A:$A,PRODUCT_MASTER!$F:$F,2,0)</f>
        <v>142.80000000000001</v>
      </c>
      <c r="H443">
        <v>1</v>
      </c>
      <c r="I443" t="s">
        <v>103</v>
      </c>
      <c r="J443" t="s">
        <v>102</v>
      </c>
      <c r="K443">
        <v>0</v>
      </c>
      <c r="L443" s="15">
        <f t="shared" si="42"/>
        <v>105</v>
      </c>
      <c r="M443" s="15">
        <f t="shared" si="43"/>
        <v>142.80000000000001</v>
      </c>
      <c r="N443" s="15">
        <f t="shared" si="44"/>
        <v>37.800000000000011</v>
      </c>
      <c r="O443" s="10">
        <f t="shared" si="45"/>
        <v>0.3600000000000001</v>
      </c>
      <c r="P443" t="str">
        <f t="shared" si="46"/>
        <v>04</v>
      </c>
      <c r="Q443" t="str">
        <f t="shared" si="47"/>
        <v>Sep</v>
      </c>
      <c r="R443" t="str">
        <f t="shared" si="48"/>
        <v>2022</v>
      </c>
    </row>
    <row r="444" spans="1:18" x14ac:dyDescent="0.2">
      <c r="A444" s="1">
        <v>44810</v>
      </c>
      <c r="B444" t="s">
        <v>15</v>
      </c>
      <c r="C444" t="str">
        <f>_xlfn.XLOOKUP(B444,PRODUCT_MASTER!$A:$A,PRODUCT_MASTER!$B:$B,2,0)</f>
        <v>Product05</v>
      </c>
      <c r="D444" t="str">
        <f>_xlfn.XLOOKUP(B444,PRODUCT_MASTER!$A:$A,PRODUCT_MASTER!$C:$C,2,0)</f>
        <v>Organic</v>
      </c>
      <c r="E444" t="str">
        <f>_xlfn.XLOOKUP(B444,PRODUCT_MASTER!$A:$A,PRODUCT_MASTER!$D:$D,2,0)</f>
        <v>Ft</v>
      </c>
      <c r="F444">
        <f>_xlfn.XLOOKUP(B444,PRODUCT_MASTER!$A:$A,PRODUCT_MASTER!$E:$E,2,0)</f>
        <v>133</v>
      </c>
      <c r="G444">
        <f>_xlfn.XLOOKUP(B444,PRODUCT_MASTER!$A:$A,PRODUCT_MASTER!$F:$F,2,0)</f>
        <v>155.61000000000001</v>
      </c>
      <c r="H444">
        <v>12</v>
      </c>
      <c r="I444" t="s">
        <v>100</v>
      </c>
      <c r="J444" t="s">
        <v>101</v>
      </c>
      <c r="K444">
        <v>0</v>
      </c>
      <c r="L444" s="15">
        <f t="shared" si="42"/>
        <v>1596</v>
      </c>
      <c r="M444" s="15">
        <f t="shared" si="43"/>
        <v>1867.3200000000002</v>
      </c>
      <c r="N444" s="15">
        <f t="shared" si="44"/>
        <v>271.32000000000016</v>
      </c>
      <c r="O444" s="10">
        <f t="shared" si="45"/>
        <v>0.1700000000000001</v>
      </c>
      <c r="P444" t="str">
        <f t="shared" si="46"/>
        <v>06</v>
      </c>
      <c r="Q444" t="str">
        <f t="shared" si="47"/>
        <v>Sep</v>
      </c>
      <c r="R444" t="str">
        <f t="shared" si="48"/>
        <v>2022</v>
      </c>
    </row>
    <row r="445" spans="1:18" x14ac:dyDescent="0.2">
      <c r="A445" s="1">
        <v>44813</v>
      </c>
      <c r="B445" t="s">
        <v>87</v>
      </c>
      <c r="C445" t="str">
        <f>_xlfn.XLOOKUP(B445,PRODUCT_MASTER!$A:$A,PRODUCT_MASTER!$B:$B,2,0)</f>
        <v>Product41</v>
      </c>
      <c r="D445" t="str">
        <f>_xlfn.XLOOKUP(B445,PRODUCT_MASTER!$A:$A,PRODUCT_MASTER!$C:$C,2,0)</f>
        <v>Snacks</v>
      </c>
      <c r="E445" t="str">
        <f>_xlfn.XLOOKUP(B445,PRODUCT_MASTER!$A:$A,PRODUCT_MASTER!$D:$D,2,0)</f>
        <v>Ft</v>
      </c>
      <c r="F445">
        <f>_xlfn.XLOOKUP(B445,PRODUCT_MASTER!$A:$A,PRODUCT_MASTER!$E:$E,2,0)</f>
        <v>138</v>
      </c>
      <c r="G445">
        <f>_xlfn.XLOOKUP(B445,PRODUCT_MASTER!$A:$A,PRODUCT_MASTER!$F:$F,2,0)</f>
        <v>173.88</v>
      </c>
      <c r="H445">
        <v>9</v>
      </c>
      <c r="I445" t="s">
        <v>103</v>
      </c>
      <c r="J445" t="s">
        <v>101</v>
      </c>
      <c r="K445">
        <v>0</v>
      </c>
      <c r="L445" s="15">
        <f t="shared" si="42"/>
        <v>1242</v>
      </c>
      <c r="M445" s="15">
        <f t="shared" si="43"/>
        <v>1564.92</v>
      </c>
      <c r="N445" s="15">
        <f t="shared" si="44"/>
        <v>322.92000000000007</v>
      </c>
      <c r="O445" s="10">
        <f t="shared" si="45"/>
        <v>0.26000000000000006</v>
      </c>
      <c r="P445" t="str">
        <f t="shared" si="46"/>
        <v>09</v>
      </c>
      <c r="Q445" t="str">
        <f t="shared" si="47"/>
        <v>Sep</v>
      </c>
      <c r="R445" t="str">
        <f t="shared" si="48"/>
        <v>2022</v>
      </c>
    </row>
    <row r="446" spans="1:18" x14ac:dyDescent="0.2">
      <c r="A446" s="1">
        <v>44813</v>
      </c>
      <c r="B446" t="s">
        <v>11</v>
      </c>
      <c r="C446" t="str">
        <f>_xlfn.XLOOKUP(B446,PRODUCT_MASTER!$A:$A,PRODUCT_MASTER!$B:$B,2,0)</f>
        <v>Product03</v>
      </c>
      <c r="D446" t="str">
        <f>_xlfn.XLOOKUP(B446,PRODUCT_MASTER!$A:$A,PRODUCT_MASTER!$C:$C,2,0)</f>
        <v>Organic</v>
      </c>
      <c r="E446" t="str">
        <f>_xlfn.XLOOKUP(B446,PRODUCT_MASTER!$A:$A,PRODUCT_MASTER!$D:$D,2,0)</f>
        <v>Kg</v>
      </c>
      <c r="F446">
        <f>_xlfn.XLOOKUP(B446,PRODUCT_MASTER!$A:$A,PRODUCT_MASTER!$E:$E,2,0)</f>
        <v>71</v>
      </c>
      <c r="G446">
        <f>_xlfn.XLOOKUP(B446,PRODUCT_MASTER!$A:$A,PRODUCT_MASTER!$F:$F,2,0)</f>
        <v>80.94</v>
      </c>
      <c r="H446">
        <v>3</v>
      </c>
      <c r="I446" t="s">
        <v>103</v>
      </c>
      <c r="J446" t="s">
        <v>101</v>
      </c>
      <c r="K446">
        <v>0</v>
      </c>
      <c r="L446" s="15">
        <f t="shared" si="42"/>
        <v>213</v>
      </c>
      <c r="M446" s="15">
        <f t="shared" si="43"/>
        <v>242.82</v>
      </c>
      <c r="N446" s="15">
        <f t="shared" si="44"/>
        <v>29.819999999999993</v>
      </c>
      <c r="O446" s="10">
        <f t="shared" si="45"/>
        <v>0.13999999999999996</v>
      </c>
      <c r="P446" t="str">
        <f t="shared" si="46"/>
        <v>09</v>
      </c>
      <c r="Q446" t="str">
        <f t="shared" si="47"/>
        <v>Sep</v>
      </c>
      <c r="R446" t="str">
        <f t="shared" si="48"/>
        <v>2022</v>
      </c>
    </row>
    <row r="447" spans="1:18" x14ac:dyDescent="0.2">
      <c r="A447" s="1">
        <v>44814</v>
      </c>
      <c r="B447" t="s">
        <v>75</v>
      </c>
      <c r="C447" t="str">
        <f>_xlfn.XLOOKUP(B447,PRODUCT_MASTER!$A:$A,PRODUCT_MASTER!$B:$B,2,0)</f>
        <v>Product35</v>
      </c>
      <c r="D447" t="str">
        <f>_xlfn.XLOOKUP(B447,PRODUCT_MASTER!$A:$A,PRODUCT_MASTER!$C:$C,2,0)</f>
        <v>Bakery And Desserts</v>
      </c>
      <c r="E447" t="str">
        <f>_xlfn.XLOOKUP(B447,PRODUCT_MASTER!$A:$A,PRODUCT_MASTER!$D:$D,2,0)</f>
        <v>No.</v>
      </c>
      <c r="F447">
        <f>_xlfn.XLOOKUP(B447,PRODUCT_MASTER!$A:$A,PRODUCT_MASTER!$E:$E,2,0)</f>
        <v>5</v>
      </c>
      <c r="G447">
        <f>_xlfn.XLOOKUP(B447,PRODUCT_MASTER!$A:$A,PRODUCT_MASTER!$F:$F,2,0)</f>
        <v>6.7</v>
      </c>
      <c r="H447">
        <v>15</v>
      </c>
      <c r="I447" t="s">
        <v>101</v>
      </c>
      <c r="J447" t="s">
        <v>102</v>
      </c>
      <c r="K447">
        <v>0</v>
      </c>
      <c r="L447" s="15">
        <f t="shared" si="42"/>
        <v>75</v>
      </c>
      <c r="M447" s="15">
        <f t="shared" si="43"/>
        <v>100.5</v>
      </c>
      <c r="N447" s="15">
        <f t="shared" si="44"/>
        <v>25.5</v>
      </c>
      <c r="O447" s="10">
        <f t="shared" si="45"/>
        <v>0.34</v>
      </c>
      <c r="P447" t="str">
        <f t="shared" si="46"/>
        <v>10</v>
      </c>
      <c r="Q447" t="str">
        <f t="shared" si="47"/>
        <v>Sep</v>
      </c>
      <c r="R447" t="str">
        <f t="shared" si="48"/>
        <v>2022</v>
      </c>
    </row>
    <row r="448" spans="1:18" x14ac:dyDescent="0.2">
      <c r="A448" s="1">
        <v>44814</v>
      </c>
      <c r="B448" t="s">
        <v>81</v>
      </c>
      <c r="C448" t="str">
        <f>_xlfn.XLOOKUP(B448,PRODUCT_MASTER!$A:$A,PRODUCT_MASTER!$B:$B,2,0)</f>
        <v>Product38</v>
      </c>
      <c r="D448" t="str">
        <f>_xlfn.XLOOKUP(B448,PRODUCT_MASTER!$A:$A,PRODUCT_MASTER!$C:$C,2,0)</f>
        <v>Snacks</v>
      </c>
      <c r="E448" t="str">
        <f>_xlfn.XLOOKUP(B448,PRODUCT_MASTER!$A:$A,PRODUCT_MASTER!$D:$D,2,0)</f>
        <v>Kg</v>
      </c>
      <c r="F448">
        <f>_xlfn.XLOOKUP(B448,PRODUCT_MASTER!$A:$A,PRODUCT_MASTER!$E:$E,2,0)</f>
        <v>72</v>
      </c>
      <c r="G448">
        <f>_xlfn.XLOOKUP(B448,PRODUCT_MASTER!$A:$A,PRODUCT_MASTER!$F:$F,2,0)</f>
        <v>79.92</v>
      </c>
      <c r="H448">
        <v>4</v>
      </c>
      <c r="I448" t="s">
        <v>103</v>
      </c>
      <c r="J448" t="s">
        <v>102</v>
      </c>
      <c r="K448">
        <v>0</v>
      </c>
      <c r="L448" s="15">
        <f t="shared" si="42"/>
        <v>288</v>
      </c>
      <c r="M448" s="15">
        <f t="shared" si="43"/>
        <v>319.68</v>
      </c>
      <c r="N448" s="15">
        <f t="shared" si="44"/>
        <v>31.680000000000007</v>
      </c>
      <c r="O448" s="10">
        <f t="shared" si="45"/>
        <v>0.11000000000000003</v>
      </c>
      <c r="P448" t="str">
        <f t="shared" si="46"/>
        <v>10</v>
      </c>
      <c r="Q448" t="str">
        <f t="shared" si="47"/>
        <v>Sep</v>
      </c>
      <c r="R448" t="str">
        <f t="shared" si="48"/>
        <v>2022</v>
      </c>
    </row>
    <row r="449" spans="1:18" x14ac:dyDescent="0.2">
      <c r="A449" s="1">
        <v>44818</v>
      </c>
      <c r="B449" t="s">
        <v>63</v>
      </c>
      <c r="C449" t="str">
        <f>_xlfn.XLOOKUP(B449,PRODUCT_MASTER!$A:$A,PRODUCT_MASTER!$B:$B,2,0)</f>
        <v>Product29</v>
      </c>
      <c r="D449" t="str">
        <f>_xlfn.XLOOKUP(B449,PRODUCT_MASTER!$A:$A,PRODUCT_MASTER!$C:$C,2,0)</f>
        <v>Cheese And Dairy</v>
      </c>
      <c r="E449" t="str">
        <f>_xlfn.XLOOKUP(B449,PRODUCT_MASTER!$A:$A,PRODUCT_MASTER!$D:$D,2,0)</f>
        <v>Lt</v>
      </c>
      <c r="F449">
        <f>_xlfn.XLOOKUP(B449,PRODUCT_MASTER!$A:$A,PRODUCT_MASTER!$E:$E,2,0)</f>
        <v>47</v>
      </c>
      <c r="G449">
        <f>_xlfn.XLOOKUP(B449,PRODUCT_MASTER!$A:$A,PRODUCT_MASTER!$F:$F,2,0)</f>
        <v>53.11</v>
      </c>
      <c r="H449">
        <v>3</v>
      </c>
      <c r="I449" t="s">
        <v>103</v>
      </c>
      <c r="J449" t="s">
        <v>102</v>
      </c>
      <c r="K449">
        <v>0</v>
      </c>
      <c r="L449" s="15">
        <f t="shared" si="42"/>
        <v>141</v>
      </c>
      <c r="M449" s="15">
        <f t="shared" si="43"/>
        <v>159.32999999999998</v>
      </c>
      <c r="N449" s="15">
        <f t="shared" si="44"/>
        <v>18.329999999999984</v>
      </c>
      <c r="O449" s="10">
        <f t="shared" si="45"/>
        <v>0.12999999999999989</v>
      </c>
      <c r="P449" t="str">
        <f t="shared" si="46"/>
        <v>14</v>
      </c>
      <c r="Q449" t="str">
        <f t="shared" si="47"/>
        <v>Sep</v>
      </c>
      <c r="R449" t="str">
        <f t="shared" si="48"/>
        <v>2022</v>
      </c>
    </row>
    <row r="450" spans="1:18" x14ac:dyDescent="0.2">
      <c r="A450" s="1">
        <v>44819</v>
      </c>
      <c r="B450" t="s">
        <v>79</v>
      </c>
      <c r="C450" t="str">
        <f>_xlfn.XLOOKUP(B450,PRODUCT_MASTER!$A:$A,PRODUCT_MASTER!$B:$B,2,0)</f>
        <v>Product37</v>
      </c>
      <c r="D450" t="str">
        <f>_xlfn.XLOOKUP(B450,PRODUCT_MASTER!$A:$A,PRODUCT_MASTER!$C:$C,2,0)</f>
        <v>Snacks</v>
      </c>
      <c r="E450" t="str">
        <f>_xlfn.XLOOKUP(B450,PRODUCT_MASTER!$A:$A,PRODUCT_MASTER!$D:$D,2,0)</f>
        <v>Kg</v>
      </c>
      <c r="F450">
        <f>_xlfn.XLOOKUP(B450,PRODUCT_MASTER!$A:$A,PRODUCT_MASTER!$E:$E,2,0)</f>
        <v>67</v>
      </c>
      <c r="G450">
        <f>_xlfn.XLOOKUP(B450,PRODUCT_MASTER!$A:$A,PRODUCT_MASTER!$F:$F,2,0)</f>
        <v>85.76</v>
      </c>
      <c r="H450">
        <v>15</v>
      </c>
      <c r="I450" t="s">
        <v>101</v>
      </c>
      <c r="J450" t="s">
        <v>101</v>
      </c>
      <c r="K450">
        <v>0</v>
      </c>
      <c r="L450" s="15">
        <f t="shared" si="42"/>
        <v>1005</v>
      </c>
      <c r="M450" s="15">
        <f t="shared" si="43"/>
        <v>1286.4000000000001</v>
      </c>
      <c r="N450" s="15">
        <f t="shared" si="44"/>
        <v>281.40000000000009</v>
      </c>
      <c r="O450" s="10">
        <f t="shared" si="45"/>
        <v>0.28000000000000008</v>
      </c>
      <c r="P450" t="str">
        <f t="shared" si="46"/>
        <v>15</v>
      </c>
      <c r="Q450" t="str">
        <f t="shared" si="47"/>
        <v>Sep</v>
      </c>
      <c r="R450" t="str">
        <f t="shared" si="48"/>
        <v>2022</v>
      </c>
    </row>
    <row r="451" spans="1:18" x14ac:dyDescent="0.2">
      <c r="A451" s="1">
        <v>44822</v>
      </c>
      <c r="B451" t="s">
        <v>57</v>
      </c>
      <c r="C451" t="str">
        <f>_xlfn.XLOOKUP(B451,PRODUCT_MASTER!$A:$A,PRODUCT_MASTER!$B:$B,2,0)</f>
        <v>Product26</v>
      </c>
      <c r="D451" t="str">
        <f>_xlfn.XLOOKUP(B451,PRODUCT_MASTER!$A:$A,PRODUCT_MASTER!$C:$C,2,0)</f>
        <v>Seafood</v>
      </c>
      <c r="E451" t="str">
        <f>_xlfn.XLOOKUP(B451,PRODUCT_MASTER!$A:$A,PRODUCT_MASTER!$D:$D,2,0)</f>
        <v>No.</v>
      </c>
      <c r="F451">
        <f>_xlfn.XLOOKUP(B451,PRODUCT_MASTER!$A:$A,PRODUCT_MASTER!$E:$E,2,0)</f>
        <v>18</v>
      </c>
      <c r="G451">
        <f>_xlfn.XLOOKUP(B451,PRODUCT_MASTER!$A:$A,PRODUCT_MASTER!$F:$F,2,0)</f>
        <v>24.66</v>
      </c>
      <c r="H451">
        <v>14</v>
      </c>
      <c r="I451" t="s">
        <v>101</v>
      </c>
      <c r="J451" t="s">
        <v>102</v>
      </c>
      <c r="K451">
        <v>0</v>
      </c>
      <c r="L451" s="15">
        <f t="shared" ref="L451:L514" si="49">F451*H451</f>
        <v>252</v>
      </c>
      <c r="M451" s="15">
        <f t="shared" ref="M451:M514" si="50">G451*H451</f>
        <v>345.24</v>
      </c>
      <c r="N451" s="15">
        <f t="shared" ref="N451:N514" si="51">M451-L451</f>
        <v>93.240000000000009</v>
      </c>
      <c r="O451" s="10">
        <f t="shared" ref="O451:O514" si="52">N451/L451</f>
        <v>0.37000000000000005</v>
      </c>
      <c r="P451" t="str">
        <f t="shared" ref="P451:P514" si="53">TEXT(A451,"DD")</f>
        <v>18</v>
      </c>
      <c r="Q451" t="str">
        <f t="shared" ref="Q451:Q514" si="54">TEXT(A451,"MMM")</f>
        <v>Sep</v>
      </c>
      <c r="R451" t="str">
        <f t="shared" ref="R451:R514" si="55">TEXT(A451,"YYYY")</f>
        <v>2022</v>
      </c>
    </row>
    <row r="452" spans="1:18" x14ac:dyDescent="0.2">
      <c r="A452" s="1">
        <v>44823</v>
      </c>
      <c r="B452" t="s">
        <v>71</v>
      </c>
      <c r="C452" t="str">
        <f>_xlfn.XLOOKUP(B452,PRODUCT_MASTER!$A:$A,PRODUCT_MASTER!$B:$B,2,0)</f>
        <v>Product33</v>
      </c>
      <c r="D452" t="str">
        <f>_xlfn.XLOOKUP(B452,PRODUCT_MASTER!$A:$A,PRODUCT_MASTER!$C:$C,2,0)</f>
        <v>Bakery And Desserts</v>
      </c>
      <c r="E452" t="str">
        <f>_xlfn.XLOOKUP(B452,PRODUCT_MASTER!$A:$A,PRODUCT_MASTER!$D:$D,2,0)</f>
        <v>Kg</v>
      </c>
      <c r="F452">
        <f>_xlfn.XLOOKUP(B452,PRODUCT_MASTER!$A:$A,PRODUCT_MASTER!$E:$E,2,0)</f>
        <v>95</v>
      </c>
      <c r="G452">
        <f>_xlfn.XLOOKUP(B452,PRODUCT_MASTER!$A:$A,PRODUCT_MASTER!$F:$F,2,0)</f>
        <v>119.7</v>
      </c>
      <c r="H452">
        <v>8</v>
      </c>
      <c r="I452" t="s">
        <v>100</v>
      </c>
      <c r="J452" t="s">
        <v>102</v>
      </c>
      <c r="K452">
        <v>0</v>
      </c>
      <c r="L452" s="15">
        <f t="shared" si="49"/>
        <v>760</v>
      </c>
      <c r="M452" s="15">
        <f t="shared" si="50"/>
        <v>957.6</v>
      </c>
      <c r="N452" s="15">
        <f t="shared" si="51"/>
        <v>197.60000000000002</v>
      </c>
      <c r="O452" s="10">
        <f t="shared" si="52"/>
        <v>0.26</v>
      </c>
      <c r="P452" t="str">
        <f t="shared" si="53"/>
        <v>19</v>
      </c>
      <c r="Q452" t="str">
        <f t="shared" si="54"/>
        <v>Sep</v>
      </c>
      <c r="R452" t="str">
        <f t="shared" si="55"/>
        <v>2022</v>
      </c>
    </row>
    <row r="453" spans="1:18" x14ac:dyDescent="0.2">
      <c r="A453" s="1">
        <v>44824</v>
      </c>
      <c r="B453" t="s">
        <v>71</v>
      </c>
      <c r="C453" t="str">
        <f>_xlfn.XLOOKUP(B453,PRODUCT_MASTER!$A:$A,PRODUCT_MASTER!$B:$B,2,0)</f>
        <v>Product33</v>
      </c>
      <c r="D453" t="str">
        <f>_xlfn.XLOOKUP(B453,PRODUCT_MASTER!$A:$A,PRODUCT_MASTER!$C:$C,2,0)</f>
        <v>Bakery And Desserts</v>
      </c>
      <c r="E453" t="str">
        <f>_xlfn.XLOOKUP(B453,PRODUCT_MASTER!$A:$A,PRODUCT_MASTER!$D:$D,2,0)</f>
        <v>Kg</v>
      </c>
      <c r="F453">
        <f>_xlfn.XLOOKUP(B453,PRODUCT_MASTER!$A:$A,PRODUCT_MASTER!$E:$E,2,0)</f>
        <v>95</v>
      </c>
      <c r="G453">
        <f>_xlfn.XLOOKUP(B453,PRODUCT_MASTER!$A:$A,PRODUCT_MASTER!$F:$F,2,0)</f>
        <v>119.7</v>
      </c>
      <c r="H453">
        <v>6</v>
      </c>
      <c r="I453" t="s">
        <v>103</v>
      </c>
      <c r="J453" t="s">
        <v>101</v>
      </c>
      <c r="K453">
        <v>0</v>
      </c>
      <c r="L453" s="15">
        <f t="shared" si="49"/>
        <v>570</v>
      </c>
      <c r="M453" s="15">
        <f t="shared" si="50"/>
        <v>718.2</v>
      </c>
      <c r="N453" s="15">
        <f t="shared" si="51"/>
        <v>148.20000000000005</v>
      </c>
      <c r="O453" s="10">
        <f t="shared" si="52"/>
        <v>0.26000000000000006</v>
      </c>
      <c r="P453" t="str">
        <f t="shared" si="53"/>
        <v>20</v>
      </c>
      <c r="Q453" t="str">
        <f t="shared" si="54"/>
        <v>Sep</v>
      </c>
      <c r="R453" t="str">
        <f t="shared" si="55"/>
        <v>2022</v>
      </c>
    </row>
    <row r="454" spans="1:18" x14ac:dyDescent="0.2">
      <c r="A454" s="1">
        <v>44824</v>
      </c>
      <c r="B454" t="s">
        <v>6</v>
      </c>
      <c r="C454" t="str">
        <f>_xlfn.XLOOKUP(B454,PRODUCT_MASTER!$A:$A,PRODUCT_MASTER!$B:$B,2,0)</f>
        <v>Product01</v>
      </c>
      <c r="D454" t="str">
        <f>_xlfn.XLOOKUP(B454,PRODUCT_MASTER!$A:$A,PRODUCT_MASTER!$C:$C,2,0)</f>
        <v>Organic</v>
      </c>
      <c r="E454" t="str">
        <f>_xlfn.XLOOKUP(B454,PRODUCT_MASTER!$A:$A,PRODUCT_MASTER!$D:$D,2,0)</f>
        <v>Kg</v>
      </c>
      <c r="F454">
        <f>_xlfn.XLOOKUP(B454,PRODUCT_MASTER!$A:$A,PRODUCT_MASTER!$E:$E,2,0)</f>
        <v>98</v>
      </c>
      <c r="G454">
        <f>_xlfn.XLOOKUP(B454,PRODUCT_MASTER!$A:$A,PRODUCT_MASTER!$F:$F,2,0)</f>
        <v>103.88</v>
      </c>
      <c r="H454">
        <v>10</v>
      </c>
      <c r="I454" t="s">
        <v>103</v>
      </c>
      <c r="J454" t="s">
        <v>101</v>
      </c>
      <c r="K454">
        <v>0</v>
      </c>
      <c r="L454" s="15">
        <f t="shared" si="49"/>
        <v>980</v>
      </c>
      <c r="M454" s="15">
        <f t="shared" si="50"/>
        <v>1038.8</v>
      </c>
      <c r="N454" s="15">
        <f t="shared" si="51"/>
        <v>58.799999999999955</v>
      </c>
      <c r="O454" s="10">
        <f t="shared" si="52"/>
        <v>5.9999999999999956E-2</v>
      </c>
      <c r="P454" t="str">
        <f t="shared" si="53"/>
        <v>20</v>
      </c>
      <c r="Q454" t="str">
        <f t="shared" si="54"/>
        <v>Sep</v>
      </c>
      <c r="R454" t="str">
        <f t="shared" si="55"/>
        <v>2022</v>
      </c>
    </row>
    <row r="455" spans="1:18" x14ac:dyDescent="0.2">
      <c r="A455" s="1">
        <v>44825</v>
      </c>
      <c r="B455" t="s">
        <v>41</v>
      </c>
      <c r="C455" t="str">
        <f>_xlfn.XLOOKUP(B455,PRODUCT_MASTER!$A:$A,PRODUCT_MASTER!$B:$B,2,0)</f>
        <v>Product18</v>
      </c>
      <c r="D455" t="str">
        <f>_xlfn.XLOOKUP(B455,PRODUCT_MASTER!$A:$A,PRODUCT_MASTER!$C:$C,2,0)</f>
        <v>Poultry</v>
      </c>
      <c r="E455" t="str">
        <f>_xlfn.XLOOKUP(B455,PRODUCT_MASTER!$A:$A,PRODUCT_MASTER!$D:$D,2,0)</f>
        <v>No.</v>
      </c>
      <c r="F455">
        <f>_xlfn.XLOOKUP(B455,PRODUCT_MASTER!$A:$A,PRODUCT_MASTER!$E:$E,2,0)</f>
        <v>37</v>
      </c>
      <c r="G455">
        <f>_xlfn.XLOOKUP(B455,PRODUCT_MASTER!$A:$A,PRODUCT_MASTER!$F:$F,2,0)</f>
        <v>49.21</v>
      </c>
      <c r="H455">
        <v>14</v>
      </c>
      <c r="I455" t="s">
        <v>101</v>
      </c>
      <c r="J455" t="s">
        <v>101</v>
      </c>
      <c r="K455">
        <v>0</v>
      </c>
      <c r="L455" s="15">
        <f t="shared" si="49"/>
        <v>518</v>
      </c>
      <c r="M455" s="15">
        <f t="shared" si="50"/>
        <v>688.94</v>
      </c>
      <c r="N455" s="15">
        <f t="shared" si="51"/>
        <v>170.94000000000005</v>
      </c>
      <c r="O455" s="10">
        <f t="shared" si="52"/>
        <v>0.33000000000000013</v>
      </c>
      <c r="P455" t="str">
        <f t="shared" si="53"/>
        <v>21</v>
      </c>
      <c r="Q455" t="str">
        <f t="shared" si="54"/>
        <v>Sep</v>
      </c>
      <c r="R455" t="str">
        <f t="shared" si="55"/>
        <v>2022</v>
      </c>
    </row>
    <row r="456" spans="1:18" x14ac:dyDescent="0.2">
      <c r="A456" s="1">
        <v>44825</v>
      </c>
      <c r="B456" t="s">
        <v>57</v>
      </c>
      <c r="C456" t="str">
        <f>_xlfn.XLOOKUP(B456,PRODUCT_MASTER!$A:$A,PRODUCT_MASTER!$B:$B,2,0)</f>
        <v>Product26</v>
      </c>
      <c r="D456" t="str">
        <f>_xlfn.XLOOKUP(B456,PRODUCT_MASTER!$A:$A,PRODUCT_MASTER!$C:$C,2,0)</f>
        <v>Seafood</v>
      </c>
      <c r="E456" t="str">
        <f>_xlfn.XLOOKUP(B456,PRODUCT_MASTER!$A:$A,PRODUCT_MASTER!$D:$D,2,0)</f>
        <v>No.</v>
      </c>
      <c r="F456">
        <f>_xlfn.XLOOKUP(B456,PRODUCT_MASTER!$A:$A,PRODUCT_MASTER!$E:$E,2,0)</f>
        <v>18</v>
      </c>
      <c r="G456">
        <f>_xlfn.XLOOKUP(B456,PRODUCT_MASTER!$A:$A,PRODUCT_MASTER!$F:$F,2,0)</f>
        <v>24.66</v>
      </c>
      <c r="H456">
        <v>5</v>
      </c>
      <c r="I456" t="s">
        <v>103</v>
      </c>
      <c r="J456" t="s">
        <v>102</v>
      </c>
      <c r="K456">
        <v>0</v>
      </c>
      <c r="L456" s="15">
        <f t="shared" si="49"/>
        <v>90</v>
      </c>
      <c r="M456" s="15">
        <f t="shared" si="50"/>
        <v>123.3</v>
      </c>
      <c r="N456" s="15">
        <f t="shared" si="51"/>
        <v>33.299999999999997</v>
      </c>
      <c r="O456" s="10">
        <f t="shared" si="52"/>
        <v>0.37</v>
      </c>
      <c r="P456" t="str">
        <f t="shared" si="53"/>
        <v>21</v>
      </c>
      <c r="Q456" t="str">
        <f t="shared" si="54"/>
        <v>Sep</v>
      </c>
      <c r="R456" t="str">
        <f t="shared" si="55"/>
        <v>2022</v>
      </c>
    </row>
    <row r="457" spans="1:18" x14ac:dyDescent="0.2">
      <c r="A457" s="1">
        <v>44826</v>
      </c>
      <c r="B457" t="s">
        <v>91</v>
      </c>
      <c r="C457" t="str">
        <f>_xlfn.XLOOKUP(B457,PRODUCT_MASTER!$A:$A,PRODUCT_MASTER!$B:$B,2,0)</f>
        <v>Product43</v>
      </c>
      <c r="D457" t="str">
        <f>_xlfn.XLOOKUP(B457,PRODUCT_MASTER!$A:$A,PRODUCT_MASTER!$C:$C,2,0)</f>
        <v>Candy</v>
      </c>
      <c r="E457" t="str">
        <f>_xlfn.XLOOKUP(B457,PRODUCT_MASTER!$A:$A,PRODUCT_MASTER!$D:$D,2,0)</f>
        <v>Kg</v>
      </c>
      <c r="F457">
        <f>_xlfn.XLOOKUP(B457,PRODUCT_MASTER!$A:$A,PRODUCT_MASTER!$E:$E,2,0)</f>
        <v>67</v>
      </c>
      <c r="G457">
        <f>_xlfn.XLOOKUP(B457,PRODUCT_MASTER!$A:$A,PRODUCT_MASTER!$F:$F,2,0)</f>
        <v>83.08</v>
      </c>
      <c r="H457">
        <v>12</v>
      </c>
      <c r="I457" t="s">
        <v>101</v>
      </c>
      <c r="J457" t="s">
        <v>101</v>
      </c>
      <c r="K457">
        <v>0</v>
      </c>
      <c r="L457" s="15">
        <f t="shared" si="49"/>
        <v>804</v>
      </c>
      <c r="M457" s="15">
        <f t="shared" si="50"/>
        <v>996.96</v>
      </c>
      <c r="N457" s="15">
        <f t="shared" si="51"/>
        <v>192.96000000000004</v>
      </c>
      <c r="O457" s="10">
        <f t="shared" si="52"/>
        <v>0.24000000000000005</v>
      </c>
      <c r="P457" t="str">
        <f t="shared" si="53"/>
        <v>22</v>
      </c>
      <c r="Q457" t="str">
        <f t="shared" si="54"/>
        <v>Sep</v>
      </c>
      <c r="R457" t="str">
        <f t="shared" si="55"/>
        <v>2022</v>
      </c>
    </row>
    <row r="458" spans="1:18" x14ac:dyDescent="0.2">
      <c r="A458" s="1">
        <v>44827</v>
      </c>
      <c r="B458" t="s">
        <v>29</v>
      </c>
      <c r="C458" t="str">
        <f>_xlfn.XLOOKUP(B458,PRODUCT_MASTER!$A:$A,PRODUCT_MASTER!$B:$B,2,0)</f>
        <v>Product12</v>
      </c>
      <c r="D458" t="str">
        <f>_xlfn.XLOOKUP(B458,PRODUCT_MASTER!$A:$A,PRODUCT_MASTER!$C:$C,2,0)</f>
        <v>Meat</v>
      </c>
      <c r="E458" t="str">
        <f>_xlfn.XLOOKUP(B458,PRODUCT_MASTER!$A:$A,PRODUCT_MASTER!$D:$D,2,0)</f>
        <v>Kg</v>
      </c>
      <c r="F458">
        <f>_xlfn.XLOOKUP(B458,PRODUCT_MASTER!$A:$A,PRODUCT_MASTER!$E:$E,2,0)</f>
        <v>73</v>
      </c>
      <c r="G458">
        <f>_xlfn.XLOOKUP(B458,PRODUCT_MASTER!$A:$A,PRODUCT_MASTER!$F:$F,2,0)</f>
        <v>94.17</v>
      </c>
      <c r="H458">
        <v>12</v>
      </c>
      <c r="I458" t="s">
        <v>103</v>
      </c>
      <c r="J458" t="s">
        <v>101</v>
      </c>
      <c r="K458">
        <v>0</v>
      </c>
      <c r="L458" s="15">
        <f t="shared" si="49"/>
        <v>876</v>
      </c>
      <c r="M458" s="15">
        <f t="shared" si="50"/>
        <v>1130.04</v>
      </c>
      <c r="N458" s="15">
        <f t="shared" si="51"/>
        <v>254.03999999999996</v>
      </c>
      <c r="O458" s="10">
        <f t="shared" si="52"/>
        <v>0.28999999999999998</v>
      </c>
      <c r="P458" t="str">
        <f t="shared" si="53"/>
        <v>23</v>
      </c>
      <c r="Q458" t="str">
        <f t="shared" si="54"/>
        <v>Sep</v>
      </c>
      <c r="R458" t="str">
        <f t="shared" si="55"/>
        <v>2022</v>
      </c>
    </row>
    <row r="459" spans="1:18" x14ac:dyDescent="0.2">
      <c r="A459" s="1">
        <v>44828</v>
      </c>
      <c r="B459" t="s">
        <v>69</v>
      </c>
      <c r="C459" t="str">
        <f>_xlfn.XLOOKUP(B459,PRODUCT_MASTER!$A:$A,PRODUCT_MASTER!$B:$B,2,0)</f>
        <v>Product32</v>
      </c>
      <c r="D459" t="str">
        <f>_xlfn.XLOOKUP(B459,PRODUCT_MASTER!$A:$A,PRODUCT_MASTER!$C:$C,2,0)</f>
        <v>Bakery And Desserts</v>
      </c>
      <c r="E459" t="str">
        <f>_xlfn.XLOOKUP(B459,PRODUCT_MASTER!$A:$A,PRODUCT_MASTER!$D:$D,2,0)</f>
        <v>Kg</v>
      </c>
      <c r="F459">
        <f>_xlfn.XLOOKUP(B459,PRODUCT_MASTER!$A:$A,PRODUCT_MASTER!$E:$E,2,0)</f>
        <v>89</v>
      </c>
      <c r="G459">
        <f>_xlfn.XLOOKUP(B459,PRODUCT_MASTER!$A:$A,PRODUCT_MASTER!$F:$F,2,0)</f>
        <v>117.48</v>
      </c>
      <c r="H459">
        <v>14</v>
      </c>
      <c r="I459" t="s">
        <v>103</v>
      </c>
      <c r="J459" t="s">
        <v>101</v>
      </c>
      <c r="K459">
        <v>0</v>
      </c>
      <c r="L459" s="15">
        <f t="shared" si="49"/>
        <v>1246</v>
      </c>
      <c r="M459" s="15">
        <f t="shared" si="50"/>
        <v>1644.72</v>
      </c>
      <c r="N459" s="15">
        <f t="shared" si="51"/>
        <v>398.72</v>
      </c>
      <c r="O459" s="10">
        <f t="shared" si="52"/>
        <v>0.32</v>
      </c>
      <c r="P459" t="str">
        <f t="shared" si="53"/>
        <v>24</v>
      </c>
      <c r="Q459" t="str">
        <f t="shared" si="54"/>
        <v>Sep</v>
      </c>
      <c r="R459" t="str">
        <f t="shared" si="55"/>
        <v>2022</v>
      </c>
    </row>
    <row r="460" spans="1:18" x14ac:dyDescent="0.2">
      <c r="A460" s="1">
        <v>44828</v>
      </c>
      <c r="B460" t="s">
        <v>69</v>
      </c>
      <c r="C460" t="str">
        <f>_xlfn.XLOOKUP(B460,PRODUCT_MASTER!$A:$A,PRODUCT_MASTER!$B:$B,2,0)</f>
        <v>Product32</v>
      </c>
      <c r="D460" t="str">
        <f>_xlfn.XLOOKUP(B460,PRODUCT_MASTER!$A:$A,PRODUCT_MASTER!$C:$C,2,0)</f>
        <v>Bakery And Desserts</v>
      </c>
      <c r="E460" t="str">
        <f>_xlfn.XLOOKUP(B460,PRODUCT_MASTER!$A:$A,PRODUCT_MASTER!$D:$D,2,0)</f>
        <v>Kg</v>
      </c>
      <c r="F460">
        <f>_xlfn.XLOOKUP(B460,PRODUCT_MASTER!$A:$A,PRODUCT_MASTER!$E:$E,2,0)</f>
        <v>89</v>
      </c>
      <c r="G460">
        <f>_xlfn.XLOOKUP(B460,PRODUCT_MASTER!$A:$A,PRODUCT_MASTER!$F:$F,2,0)</f>
        <v>117.48</v>
      </c>
      <c r="H460">
        <v>8</v>
      </c>
      <c r="I460" t="s">
        <v>103</v>
      </c>
      <c r="J460" t="s">
        <v>102</v>
      </c>
      <c r="K460">
        <v>0</v>
      </c>
      <c r="L460" s="15">
        <f t="shared" si="49"/>
        <v>712</v>
      </c>
      <c r="M460" s="15">
        <f t="shared" si="50"/>
        <v>939.84</v>
      </c>
      <c r="N460" s="15">
        <f t="shared" si="51"/>
        <v>227.84000000000003</v>
      </c>
      <c r="O460" s="10">
        <f t="shared" si="52"/>
        <v>0.32000000000000006</v>
      </c>
      <c r="P460" t="str">
        <f t="shared" si="53"/>
        <v>24</v>
      </c>
      <c r="Q460" t="str">
        <f t="shared" si="54"/>
        <v>Sep</v>
      </c>
      <c r="R460" t="str">
        <f t="shared" si="55"/>
        <v>2022</v>
      </c>
    </row>
    <row r="461" spans="1:18" x14ac:dyDescent="0.2">
      <c r="A461" s="1">
        <v>44831</v>
      </c>
      <c r="B461" t="s">
        <v>77</v>
      </c>
      <c r="C461" t="str">
        <f>_xlfn.XLOOKUP(B461,PRODUCT_MASTER!$A:$A,PRODUCT_MASTER!$B:$B,2,0)</f>
        <v>Product36</v>
      </c>
      <c r="D461" t="str">
        <f>_xlfn.XLOOKUP(B461,PRODUCT_MASTER!$A:$A,PRODUCT_MASTER!$C:$C,2,0)</f>
        <v>Bakery And Desserts</v>
      </c>
      <c r="E461" t="str">
        <f>_xlfn.XLOOKUP(B461,PRODUCT_MASTER!$A:$A,PRODUCT_MASTER!$D:$D,2,0)</f>
        <v>Kg</v>
      </c>
      <c r="F461">
        <f>_xlfn.XLOOKUP(B461,PRODUCT_MASTER!$A:$A,PRODUCT_MASTER!$E:$E,2,0)</f>
        <v>90</v>
      </c>
      <c r="G461">
        <f>_xlfn.XLOOKUP(B461,PRODUCT_MASTER!$A:$A,PRODUCT_MASTER!$F:$F,2,0)</f>
        <v>96.3</v>
      </c>
      <c r="H461">
        <v>4</v>
      </c>
      <c r="I461" t="s">
        <v>103</v>
      </c>
      <c r="J461" t="s">
        <v>102</v>
      </c>
      <c r="K461">
        <v>0</v>
      </c>
      <c r="L461" s="15">
        <f t="shared" si="49"/>
        <v>360</v>
      </c>
      <c r="M461" s="15">
        <f t="shared" si="50"/>
        <v>385.2</v>
      </c>
      <c r="N461" s="15">
        <f t="shared" si="51"/>
        <v>25.199999999999989</v>
      </c>
      <c r="O461" s="10">
        <f t="shared" si="52"/>
        <v>6.9999999999999965E-2</v>
      </c>
      <c r="P461" t="str">
        <f t="shared" si="53"/>
        <v>27</v>
      </c>
      <c r="Q461" t="str">
        <f t="shared" si="54"/>
        <v>Sep</v>
      </c>
      <c r="R461" t="str">
        <f t="shared" si="55"/>
        <v>2022</v>
      </c>
    </row>
    <row r="462" spans="1:18" x14ac:dyDescent="0.2">
      <c r="A462" s="1">
        <v>44831</v>
      </c>
      <c r="B462" t="s">
        <v>93</v>
      </c>
      <c r="C462" t="str">
        <f>_xlfn.XLOOKUP(B462,PRODUCT_MASTER!$A:$A,PRODUCT_MASTER!$B:$B,2,0)</f>
        <v>Product44</v>
      </c>
      <c r="D462" t="str">
        <f>_xlfn.XLOOKUP(B462,PRODUCT_MASTER!$A:$A,PRODUCT_MASTER!$C:$C,2,0)</f>
        <v>Candy</v>
      </c>
      <c r="E462" t="str">
        <f>_xlfn.XLOOKUP(B462,PRODUCT_MASTER!$A:$A,PRODUCT_MASTER!$D:$D,2,0)</f>
        <v>Kg</v>
      </c>
      <c r="F462">
        <f>_xlfn.XLOOKUP(B462,PRODUCT_MASTER!$A:$A,PRODUCT_MASTER!$E:$E,2,0)</f>
        <v>76</v>
      </c>
      <c r="G462">
        <f>_xlfn.XLOOKUP(B462,PRODUCT_MASTER!$A:$A,PRODUCT_MASTER!$F:$F,2,0)</f>
        <v>82.08</v>
      </c>
      <c r="H462">
        <v>9</v>
      </c>
      <c r="I462" t="s">
        <v>103</v>
      </c>
      <c r="J462" t="s">
        <v>102</v>
      </c>
      <c r="K462">
        <v>0</v>
      </c>
      <c r="L462" s="15">
        <f t="shared" si="49"/>
        <v>684</v>
      </c>
      <c r="M462" s="15">
        <f t="shared" si="50"/>
        <v>738.72</v>
      </c>
      <c r="N462" s="15">
        <f t="shared" si="51"/>
        <v>54.720000000000027</v>
      </c>
      <c r="O462" s="10">
        <f t="shared" si="52"/>
        <v>8.0000000000000043E-2</v>
      </c>
      <c r="P462" t="str">
        <f t="shared" si="53"/>
        <v>27</v>
      </c>
      <c r="Q462" t="str">
        <f t="shared" si="54"/>
        <v>Sep</v>
      </c>
      <c r="R462" t="str">
        <f t="shared" si="55"/>
        <v>2022</v>
      </c>
    </row>
    <row r="463" spans="1:18" x14ac:dyDescent="0.2">
      <c r="A463" s="1">
        <v>44831</v>
      </c>
      <c r="B463" t="s">
        <v>81</v>
      </c>
      <c r="C463" t="str">
        <f>_xlfn.XLOOKUP(B463,PRODUCT_MASTER!$A:$A,PRODUCT_MASTER!$B:$B,2,0)</f>
        <v>Product38</v>
      </c>
      <c r="D463" t="str">
        <f>_xlfn.XLOOKUP(B463,PRODUCT_MASTER!$A:$A,PRODUCT_MASTER!$C:$C,2,0)</f>
        <v>Snacks</v>
      </c>
      <c r="E463" t="str">
        <f>_xlfn.XLOOKUP(B463,PRODUCT_MASTER!$A:$A,PRODUCT_MASTER!$D:$D,2,0)</f>
        <v>Kg</v>
      </c>
      <c r="F463">
        <f>_xlfn.XLOOKUP(B463,PRODUCT_MASTER!$A:$A,PRODUCT_MASTER!$E:$E,2,0)</f>
        <v>72</v>
      </c>
      <c r="G463">
        <f>_xlfn.XLOOKUP(B463,PRODUCT_MASTER!$A:$A,PRODUCT_MASTER!$F:$F,2,0)</f>
        <v>79.92</v>
      </c>
      <c r="H463">
        <v>3</v>
      </c>
      <c r="I463" t="s">
        <v>100</v>
      </c>
      <c r="J463" t="s">
        <v>102</v>
      </c>
      <c r="K463">
        <v>0</v>
      </c>
      <c r="L463" s="15">
        <f t="shared" si="49"/>
        <v>216</v>
      </c>
      <c r="M463" s="15">
        <f t="shared" si="50"/>
        <v>239.76</v>
      </c>
      <c r="N463" s="15">
        <f t="shared" si="51"/>
        <v>23.759999999999991</v>
      </c>
      <c r="O463" s="10">
        <f t="shared" si="52"/>
        <v>0.10999999999999996</v>
      </c>
      <c r="P463" t="str">
        <f t="shared" si="53"/>
        <v>27</v>
      </c>
      <c r="Q463" t="str">
        <f t="shared" si="54"/>
        <v>Sep</v>
      </c>
      <c r="R463" t="str">
        <f t="shared" si="55"/>
        <v>2022</v>
      </c>
    </row>
    <row r="464" spans="1:18" x14ac:dyDescent="0.2">
      <c r="A464" s="1">
        <v>44833</v>
      </c>
      <c r="B464" t="s">
        <v>73</v>
      </c>
      <c r="C464" t="str">
        <f>_xlfn.XLOOKUP(B464,PRODUCT_MASTER!$A:$A,PRODUCT_MASTER!$B:$B,2,0)</f>
        <v>Product34</v>
      </c>
      <c r="D464" t="str">
        <f>_xlfn.XLOOKUP(B464,PRODUCT_MASTER!$A:$A,PRODUCT_MASTER!$C:$C,2,0)</f>
        <v>Bakery And Desserts</v>
      </c>
      <c r="E464" t="str">
        <f>_xlfn.XLOOKUP(B464,PRODUCT_MASTER!$A:$A,PRODUCT_MASTER!$D:$D,2,0)</f>
        <v>Lt</v>
      </c>
      <c r="F464">
        <f>_xlfn.XLOOKUP(B464,PRODUCT_MASTER!$A:$A,PRODUCT_MASTER!$E:$E,2,0)</f>
        <v>55</v>
      </c>
      <c r="G464">
        <f>_xlfn.XLOOKUP(B464,PRODUCT_MASTER!$A:$A,PRODUCT_MASTER!$F:$F,2,0)</f>
        <v>58.3</v>
      </c>
      <c r="H464">
        <v>13</v>
      </c>
      <c r="I464" t="s">
        <v>103</v>
      </c>
      <c r="J464" t="s">
        <v>101</v>
      </c>
      <c r="K464">
        <v>0</v>
      </c>
      <c r="L464" s="15">
        <f t="shared" si="49"/>
        <v>715</v>
      </c>
      <c r="M464" s="15">
        <f t="shared" si="50"/>
        <v>757.9</v>
      </c>
      <c r="N464" s="15">
        <f t="shared" si="51"/>
        <v>42.899999999999977</v>
      </c>
      <c r="O464" s="10">
        <f t="shared" si="52"/>
        <v>5.999999999999997E-2</v>
      </c>
      <c r="P464" t="str">
        <f t="shared" si="53"/>
        <v>29</v>
      </c>
      <c r="Q464" t="str">
        <f t="shared" si="54"/>
        <v>Sep</v>
      </c>
      <c r="R464" t="str">
        <f t="shared" si="55"/>
        <v>2022</v>
      </c>
    </row>
    <row r="465" spans="1:18" x14ac:dyDescent="0.2">
      <c r="A465" s="1">
        <v>44837</v>
      </c>
      <c r="B465" t="s">
        <v>27</v>
      </c>
      <c r="C465" t="str">
        <f>_xlfn.XLOOKUP(B465,PRODUCT_MASTER!$A:$A,PRODUCT_MASTER!$B:$B,2,0)</f>
        <v>Product11</v>
      </c>
      <c r="D465" t="str">
        <f>_xlfn.XLOOKUP(B465,PRODUCT_MASTER!$A:$A,PRODUCT_MASTER!$C:$C,2,0)</f>
        <v>Gourmet Foods</v>
      </c>
      <c r="E465" t="str">
        <f>_xlfn.XLOOKUP(B465,PRODUCT_MASTER!$A:$A,PRODUCT_MASTER!$D:$D,2,0)</f>
        <v>Lt</v>
      </c>
      <c r="F465">
        <f>_xlfn.XLOOKUP(B465,PRODUCT_MASTER!$A:$A,PRODUCT_MASTER!$E:$E,2,0)</f>
        <v>44</v>
      </c>
      <c r="G465">
        <f>_xlfn.XLOOKUP(B465,PRODUCT_MASTER!$A:$A,PRODUCT_MASTER!$F:$F,2,0)</f>
        <v>48.4</v>
      </c>
      <c r="H465">
        <v>5</v>
      </c>
      <c r="I465" t="s">
        <v>103</v>
      </c>
      <c r="J465" t="s">
        <v>102</v>
      </c>
      <c r="K465">
        <v>0</v>
      </c>
      <c r="L465" s="15">
        <f t="shared" si="49"/>
        <v>220</v>
      </c>
      <c r="M465" s="15">
        <f t="shared" si="50"/>
        <v>242</v>
      </c>
      <c r="N465" s="15">
        <f t="shared" si="51"/>
        <v>22</v>
      </c>
      <c r="O465" s="10">
        <f t="shared" si="52"/>
        <v>0.1</v>
      </c>
      <c r="P465" t="str">
        <f t="shared" si="53"/>
        <v>03</v>
      </c>
      <c r="Q465" t="str">
        <f t="shared" si="54"/>
        <v>Oct</v>
      </c>
      <c r="R465" t="str">
        <f t="shared" si="55"/>
        <v>2022</v>
      </c>
    </row>
    <row r="466" spans="1:18" x14ac:dyDescent="0.2">
      <c r="A466" s="1">
        <v>44838</v>
      </c>
      <c r="B466" t="s">
        <v>19</v>
      </c>
      <c r="C466" t="str">
        <f>_xlfn.XLOOKUP(B466,PRODUCT_MASTER!$A:$A,PRODUCT_MASTER!$B:$B,2,0)</f>
        <v>Product07</v>
      </c>
      <c r="D466" t="str">
        <f>_xlfn.XLOOKUP(B466,PRODUCT_MASTER!$A:$A,PRODUCT_MASTER!$C:$C,2,0)</f>
        <v>Gourmet Foods</v>
      </c>
      <c r="E466" t="str">
        <f>_xlfn.XLOOKUP(B466,PRODUCT_MASTER!$A:$A,PRODUCT_MASTER!$D:$D,2,0)</f>
        <v>Lt</v>
      </c>
      <c r="F466">
        <f>_xlfn.XLOOKUP(B466,PRODUCT_MASTER!$A:$A,PRODUCT_MASTER!$E:$E,2,0)</f>
        <v>43</v>
      </c>
      <c r="G466">
        <f>_xlfn.XLOOKUP(B466,PRODUCT_MASTER!$A:$A,PRODUCT_MASTER!$F:$F,2,0)</f>
        <v>47.730000000000004</v>
      </c>
      <c r="H466">
        <v>15</v>
      </c>
      <c r="I466" t="s">
        <v>103</v>
      </c>
      <c r="J466" t="s">
        <v>101</v>
      </c>
      <c r="K466">
        <v>0</v>
      </c>
      <c r="L466" s="15">
        <f t="shared" si="49"/>
        <v>645</v>
      </c>
      <c r="M466" s="15">
        <f t="shared" si="50"/>
        <v>715.95</v>
      </c>
      <c r="N466" s="15">
        <f t="shared" si="51"/>
        <v>70.950000000000045</v>
      </c>
      <c r="O466" s="10">
        <f t="shared" si="52"/>
        <v>0.11000000000000007</v>
      </c>
      <c r="P466" t="str">
        <f t="shared" si="53"/>
        <v>04</v>
      </c>
      <c r="Q466" t="str">
        <f t="shared" si="54"/>
        <v>Oct</v>
      </c>
      <c r="R466" t="str">
        <f t="shared" si="55"/>
        <v>2022</v>
      </c>
    </row>
    <row r="467" spans="1:18" x14ac:dyDescent="0.2">
      <c r="A467" s="1">
        <v>44840</v>
      </c>
      <c r="B467" t="s">
        <v>75</v>
      </c>
      <c r="C467" t="str">
        <f>_xlfn.XLOOKUP(B467,PRODUCT_MASTER!$A:$A,PRODUCT_MASTER!$B:$B,2,0)</f>
        <v>Product35</v>
      </c>
      <c r="D467" t="str">
        <f>_xlfn.XLOOKUP(B467,PRODUCT_MASTER!$A:$A,PRODUCT_MASTER!$C:$C,2,0)</f>
        <v>Bakery And Desserts</v>
      </c>
      <c r="E467" t="str">
        <f>_xlfn.XLOOKUP(B467,PRODUCT_MASTER!$A:$A,PRODUCT_MASTER!$D:$D,2,0)</f>
        <v>No.</v>
      </c>
      <c r="F467">
        <f>_xlfn.XLOOKUP(B467,PRODUCT_MASTER!$A:$A,PRODUCT_MASTER!$E:$E,2,0)</f>
        <v>5</v>
      </c>
      <c r="G467">
        <f>_xlfn.XLOOKUP(B467,PRODUCT_MASTER!$A:$A,PRODUCT_MASTER!$F:$F,2,0)</f>
        <v>6.7</v>
      </c>
      <c r="H467">
        <v>1</v>
      </c>
      <c r="I467" t="s">
        <v>103</v>
      </c>
      <c r="J467" t="s">
        <v>101</v>
      </c>
      <c r="K467">
        <v>0</v>
      </c>
      <c r="L467" s="15">
        <f t="shared" si="49"/>
        <v>5</v>
      </c>
      <c r="M467" s="15">
        <f t="shared" si="50"/>
        <v>6.7</v>
      </c>
      <c r="N467" s="15">
        <f t="shared" si="51"/>
        <v>1.7000000000000002</v>
      </c>
      <c r="O467" s="10">
        <f t="shared" si="52"/>
        <v>0.34</v>
      </c>
      <c r="P467" t="str">
        <f t="shared" si="53"/>
        <v>06</v>
      </c>
      <c r="Q467" t="str">
        <f t="shared" si="54"/>
        <v>Oct</v>
      </c>
      <c r="R467" t="str">
        <f t="shared" si="55"/>
        <v>2022</v>
      </c>
    </row>
    <row r="468" spans="1:18" x14ac:dyDescent="0.2">
      <c r="A468" s="1">
        <v>44843</v>
      </c>
      <c r="B468" t="s">
        <v>81</v>
      </c>
      <c r="C468" t="str">
        <f>_xlfn.XLOOKUP(B468,PRODUCT_MASTER!$A:$A,PRODUCT_MASTER!$B:$B,2,0)</f>
        <v>Product38</v>
      </c>
      <c r="D468" t="str">
        <f>_xlfn.XLOOKUP(B468,PRODUCT_MASTER!$A:$A,PRODUCT_MASTER!$C:$C,2,0)</f>
        <v>Snacks</v>
      </c>
      <c r="E468" t="str">
        <f>_xlfn.XLOOKUP(B468,PRODUCT_MASTER!$A:$A,PRODUCT_MASTER!$D:$D,2,0)</f>
        <v>Kg</v>
      </c>
      <c r="F468">
        <f>_xlfn.XLOOKUP(B468,PRODUCT_MASTER!$A:$A,PRODUCT_MASTER!$E:$E,2,0)</f>
        <v>72</v>
      </c>
      <c r="G468">
        <f>_xlfn.XLOOKUP(B468,PRODUCT_MASTER!$A:$A,PRODUCT_MASTER!$F:$F,2,0)</f>
        <v>79.92</v>
      </c>
      <c r="H468">
        <v>14</v>
      </c>
      <c r="I468" t="s">
        <v>101</v>
      </c>
      <c r="J468" t="s">
        <v>101</v>
      </c>
      <c r="K468">
        <v>0</v>
      </c>
      <c r="L468" s="15">
        <f t="shared" si="49"/>
        <v>1008</v>
      </c>
      <c r="M468" s="15">
        <f t="shared" si="50"/>
        <v>1118.8800000000001</v>
      </c>
      <c r="N468" s="15">
        <f t="shared" si="51"/>
        <v>110.88000000000011</v>
      </c>
      <c r="O468" s="10">
        <f t="shared" si="52"/>
        <v>0.11000000000000011</v>
      </c>
      <c r="P468" t="str">
        <f t="shared" si="53"/>
        <v>09</v>
      </c>
      <c r="Q468" t="str">
        <f t="shared" si="54"/>
        <v>Oct</v>
      </c>
      <c r="R468" t="str">
        <f t="shared" si="55"/>
        <v>2022</v>
      </c>
    </row>
    <row r="469" spans="1:18" x14ac:dyDescent="0.2">
      <c r="A469" s="1">
        <v>44844</v>
      </c>
      <c r="B469" t="s">
        <v>43</v>
      </c>
      <c r="C469" t="str">
        <f>_xlfn.XLOOKUP(B469,PRODUCT_MASTER!$A:$A,PRODUCT_MASTER!$B:$B,2,0)</f>
        <v>Product19</v>
      </c>
      <c r="D469" t="str">
        <f>_xlfn.XLOOKUP(B469,PRODUCT_MASTER!$A:$A,PRODUCT_MASTER!$C:$C,2,0)</f>
        <v>Poultry</v>
      </c>
      <c r="E469" t="str">
        <f>_xlfn.XLOOKUP(B469,PRODUCT_MASTER!$A:$A,PRODUCT_MASTER!$D:$D,2,0)</f>
        <v>Ft</v>
      </c>
      <c r="F469">
        <f>_xlfn.XLOOKUP(B469,PRODUCT_MASTER!$A:$A,PRODUCT_MASTER!$E:$E,2,0)</f>
        <v>150</v>
      </c>
      <c r="G469">
        <f>_xlfn.XLOOKUP(B469,PRODUCT_MASTER!$A:$A,PRODUCT_MASTER!$F:$F,2,0)</f>
        <v>210</v>
      </c>
      <c r="H469">
        <v>9</v>
      </c>
      <c r="I469" t="s">
        <v>103</v>
      </c>
      <c r="J469" t="s">
        <v>101</v>
      </c>
      <c r="K469">
        <v>0</v>
      </c>
      <c r="L469" s="15">
        <f t="shared" si="49"/>
        <v>1350</v>
      </c>
      <c r="M469" s="15">
        <f t="shared" si="50"/>
        <v>1890</v>
      </c>
      <c r="N469" s="15">
        <f t="shared" si="51"/>
        <v>540</v>
      </c>
      <c r="O469" s="10">
        <f t="shared" si="52"/>
        <v>0.4</v>
      </c>
      <c r="P469" t="str">
        <f t="shared" si="53"/>
        <v>10</v>
      </c>
      <c r="Q469" t="str">
        <f t="shared" si="54"/>
        <v>Oct</v>
      </c>
      <c r="R469" t="str">
        <f t="shared" si="55"/>
        <v>2022</v>
      </c>
    </row>
    <row r="470" spans="1:18" x14ac:dyDescent="0.2">
      <c r="A470" s="1">
        <v>44844</v>
      </c>
      <c r="B470" t="s">
        <v>93</v>
      </c>
      <c r="C470" t="str">
        <f>_xlfn.XLOOKUP(B470,PRODUCT_MASTER!$A:$A,PRODUCT_MASTER!$B:$B,2,0)</f>
        <v>Product44</v>
      </c>
      <c r="D470" t="str">
        <f>_xlfn.XLOOKUP(B470,PRODUCT_MASTER!$A:$A,PRODUCT_MASTER!$C:$C,2,0)</f>
        <v>Candy</v>
      </c>
      <c r="E470" t="str">
        <f>_xlfn.XLOOKUP(B470,PRODUCT_MASTER!$A:$A,PRODUCT_MASTER!$D:$D,2,0)</f>
        <v>Kg</v>
      </c>
      <c r="F470">
        <f>_xlfn.XLOOKUP(B470,PRODUCT_MASTER!$A:$A,PRODUCT_MASTER!$E:$E,2,0)</f>
        <v>76</v>
      </c>
      <c r="G470">
        <f>_xlfn.XLOOKUP(B470,PRODUCT_MASTER!$A:$A,PRODUCT_MASTER!$F:$F,2,0)</f>
        <v>82.08</v>
      </c>
      <c r="H470">
        <v>12</v>
      </c>
      <c r="I470" t="s">
        <v>101</v>
      </c>
      <c r="J470" t="s">
        <v>101</v>
      </c>
      <c r="K470">
        <v>0</v>
      </c>
      <c r="L470" s="15">
        <f t="shared" si="49"/>
        <v>912</v>
      </c>
      <c r="M470" s="15">
        <f t="shared" si="50"/>
        <v>984.96</v>
      </c>
      <c r="N470" s="15">
        <f t="shared" si="51"/>
        <v>72.960000000000036</v>
      </c>
      <c r="O470" s="10">
        <f t="shared" si="52"/>
        <v>8.0000000000000043E-2</v>
      </c>
      <c r="P470" t="str">
        <f t="shared" si="53"/>
        <v>10</v>
      </c>
      <c r="Q470" t="str">
        <f t="shared" si="54"/>
        <v>Oct</v>
      </c>
      <c r="R470" t="str">
        <f t="shared" si="55"/>
        <v>2022</v>
      </c>
    </row>
    <row r="471" spans="1:18" x14ac:dyDescent="0.2">
      <c r="A471" s="1">
        <v>44845</v>
      </c>
      <c r="B471" t="s">
        <v>21</v>
      </c>
      <c r="C471" t="str">
        <f>_xlfn.XLOOKUP(B471,PRODUCT_MASTER!$A:$A,PRODUCT_MASTER!$B:$B,2,0)</f>
        <v>Product08</v>
      </c>
      <c r="D471" t="str">
        <f>_xlfn.XLOOKUP(B471,PRODUCT_MASTER!$A:$A,PRODUCT_MASTER!$C:$C,2,0)</f>
        <v>Gourmet Foods</v>
      </c>
      <c r="E471" t="str">
        <f>_xlfn.XLOOKUP(B471,PRODUCT_MASTER!$A:$A,PRODUCT_MASTER!$D:$D,2,0)</f>
        <v>Kg</v>
      </c>
      <c r="F471">
        <f>_xlfn.XLOOKUP(B471,PRODUCT_MASTER!$A:$A,PRODUCT_MASTER!$E:$E,2,0)</f>
        <v>83</v>
      </c>
      <c r="G471">
        <f>_xlfn.XLOOKUP(B471,PRODUCT_MASTER!$A:$A,PRODUCT_MASTER!$F:$F,2,0)</f>
        <v>94.62</v>
      </c>
      <c r="H471">
        <v>10</v>
      </c>
      <c r="I471" t="s">
        <v>103</v>
      </c>
      <c r="J471" t="s">
        <v>101</v>
      </c>
      <c r="K471">
        <v>0</v>
      </c>
      <c r="L471" s="15">
        <f t="shared" si="49"/>
        <v>830</v>
      </c>
      <c r="M471" s="15">
        <f t="shared" si="50"/>
        <v>946.2</v>
      </c>
      <c r="N471" s="15">
        <f t="shared" si="51"/>
        <v>116.20000000000005</v>
      </c>
      <c r="O471" s="10">
        <f t="shared" si="52"/>
        <v>0.14000000000000004</v>
      </c>
      <c r="P471" t="str">
        <f t="shared" si="53"/>
        <v>11</v>
      </c>
      <c r="Q471" t="str">
        <f t="shared" si="54"/>
        <v>Oct</v>
      </c>
      <c r="R471" t="str">
        <f t="shared" si="55"/>
        <v>2022</v>
      </c>
    </row>
    <row r="472" spans="1:18" x14ac:dyDescent="0.2">
      <c r="A472" s="1">
        <v>44847</v>
      </c>
      <c r="B472" t="s">
        <v>9</v>
      </c>
      <c r="C472" t="str">
        <f>_xlfn.XLOOKUP(B472,PRODUCT_MASTER!$A:$A,PRODUCT_MASTER!$B:$B,2,0)</f>
        <v>Product02</v>
      </c>
      <c r="D472" t="str">
        <f>_xlfn.XLOOKUP(B472,PRODUCT_MASTER!$A:$A,PRODUCT_MASTER!$C:$C,2,0)</f>
        <v>Organic</v>
      </c>
      <c r="E472" t="str">
        <f>_xlfn.XLOOKUP(B472,PRODUCT_MASTER!$A:$A,PRODUCT_MASTER!$D:$D,2,0)</f>
        <v>Kg</v>
      </c>
      <c r="F472">
        <f>_xlfn.XLOOKUP(B472,PRODUCT_MASTER!$A:$A,PRODUCT_MASTER!$E:$E,2,0)</f>
        <v>105</v>
      </c>
      <c r="G472">
        <f>_xlfn.XLOOKUP(B472,PRODUCT_MASTER!$A:$A,PRODUCT_MASTER!$F:$F,2,0)</f>
        <v>142.80000000000001</v>
      </c>
      <c r="H472">
        <v>15</v>
      </c>
      <c r="I472" t="s">
        <v>101</v>
      </c>
      <c r="J472" t="s">
        <v>101</v>
      </c>
      <c r="K472">
        <v>0</v>
      </c>
      <c r="L472" s="15">
        <f t="shared" si="49"/>
        <v>1575</v>
      </c>
      <c r="M472" s="15">
        <f t="shared" si="50"/>
        <v>2142</v>
      </c>
      <c r="N472" s="15">
        <f t="shared" si="51"/>
        <v>567</v>
      </c>
      <c r="O472" s="10">
        <f t="shared" si="52"/>
        <v>0.36</v>
      </c>
      <c r="P472" t="str">
        <f t="shared" si="53"/>
        <v>13</v>
      </c>
      <c r="Q472" t="str">
        <f t="shared" si="54"/>
        <v>Oct</v>
      </c>
      <c r="R472" t="str">
        <f t="shared" si="55"/>
        <v>2022</v>
      </c>
    </row>
    <row r="473" spans="1:18" x14ac:dyDescent="0.2">
      <c r="A473" s="1">
        <v>44848</v>
      </c>
      <c r="B473" t="s">
        <v>93</v>
      </c>
      <c r="C473" t="str">
        <f>_xlfn.XLOOKUP(B473,PRODUCT_MASTER!$A:$A,PRODUCT_MASTER!$B:$B,2,0)</f>
        <v>Product44</v>
      </c>
      <c r="D473" t="str">
        <f>_xlfn.XLOOKUP(B473,PRODUCT_MASTER!$A:$A,PRODUCT_MASTER!$C:$C,2,0)</f>
        <v>Candy</v>
      </c>
      <c r="E473" t="str">
        <f>_xlfn.XLOOKUP(B473,PRODUCT_MASTER!$A:$A,PRODUCT_MASTER!$D:$D,2,0)</f>
        <v>Kg</v>
      </c>
      <c r="F473">
        <f>_xlfn.XLOOKUP(B473,PRODUCT_MASTER!$A:$A,PRODUCT_MASTER!$E:$E,2,0)</f>
        <v>76</v>
      </c>
      <c r="G473">
        <f>_xlfn.XLOOKUP(B473,PRODUCT_MASTER!$A:$A,PRODUCT_MASTER!$F:$F,2,0)</f>
        <v>82.08</v>
      </c>
      <c r="H473">
        <v>15</v>
      </c>
      <c r="I473" t="s">
        <v>100</v>
      </c>
      <c r="J473" t="s">
        <v>101</v>
      </c>
      <c r="K473">
        <v>0</v>
      </c>
      <c r="L473" s="15">
        <f t="shared" si="49"/>
        <v>1140</v>
      </c>
      <c r="M473" s="15">
        <f t="shared" si="50"/>
        <v>1231.2</v>
      </c>
      <c r="N473" s="15">
        <f t="shared" si="51"/>
        <v>91.200000000000045</v>
      </c>
      <c r="O473" s="10">
        <f t="shared" si="52"/>
        <v>8.0000000000000043E-2</v>
      </c>
      <c r="P473" t="str">
        <f t="shared" si="53"/>
        <v>14</v>
      </c>
      <c r="Q473" t="str">
        <f t="shared" si="54"/>
        <v>Oct</v>
      </c>
      <c r="R473" t="str">
        <f t="shared" si="55"/>
        <v>2022</v>
      </c>
    </row>
    <row r="474" spans="1:18" x14ac:dyDescent="0.2">
      <c r="A474" s="1">
        <v>44849</v>
      </c>
      <c r="B474" t="s">
        <v>35</v>
      </c>
      <c r="C474" t="str">
        <f>_xlfn.XLOOKUP(B474,PRODUCT_MASTER!$A:$A,PRODUCT_MASTER!$B:$B,2,0)</f>
        <v>Product15</v>
      </c>
      <c r="D474" t="str">
        <f>_xlfn.XLOOKUP(B474,PRODUCT_MASTER!$A:$A,PRODUCT_MASTER!$C:$C,2,0)</f>
        <v>Meat</v>
      </c>
      <c r="E474" t="str">
        <f>_xlfn.XLOOKUP(B474,PRODUCT_MASTER!$A:$A,PRODUCT_MASTER!$D:$D,2,0)</f>
        <v>No.</v>
      </c>
      <c r="F474">
        <f>_xlfn.XLOOKUP(B474,PRODUCT_MASTER!$A:$A,PRODUCT_MASTER!$E:$E,2,0)</f>
        <v>12</v>
      </c>
      <c r="G474">
        <f>_xlfn.XLOOKUP(B474,PRODUCT_MASTER!$A:$A,PRODUCT_MASTER!$F:$F,2,0)</f>
        <v>15.719999999999999</v>
      </c>
      <c r="H474">
        <v>10</v>
      </c>
      <c r="I474" t="s">
        <v>103</v>
      </c>
      <c r="J474" t="s">
        <v>102</v>
      </c>
      <c r="K474">
        <v>0</v>
      </c>
      <c r="L474" s="15">
        <f t="shared" si="49"/>
        <v>120</v>
      </c>
      <c r="M474" s="15">
        <f t="shared" si="50"/>
        <v>157.19999999999999</v>
      </c>
      <c r="N474" s="15">
        <f t="shared" si="51"/>
        <v>37.199999999999989</v>
      </c>
      <c r="O474" s="10">
        <f t="shared" si="52"/>
        <v>0.30999999999999989</v>
      </c>
      <c r="P474" t="str">
        <f t="shared" si="53"/>
        <v>15</v>
      </c>
      <c r="Q474" t="str">
        <f t="shared" si="54"/>
        <v>Oct</v>
      </c>
      <c r="R474" t="str">
        <f t="shared" si="55"/>
        <v>2022</v>
      </c>
    </row>
    <row r="475" spans="1:18" x14ac:dyDescent="0.2">
      <c r="A475" s="1">
        <v>44850</v>
      </c>
      <c r="B475" t="s">
        <v>77</v>
      </c>
      <c r="C475" t="str">
        <f>_xlfn.XLOOKUP(B475,PRODUCT_MASTER!$A:$A,PRODUCT_MASTER!$B:$B,2,0)</f>
        <v>Product36</v>
      </c>
      <c r="D475" t="str">
        <f>_xlfn.XLOOKUP(B475,PRODUCT_MASTER!$A:$A,PRODUCT_MASTER!$C:$C,2,0)</f>
        <v>Bakery And Desserts</v>
      </c>
      <c r="E475" t="str">
        <f>_xlfn.XLOOKUP(B475,PRODUCT_MASTER!$A:$A,PRODUCT_MASTER!$D:$D,2,0)</f>
        <v>Kg</v>
      </c>
      <c r="F475">
        <f>_xlfn.XLOOKUP(B475,PRODUCT_MASTER!$A:$A,PRODUCT_MASTER!$E:$E,2,0)</f>
        <v>90</v>
      </c>
      <c r="G475">
        <f>_xlfn.XLOOKUP(B475,PRODUCT_MASTER!$A:$A,PRODUCT_MASTER!$F:$F,2,0)</f>
        <v>96.3</v>
      </c>
      <c r="H475">
        <v>3</v>
      </c>
      <c r="I475" t="s">
        <v>101</v>
      </c>
      <c r="J475" t="s">
        <v>101</v>
      </c>
      <c r="K475">
        <v>0</v>
      </c>
      <c r="L475" s="15">
        <f t="shared" si="49"/>
        <v>270</v>
      </c>
      <c r="M475" s="15">
        <f t="shared" si="50"/>
        <v>288.89999999999998</v>
      </c>
      <c r="N475" s="15">
        <f t="shared" si="51"/>
        <v>18.899999999999977</v>
      </c>
      <c r="O475" s="10">
        <f t="shared" si="52"/>
        <v>6.999999999999991E-2</v>
      </c>
      <c r="P475" t="str">
        <f t="shared" si="53"/>
        <v>16</v>
      </c>
      <c r="Q475" t="str">
        <f t="shared" si="54"/>
        <v>Oct</v>
      </c>
      <c r="R475" t="str">
        <f t="shared" si="55"/>
        <v>2022</v>
      </c>
    </row>
    <row r="476" spans="1:18" x14ac:dyDescent="0.2">
      <c r="A476" s="1">
        <v>44857</v>
      </c>
      <c r="B476" t="s">
        <v>53</v>
      </c>
      <c r="C476" t="str">
        <f>_xlfn.XLOOKUP(B476,PRODUCT_MASTER!$A:$A,PRODUCT_MASTER!$B:$B,2,0)</f>
        <v>Product24</v>
      </c>
      <c r="D476" t="str">
        <f>_xlfn.XLOOKUP(B476,PRODUCT_MASTER!$A:$A,PRODUCT_MASTER!$C:$C,2,0)</f>
        <v>Seafood</v>
      </c>
      <c r="E476" t="str">
        <f>_xlfn.XLOOKUP(B476,PRODUCT_MASTER!$A:$A,PRODUCT_MASTER!$D:$D,2,0)</f>
        <v>Ft</v>
      </c>
      <c r="F476">
        <f>_xlfn.XLOOKUP(B476,PRODUCT_MASTER!$A:$A,PRODUCT_MASTER!$E:$E,2,0)</f>
        <v>144</v>
      </c>
      <c r="G476">
        <f>_xlfn.XLOOKUP(B476,PRODUCT_MASTER!$A:$A,PRODUCT_MASTER!$F:$F,2,0)</f>
        <v>156.96</v>
      </c>
      <c r="H476">
        <v>14</v>
      </c>
      <c r="I476" t="s">
        <v>101</v>
      </c>
      <c r="J476" t="s">
        <v>102</v>
      </c>
      <c r="K476">
        <v>0</v>
      </c>
      <c r="L476" s="15">
        <f t="shared" si="49"/>
        <v>2016</v>
      </c>
      <c r="M476" s="15">
        <f t="shared" si="50"/>
        <v>2197.44</v>
      </c>
      <c r="N476" s="15">
        <f t="shared" si="51"/>
        <v>181.44000000000005</v>
      </c>
      <c r="O476" s="10">
        <f t="shared" si="52"/>
        <v>9.0000000000000024E-2</v>
      </c>
      <c r="P476" t="str">
        <f t="shared" si="53"/>
        <v>23</v>
      </c>
      <c r="Q476" t="str">
        <f t="shared" si="54"/>
        <v>Oct</v>
      </c>
      <c r="R476" t="str">
        <f t="shared" si="55"/>
        <v>2022</v>
      </c>
    </row>
    <row r="477" spans="1:18" x14ac:dyDescent="0.2">
      <c r="A477" s="1">
        <v>44864</v>
      </c>
      <c r="B477" t="s">
        <v>89</v>
      </c>
      <c r="C477" t="str">
        <f>_xlfn.XLOOKUP(B477,PRODUCT_MASTER!$A:$A,PRODUCT_MASTER!$B:$B,2,0)</f>
        <v>Product42</v>
      </c>
      <c r="D477" t="str">
        <f>_xlfn.XLOOKUP(B477,PRODUCT_MASTER!$A:$A,PRODUCT_MASTER!$C:$C,2,0)</f>
        <v>Candy</v>
      </c>
      <c r="E477" t="str">
        <f>_xlfn.XLOOKUP(B477,PRODUCT_MASTER!$A:$A,PRODUCT_MASTER!$D:$D,2,0)</f>
        <v>Ft</v>
      </c>
      <c r="F477">
        <f>_xlfn.XLOOKUP(B477,PRODUCT_MASTER!$A:$A,PRODUCT_MASTER!$E:$E,2,0)</f>
        <v>120</v>
      </c>
      <c r="G477">
        <f>_xlfn.XLOOKUP(B477,PRODUCT_MASTER!$A:$A,PRODUCT_MASTER!$F:$F,2,0)</f>
        <v>162</v>
      </c>
      <c r="H477">
        <v>3</v>
      </c>
      <c r="I477" t="s">
        <v>103</v>
      </c>
      <c r="J477" t="s">
        <v>102</v>
      </c>
      <c r="K477">
        <v>0</v>
      </c>
      <c r="L477" s="15">
        <f t="shared" si="49"/>
        <v>360</v>
      </c>
      <c r="M477" s="15">
        <f t="shared" si="50"/>
        <v>486</v>
      </c>
      <c r="N477" s="15">
        <f t="shared" si="51"/>
        <v>126</v>
      </c>
      <c r="O477" s="10">
        <f t="shared" si="52"/>
        <v>0.35</v>
      </c>
      <c r="P477" t="str">
        <f t="shared" si="53"/>
        <v>30</v>
      </c>
      <c r="Q477" t="str">
        <f t="shared" si="54"/>
        <v>Oct</v>
      </c>
      <c r="R477" t="str">
        <f t="shared" si="55"/>
        <v>2022</v>
      </c>
    </row>
    <row r="478" spans="1:18" x14ac:dyDescent="0.2">
      <c r="A478" s="1">
        <v>44865</v>
      </c>
      <c r="B478" t="s">
        <v>81</v>
      </c>
      <c r="C478" t="str">
        <f>_xlfn.XLOOKUP(B478,PRODUCT_MASTER!$A:$A,PRODUCT_MASTER!$B:$B,2,0)</f>
        <v>Product38</v>
      </c>
      <c r="D478" t="str">
        <f>_xlfn.XLOOKUP(B478,PRODUCT_MASTER!$A:$A,PRODUCT_MASTER!$C:$C,2,0)</f>
        <v>Snacks</v>
      </c>
      <c r="E478" t="str">
        <f>_xlfn.XLOOKUP(B478,PRODUCT_MASTER!$A:$A,PRODUCT_MASTER!$D:$D,2,0)</f>
        <v>Kg</v>
      </c>
      <c r="F478">
        <f>_xlfn.XLOOKUP(B478,PRODUCT_MASTER!$A:$A,PRODUCT_MASTER!$E:$E,2,0)</f>
        <v>72</v>
      </c>
      <c r="G478">
        <f>_xlfn.XLOOKUP(B478,PRODUCT_MASTER!$A:$A,PRODUCT_MASTER!$F:$F,2,0)</f>
        <v>79.92</v>
      </c>
      <c r="H478">
        <v>8</v>
      </c>
      <c r="I478" t="s">
        <v>103</v>
      </c>
      <c r="J478" t="s">
        <v>101</v>
      </c>
      <c r="K478">
        <v>0</v>
      </c>
      <c r="L478" s="15">
        <f t="shared" si="49"/>
        <v>576</v>
      </c>
      <c r="M478" s="15">
        <f t="shared" si="50"/>
        <v>639.36</v>
      </c>
      <c r="N478" s="15">
        <f t="shared" si="51"/>
        <v>63.360000000000014</v>
      </c>
      <c r="O478" s="10">
        <f t="shared" si="52"/>
        <v>0.11000000000000003</v>
      </c>
      <c r="P478" t="str">
        <f t="shared" si="53"/>
        <v>31</v>
      </c>
      <c r="Q478" t="str">
        <f t="shared" si="54"/>
        <v>Oct</v>
      </c>
      <c r="R478" t="str">
        <f t="shared" si="55"/>
        <v>2022</v>
      </c>
    </row>
    <row r="479" spans="1:18" x14ac:dyDescent="0.2">
      <c r="A479" s="1">
        <v>44866</v>
      </c>
      <c r="B479" t="s">
        <v>29</v>
      </c>
      <c r="C479" t="str">
        <f>_xlfn.XLOOKUP(B479,PRODUCT_MASTER!$A:$A,PRODUCT_MASTER!$B:$B,2,0)</f>
        <v>Product12</v>
      </c>
      <c r="D479" t="str">
        <f>_xlfn.XLOOKUP(B479,PRODUCT_MASTER!$A:$A,PRODUCT_MASTER!$C:$C,2,0)</f>
        <v>Meat</v>
      </c>
      <c r="E479" t="str">
        <f>_xlfn.XLOOKUP(B479,PRODUCT_MASTER!$A:$A,PRODUCT_MASTER!$D:$D,2,0)</f>
        <v>Kg</v>
      </c>
      <c r="F479">
        <f>_xlfn.XLOOKUP(B479,PRODUCT_MASTER!$A:$A,PRODUCT_MASTER!$E:$E,2,0)</f>
        <v>73</v>
      </c>
      <c r="G479">
        <f>_xlfn.XLOOKUP(B479,PRODUCT_MASTER!$A:$A,PRODUCT_MASTER!$F:$F,2,0)</f>
        <v>94.17</v>
      </c>
      <c r="H479">
        <v>15</v>
      </c>
      <c r="I479" t="s">
        <v>100</v>
      </c>
      <c r="J479" t="s">
        <v>101</v>
      </c>
      <c r="K479">
        <v>0</v>
      </c>
      <c r="L479" s="15">
        <f t="shared" si="49"/>
        <v>1095</v>
      </c>
      <c r="M479" s="15">
        <f t="shared" si="50"/>
        <v>1412.55</v>
      </c>
      <c r="N479" s="15">
        <f t="shared" si="51"/>
        <v>317.54999999999995</v>
      </c>
      <c r="O479" s="10">
        <f t="shared" si="52"/>
        <v>0.28999999999999998</v>
      </c>
      <c r="P479" t="str">
        <f t="shared" si="53"/>
        <v>01</v>
      </c>
      <c r="Q479" t="str">
        <f t="shared" si="54"/>
        <v>Nov</v>
      </c>
      <c r="R479" t="str">
        <f t="shared" si="55"/>
        <v>2022</v>
      </c>
    </row>
    <row r="480" spans="1:18" x14ac:dyDescent="0.2">
      <c r="A480" s="1">
        <v>44867</v>
      </c>
      <c r="B480" t="s">
        <v>35</v>
      </c>
      <c r="C480" t="str">
        <f>_xlfn.XLOOKUP(B480,PRODUCT_MASTER!$A:$A,PRODUCT_MASTER!$B:$B,2,0)</f>
        <v>Product15</v>
      </c>
      <c r="D480" t="str">
        <f>_xlfn.XLOOKUP(B480,PRODUCT_MASTER!$A:$A,PRODUCT_MASTER!$C:$C,2,0)</f>
        <v>Meat</v>
      </c>
      <c r="E480" t="str">
        <f>_xlfn.XLOOKUP(B480,PRODUCT_MASTER!$A:$A,PRODUCT_MASTER!$D:$D,2,0)</f>
        <v>No.</v>
      </c>
      <c r="F480">
        <f>_xlfn.XLOOKUP(B480,PRODUCT_MASTER!$A:$A,PRODUCT_MASTER!$E:$E,2,0)</f>
        <v>12</v>
      </c>
      <c r="G480">
        <f>_xlfn.XLOOKUP(B480,PRODUCT_MASTER!$A:$A,PRODUCT_MASTER!$F:$F,2,0)</f>
        <v>15.719999999999999</v>
      </c>
      <c r="H480">
        <v>15</v>
      </c>
      <c r="I480" t="s">
        <v>100</v>
      </c>
      <c r="J480" t="s">
        <v>102</v>
      </c>
      <c r="K480">
        <v>0</v>
      </c>
      <c r="L480" s="15">
        <f t="shared" si="49"/>
        <v>180</v>
      </c>
      <c r="M480" s="15">
        <f t="shared" si="50"/>
        <v>235.79999999999998</v>
      </c>
      <c r="N480" s="15">
        <f t="shared" si="51"/>
        <v>55.799999999999983</v>
      </c>
      <c r="O480" s="10">
        <f t="shared" si="52"/>
        <v>0.30999999999999989</v>
      </c>
      <c r="P480" t="str">
        <f t="shared" si="53"/>
        <v>02</v>
      </c>
      <c r="Q480" t="str">
        <f t="shared" si="54"/>
        <v>Nov</v>
      </c>
      <c r="R480" t="str">
        <f t="shared" si="55"/>
        <v>2022</v>
      </c>
    </row>
    <row r="481" spans="1:18" x14ac:dyDescent="0.2">
      <c r="A481" s="1">
        <v>44867</v>
      </c>
      <c r="B481" t="s">
        <v>65</v>
      </c>
      <c r="C481" t="str">
        <f>_xlfn.XLOOKUP(B481,PRODUCT_MASTER!$A:$A,PRODUCT_MASTER!$B:$B,2,0)</f>
        <v>Product30</v>
      </c>
      <c r="D481" t="str">
        <f>_xlfn.XLOOKUP(B481,PRODUCT_MASTER!$A:$A,PRODUCT_MASTER!$C:$C,2,0)</f>
        <v>Cheese And Dairy</v>
      </c>
      <c r="E481" t="str">
        <f>_xlfn.XLOOKUP(B481,PRODUCT_MASTER!$A:$A,PRODUCT_MASTER!$D:$D,2,0)</f>
        <v>Ft</v>
      </c>
      <c r="F481">
        <f>_xlfn.XLOOKUP(B481,PRODUCT_MASTER!$A:$A,PRODUCT_MASTER!$E:$E,2,0)</f>
        <v>148</v>
      </c>
      <c r="G481">
        <f>_xlfn.XLOOKUP(B481,PRODUCT_MASTER!$A:$A,PRODUCT_MASTER!$F:$F,2,0)</f>
        <v>201.28</v>
      </c>
      <c r="H481">
        <v>15</v>
      </c>
      <c r="I481" t="s">
        <v>103</v>
      </c>
      <c r="J481" t="s">
        <v>102</v>
      </c>
      <c r="K481">
        <v>0</v>
      </c>
      <c r="L481" s="15">
        <f t="shared" si="49"/>
        <v>2220</v>
      </c>
      <c r="M481" s="15">
        <f t="shared" si="50"/>
        <v>3019.2</v>
      </c>
      <c r="N481" s="15">
        <f t="shared" si="51"/>
        <v>799.19999999999982</v>
      </c>
      <c r="O481" s="10">
        <f t="shared" si="52"/>
        <v>0.35999999999999993</v>
      </c>
      <c r="P481" t="str">
        <f t="shared" si="53"/>
        <v>02</v>
      </c>
      <c r="Q481" t="str">
        <f t="shared" si="54"/>
        <v>Nov</v>
      </c>
      <c r="R481" t="str">
        <f t="shared" si="55"/>
        <v>2022</v>
      </c>
    </row>
    <row r="482" spans="1:18" x14ac:dyDescent="0.2">
      <c r="A482" s="1">
        <v>44867</v>
      </c>
      <c r="B482" t="s">
        <v>75</v>
      </c>
      <c r="C482" t="str">
        <f>_xlfn.XLOOKUP(B482,PRODUCT_MASTER!$A:$A,PRODUCT_MASTER!$B:$B,2,0)</f>
        <v>Product35</v>
      </c>
      <c r="D482" t="str">
        <f>_xlfn.XLOOKUP(B482,PRODUCT_MASTER!$A:$A,PRODUCT_MASTER!$C:$C,2,0)</f>
        <v>Bakery And Desserts</v>
      </c>
      <c r="E482" t="str">
        <f>_xlfn.XLOOKUP(B482,PRODUCT_MASTER!$A:$A,PRODUCT_MASTER!$D:$D,2,0)</f>
        <v>No.</v>
      </c>
      <c r="F482">
        <f>_xlfn.XLOOKUP(B482,PRODUCT_MASTER!$A:$A,PRODUCT_MASTER!$E:$E,2,0)</f>
        <v>5</v>
      </c>
      <c r="G482">
        <f>_xlfn.XLOOKUP(B482,PRODUCT_MASTER!$A:$A,PRODUCT_MASTER!$F:$F,2,0)</f>
        <v>6.7</v>
      </c>
      <c r="H482">
        <v>5</v>
      </c>
      <c r="I482" t="s">
        <v>103</v>
      </c>
      <c r="J482" t="s">
        <v>102</v>
      </c>
      <c r="K482">
        <v>0</v>
      </c>
      <c r="L482" s="15">
        <f t="shared" si="49"/>
        <v>25</v>
      </c>
      <c r="M482" s="15">
        <f t="shared" si="50"/>
        <v>33.5</v>
      </c>
      <c r="N482" s="15">
        <f t="shared" si="51"/>
        <v>8.5</v>
      </c>
      <c r="O482" s="10">
        <f t="shared" si="52"/>
        <v>0.34</v>
      </c>
      <c r="P482" t="str">
        <f t="shared" si="53"/>
        <v>02</v>
      </c>
      <c r="Q482" t="str">
        <f t="shared" si="54"/>
        <v>Nov</v>
      </c>
      <c r="R482" t="str">
        <f t="shared" si="55"/>
        <v>2022</v>
      </c>
    </row>
    <row r="483" spans="1:18" x14ac:dyDescent="0.2">
      <c r="A483" s="1">
        <v>44868</v>
      </c>
      <c r="B483" t="s">
        <v>45</v>
      </c>
      <c r="C483" t="str">
        <f>_xlfn.XLOOKUP(B483,PRODUCT_MASTER!$A:$A,PRODUCT_MASTER!$B:$B,2,0)</f>
        <v>Product20</v>
      </c>
      <c r="D483" t="str">
        <f>_xlfn.XLOOKUP(B483,PRODUCT_MASTER!$A:$A,PRODUCT_MASTER!$C:$C,2,0)</f>
        <v>Poultry</v>
      </c>
      <c r="E483" t="str">
        <f>_xlfn.XLOOKUP(B483,PRODUCT_MASTER!$A:$A,PRODUCT_MASTER!$D:$D,2,0)</f>
        <v>Lt</v>
      </c>
      <c r="F483">
        <f>_xlfn.XLOOKUP(B483,PRODUCT_MASTER!$A:$A,PRODUCT_MASTER!$E:$E,2,0)</f>
        <v>61</v>
      </c>
      <c r="G483">
        <f>_xlfn.XLOOKUP(B483,PRODUCT_MASTER!$A:$A,PRODUCT_MASTER!$F:$F,2,0)</f>
        <v>76.25</v>
      </c>
      <c r="H483">
        <v>11</v>
      </c>
      <c r="I483" t="s">
        <v>101</v>
      </c>
      <c r="J483" t="s">
        <v>101</v>
      </c>
      <c r="K483">
        <v>0</v>
      </c>
      <c r="L483" s="15">
        <f t="shared" si="49"/>
        <v>671</v>
      </c>
      <c r="M483" s="15">
        <f t="shared" si="50"/>
        <v>838.75</v>
      </c>
      <c r="N483" s="15">
        <f t="shared" si="51"/>
        <v>167.75</v>
      </c>
      <c r="O483" s="10">
        <f t="shared" si="52"/>
        <v>0.25</v>
      </c>
      <c r="P483" t="str">
        <f t="shared" si="53"/>
        <v>03</v>
      </c>
      <c r="Q483" t="str">
        <f t="shared" si="54"/>
        <v>Nov</v>
      </c>
      <c r="R483" t="str">
        <f t="shared" si="55"/>
        <v>2022</v>
      </c>
    </row>
    <row r="484" spans="1:18" x14ac:dyDescent="0.2">
      <c r="A484" s="1">
        <v>44869</v>
      </c>
      <c r="B484" t="s">
        <v>21</v>
      </c>
      <c r="C484" t="str">
        <f>_xlfn.XLOOKUP(B484,PRODUCT_MASTER!$A:$A,PRODUCT_MASTER!$B:$B,2,0)</f>
        <v>Product08</v>
      </c>
      <c r="D484" t="str">
        <f>_xlfn.XLOOKUP(B484,PRODUCT_MASTER!$A:$A,PRODUCT_MASTER!$C:$C,2,0)</f>
        <v>Gourmet Foods</v>
      </c>
      <c r="E484" t="str">
        <f>_xlfn.XLOOKUP(B484,PRODUCT_MASTER!$A:$A,PRODUCT_MASTER!$D:$D,2,0)</f>
        <v>Kg</v>
      </c>
      <c r="F484">
        <f>_xlfn.XLOOKUP(B484,PRODUCT_MASTER!$A:$A,PRODUCT_MASTER!$E:$E,2,0)</f>
        <v>83</v>
      </c>
      <c r="G484">
        <f>_xlfn.XLOOKUP(B484,PRODUCT_MASTER!$A:$A,PRODUCT_MASTER!$F:$F,2,0)</f>
        <v>94.62</v>
      </c>
      <c r="H484">
        <v>10</v>
      </c>
      <c r="I484" t="s">
        <v>103</v>
      </c>
      <c r="J484" t="s">
        <v>101</v>
      </c>
      <c r="K484">
        <v>0</v>
      </c>
      <c r="L484" s="15">
        <f t="shared" si="49"/>
        <v>830</v>
      </c>
      <c r="M484" s="15">
        <f t="shared" si="50"/>
        <v>946.2</v>
      </c>
      <c r="N484" s="15">
        <f t="shared" si="51"/>
        <v>116.20000000000005</v>
      </c>
      <c r="O484" s="10">
        <f t="shared" si="52"/>
        <v>0.14000000000000004</v>
      </c>
      <c r="P484" t="str">
        <f t="shared" si="53"/>
        <v>04</v>
      </c>
      <c r="Q484" t="str">
        <f t="shared" si="54"/>
        <v>Nov</v>
      </c>
      <c r="R484" t="str">
        <f t="shared" si="55"/>
        <v>2022</v>
      </c>
    </row>
    <row r="485" spans="1:18" x14ac:dyDescent="0.2">
      <c r="A485" s="1">
        <v>44870</v>
      </c>
      <c r="B485" t="s">
        <v>43</v>
      </c>
      <c r="C485" t="str">
        <f>_xlfn.XLOOKUP(B485,PRODUCT_MASTER!$A:$A,PRODUCT_MASTER!$B:$B,2,0)</f>
        <v>Product19</v>
      </c>
      <c r="D485" t="str">
        <f>_xlfn.XLOOKUP(B485,PRODUCT_MASTER!$A:$A,PRODUCT_MASTER!$C:$C,2,0)</f>
        <v>Poultry</v>
      </c>
      <c r="E485" t="str">
        <f>_xlfn.XLOOKUP(B485,PRODUCT_MASTER!$A:$A,PRODUCT_MASTER!$D:$D,2,0)</f>
        <v>Ft</v>
      </c>
      <c r="F485">
        <f>_xlfn.XLOOKUP(B485,PRODUCT_MASTER!$A:$A,PRODUCT_MASTER!$E:$E,2,0)</f>
        <v>150</v>
      </c>
      <c r="G485">
        <f>_xlfn.XLOOKUP(B485,PRODUCT_MASTER!$A:$A,PRODUCT_MASTER!$F:$F,2,0)</f>
        <v>210</v>
      </c>
      <c r="H485">
        <v>15</v>
      </c>
      <c r="I485" t="s">
        <v>103</v>
      </c>
      <c r="J485" t="s">
        <v>102</v>
      </c>
      <c r="K485">
        <v>0</v>
      </c>
      <c r="L485" s="15">
        <f t="shared" si="49"/>
        <v>2250</v>
      </c>
      <c r="M485" s="15">
        <f t="shared" si="50"/>
        <v>3150</v>
      </c>
      <c r="N485" s="15">
        <f t="shared" si="51"/>
        <v>900</v>
      </c>
      <c r="O485" s="10">
        <f t="shared" si="52"/>
        <v>0.4</v>
      </c>
      <c r="P485" t="str">
        <f t="shared" si="53"/>
        <v>05</v>
      </c>
      <c r="Q485" t="str">
        <f t="shared" si="54"/>
        <v>Nov</v>
      </c>
      <c r="R485" t="str">
        <f t="shared" si="55"/>
        <v>2022</v>
      </c>
    </row>
    <row r="486" spans="1:18" x14ac:dyDescent="0.2">
      <c r="A486" s="1">
        <v>44871</v>
      </c>
      <c r="B486" t="s">
        <v>91</v>
      </c>
      <c r="C486" t="str">
        <f>_xlfn.XLOOKUP(B486,PRODUCT_MASTER!$A:$A,PRODUCT_MASTER!$B:$B,2,0)</f>
        <v>Product43</v>
      </c>
      <c r="D486" t="str">
        <f>_xlfn.XLOOKUP(B486,PRODUCT_MASTER!$A:$A,PRODUCT_MASTER!$C:$C,2,0)</f>
        <v>Candy</v>
      </c>
      <c r="E486" t="str">
        <f>_xlfn.XLOOKUP(B486,PRODUCT_MASTER!$A:$A,PRODUCT_MASTER!$D:$D,2,0)</f>
        <v>Kg</v>
      </c>
      <c r="F486">
        <f>_xlfn.XLOOKUP(B486,PRODUCT_MASTER!$A:$A,PRODUCT_MASTER!$E:$E,2,0)</f>
        <v>67</v>
      </c>
      <c r="G486">
        <f>_xlfn.XLOOKUP(B486,PRODUCT_MASTER!$A:$A,PRODUCT_MASTER!$F:$F,2,0)</f>
        <v>83.08</v>
      </c>
      <c r="H486">
        <v>13</v>
      </c>
      <c r="I486" t="s">
        <v>103</v>
      </c>
      <c r="J486" t="s">
        <v>102</v>
      </c>
      <c r="K486">
        <v>0</v>
      </c>
      <c r="L486" s="15">
        <f t="shared" si="49"/>
        <v>871</v>
      </c>
      <c r="M486" s="15">
        <f t="shared" si="50"/>
        <v>1080.04</v>
      </c>
      <c r="N486" s="15">
        <f t="shared" si="51"/>
        <v>209.03999999999996</v>
      </c>
      <c r="O486" s="10">
        <f t="shared" si="52"/>
        <v>0.23999999999999996</v>
      </c>
      <c r="P486" t="str">
        <f t="shared" si="53"/>
        <v>06</v>
      </c>
      <c r="Q486" t="str">
        <f t="shared" si="54"/>
        <v>Nov</v>
      </c>
      <c r="R486" t="str">
        <f t="shared" si="55"/>
        <v>2022</v>
      </c>
    </row>
    <row r="487" spans="1:18" x14ac:dyDescent="0.2">
      <c r="A487" s="1">
        <v>44871</v>
      </c>
      <c r="B487" t="s">
        <v>35</v>
      </c>
      <c r="C487" t="str">
        <f>_xlfn.XLOOKUP(B487,PRODUCT_MASTER!$A:$A,PRODUCT_MASTER!$B:$B,2,0)</f>
        <v>Product15</v>
      </c>
      <c r="D487" t="str">
        <f>_xlfn.XLOOKUP(B487,PRODUCT_MASTER!$A:$A,PRODUCT_MASTER!$C:$C,2,0)</f>
        <v>Meat</v>
      </c>
      <c r="E487" t="str">
        <f>_xlfn.XLOOKUP(B487,PRODUCT_MASTER!$A:$A,PRODUCT_MASTER!$D:$D,2,0)</f>
        <v>No.</v>
      </c>
      <c r="F487">
        <f>_xlfn.XLOOKUP(B487,PRODUCT_MASTER!$A:$A,PRODUCT_MASTER!$E:$E,2,0)</f>
        <v>12</v>
      </c>
      <c r="G487">
        <f>_xlfn.XLOOKUP(B487,PRODUCT_MASTER!$A:$A,PRODUCT_MASTER!$F:$F,2,0)</f>
        <v>15.719999999999999</v>
      </c>
      <c r="H487">
        <v>13</v>
      </c>
      <c r="I487" t="s">
        <v>101</v>
      </c>
      <c r="J487" t="s">
        <v>101</v>
      </c>
      <c r="K487">
        <v>0</v>
      </c>
      <c r="L487" s="15">
        <f t="shared" si="49"/>
        <v>156</v>
      </c>
      <c r="M487" s="15">
        <f t="shared" si="50"/>
        <v>204.35999999999999</v>
      </c>
      <c r="N487" s="15">
        <f t="shared" si="51"/>
        <v>48.359999999999985</v>
      </c>
      <c r="O487" s="10">
        <f t="shared" si="52"/>
        <v>0.30999999999999989</v>
      </c>
      <c r="P487" t="str">
        <f t="shared" si="53"/>
        <v>06</v>
      </c>
      <c r="Q487" t="str">
        <f t="shared" si="54"/>
        <v>Nov</v>
      </c>
      <c r="R487" t="str">
        <f t="shared" si="55"/>
        <v>2022</v>
      </c>
    </row>
    <row r="488" spans="1:18" x14ac:dyDescent="0.2">
      <c r="A488" s="1">
        <v>44871</v>
      </c>
      <c r="B488" t="s">
        <v>89</v>
      </c>
      <c r="C488" t="str">
        <f>_xlfn.XLOOKUP(B488,PRODUCT_MASTER!$A:$A,PRODUCT_MASTER!$B:$B,2,0)</f>
        <v>Product42</v>
      </c>
      <c r="D488" t="str">
        <f>_xlfn.XLOOKUP(B488,PRODUCT_MASTER!$A:$A,PRODUCT_MASTER!$C:$C,2,0)</f>
        <v>Candy</v>
      </c>
      <c r="E488" t="str">
        <f>_xlfn.XLOOKUP(B488,PRODUCT_MASTER!$A:$A,PRODUCT_MASTER!$D:$D,2,0)</f>
        <v>Ft</v>
      </c>
      <c r="F488">
        <f>_xlfn.XLOOKUP(B488,PRODUCT_MASTER!$A:$A,PRODUCT_MASTER!$E:$E,2,0)</f>
        <v>120</v>
      </c>
      <c r="G488">
        <f>_xlfn.XLOOKUP(B488,PRODUCT_MASTER!$A:$A,PRODUCT_MASTER!$F:$F,2,0)</f>
        <v>162</v>
      </c>
      <c r="H488">
        <v>13</v>
      </c>
      <c r="I488" t="s">
        <v>103</v>
      </c>
      <c r="J488" t="s">
        <v>102</v>
      </c>
      <c r="K488">
        <v>0</v>
      </c>
      <c r="L488" s="15">
        <f t="shared" si="49"/>
        <v>1560</v>
      </c>
      <c r="M488" s="15">
        <f t="shared" si="50"/>
        <v>2106</v>
      </c>
      <c r="N488" s="15">
        <f t="shared" si="51"/>
        <v>546</v>
      </c>
      <c r="O488" s="10">
        <f t="shared" si="52"/>
        <v>0.35</v>
      </c>
      <c r="P488" t="str">
        <f t="shared" si="53"/>
        <v>06</v>
      </c>
      <c r="Q488" t="str">
        <f t="shared" si="54"/>
        <v>Nov</v>
      </c>
      <c r="R488" t="str">
        <f t="shared" si="55"/>
        <v>2022</v>
      </c>
    </row>
    <row r="489" spans="1:18" x14ac:dyDescent="0.2">
      <c r="A489" s="1">
        <v>44872</v>
      </c>
      <c r="B489" t="s">
        <v>85</v>
      </c>
      <c r="C489" t="str">
        <f>_xlfn.XLOOKUP(B489,PRODUCT_MASTER!$A:$A,PRODUCT_MASTER!$B:$B,2,0)</f>
        <v>Product40</v>
      </c>
      <c r="D489" t="str">
        <f>_xlfn.XLOOKUP(B489,PRODUCT_MASTER!$A:$A,PRODUCT_MASTER!$C:$C,2,0)</f>
        <v>Snacks</v>
      </c>
      <c r="E489" t="str">
        <f>_xlfn.XLOOKUP(B489,PRODUCT_MASTER!$A:$A,PRODUCT_MASTER!$D:$D,2,0)</f>
        <v>Kg</v>
      </c>
      <c r="F489">
        <f>_xlfn.XLOOKUP(B489,PRODUCT_MASTER!$A:$A,PRODUCT_MASTER!$E:$E,2,0)</f>
        <v>90</v>
      </c>
      <c r="G489">
        <f>_xlfn.XLOOKUP(B489,PRODUCT_MASTER!$A:$A,PRODUCT_MASTER!$F:$F,2,0)</f>
        <v>115.2</v>
      </c>
      <c r="H489">
        <v>13</v>
      </c>
      <c r="I489" t="s">
        <v>101</v>
      </c>
      <c r="J489" t="s">
        <v>102</v>
      </c>
      <c r="K489">
        <v>0</v>
      </c>
      <c r="L489" s="15">
        <f t="shared" si="49"/>
        <v>1170</v>
      </c>
      <c r="M489" s="15">
        <f t="shared" si="50"/>
        <v>1497.6000000000001</v>
      </c>
      <c r="N489" s="15">
        <f t="shared" si="51"/>
        <v>327.60000000000014</v>
      </c>
      <c r="O489" s="10">
        <f t="shared" si="52"/>
        <v>0.28000000000000014</v>
      </c>
      <c r="P489" t="str">
        <f t="shared" si="53"/>
        <v>07</v>
      </c>
      <c r="Q489" t="str">
        <f t="shared" si="54"/>
        <v>Nov</v>
      </c>
      <c r="R489" t="str">
        <f t="shared" si="55"/>
        <v>2022</v>
      </c>
    </row>
    <row r="490" spans="1:18" x14ac:dyDescent="0.2">
      <c r="A490" s="1">
        <v>44873</v>
      </c>
      <c r="B490" t="s">
        <v>77</v>
      </c>
      <c r="C490" t="str">
        <f>_xlfn.XLOOKUP(B490,PRODUCT_MASTER!$A:$A,PRODUCT_MASTER!$B:$B,2,0)</f>
        <v>Product36</v>
      </c>
      <c r="D490" t="str">
        <f>_xlfn.XLOOKUP(B490,PRODUCT_MASTER!$A:$A,PRODUCT_MASTER!$C:$C,2,0)</f>
        <v>Bakery And Desserts</v>
      </c>
      <c r="E490" t="str">
        <f>_xlfn.XLOOKUP(B490,PRODUCT_MASTER!$A:$A,PRODUCT_MASTER!$D:$D,2,0)</f>
        <v>Kg</v>
      </c>
      <c r="F490">
        <f>_xlfn.XLOOKUP(B490,PRODUCT_MASTER!$A:$A,PRODUCT_MASTER!$E:$E,2,0)</f>
        <v>90</v>
      </c>
      <c r="G490">
        <f>_xlfn.XLOOKUP(B490,PRODUCT_MASTER!$A:$A,PRODUCT_MASTER!$F:$F,2,0)</f>
        <v>96.3</v>
      </c>
      <c r="H490">
        <v>11</v>
      </c>
      <c r="I490" t="s">
        <v>100</v>
      </c>
      <c r="J490" t="s">
        <v>102</v>
      </c>
      <c r="K490">
        <v>0</v>
      </c>
      <c r="L490" s="15">
        <f t="shared" si="49"/>
        <v>990</v>
      </c>
      <c r="M490" s="15">
        <f t="shared" si="50"/>
        <v>1059.3</v>
      </c>
      <c r="N490" s="15">
        <f t="shared" si="51"/>
        <v>69.299999999999955</v>
      </c>
      <c r="O490" s="10">
        <f t="shared" si="52"/>
        <v>6.9999999999999951E-2</v>
      </c>
      <c r="P490" t="str">
        <f t="shared" si="53"/>
        <v>08</v>
      </c>
      <c r="Q490" t="str">
        <f t="shared" si="54"/>
        <v>Nov</v>
      </c>
      <c r="R490" t="str">
        <f t="shared" si="55"/>
        <v>2022</v>
      </c>
    </row>
    <row r="491" spans="1:18" x14ac:dyDescent="0.2">
      <c r="A491" s="1">
        <v>44873</v>
      </c>
      <c r="B491" t="s">
        <v>43</v>
      </c>
      <c r="C491" t="str">
        <f>_xlfn.XLOOKUP(B491,PRODUCT_MASTER!$A:$A,PRODUCT_MASTER!$B:$B,2,0)</f>
        <v>Product19</v>
      </c>
      <c r="D491" t="str">
        <f>_xlfn.XLOOKUP(B491,PRODUCT_MASTER!$A:$A,PRODUCT_MASTER!$C:$C,2,0)</f>
        <v>Poultry</v>
      </c>
      <c r="E491" t="str">
        <f>_xlfn.XLOOKUP(B491,PRODUCT_MASTER!$A:$A,PRODUCT_MASTER!$D:$D,2,0)</f>
        <v>Ft</v>
      </c>
      <c r="F491">
        <f>_xlfn.XLOOKUP(B491,PRODUCT_MASTER!$A:$A,PRODUCT_MASTER!$E:$E,2,0)</f>
        <v>150</v>
      </c>
      <c r="G491">
        <f>_xlfn.XLOOKUP(B491,PRODUCT_MASTER!$A:$A,PRODUCT_MASTER!$F:$F,2,0)</f>
        <v>210</v>
      </c>
      <c r="H491">
        <v>10</v>
      </c>
      <c r="I491" t="s">
        <v>100</v>
      </c>
      <c r="J491" t="s">
        <v>101</v>
      </c>
      <c r="K491">
        <v>0</v>
      </c>
      <c r="L491" s="15">
        <f t="shared" si="49"/>
        <v>1500</v>
      </c>
      <c r="M491" s="15">
        <f t="shared" si="50"/>
        <v>2100</v>
      </c>
      <c r="N491" s="15">
        <f t="shared" si="51"/>
        <v>600</v>
      </c>
      <c r="O491" s="10">
        <f t="shared" si="52"/>
        <v>0.4</v>
      </c>
      <c r="P491" t="str">
        <f t="shared" si="53"/>
        <v>08</v>
      </c>
      <c r="Q491" t="str">
        <f t="shared" si="54"/>
        <v>Nov</v>
      </c>
      <c r="R491" t="str">
        <f t="shared" si="55"/>
        <v>2022</v>
      </c>
    </row>
    <row r="492" spans="1:18" x14ac:dyDescent="0.2">
      <c r="A492" s="1">
        <v>44874</v>
      </c>
      <c r="B492" t="s">
        <v>59</v>
      </c>
      <c r="C492" t="str">
        <f>_xlfn.XLOOKUP(B492,PRODUCT_MASTER!$A:$A,PRODUCT_MASTER!$B:$B,2,0)</f>
        <v>Product27</v>
      </c>
      <c r="D492" t="str">
        <f>_xlfn.XLOOKUP(B492,PRODUCT_MASTER!$A:$A,PRODUCT_MASTER!$C:$C,2,0)</f>
        <v>Cheese And Dairy</v>
      </c>
      <c r="E492" t="str">
        <f>_xlfn.XLOOKUP(B492,PRODUCT_MASTER!$A:$A,PRODUCT_MASTER!$D:$D,2,0)</f>
        <v>Lt</v>
      </c>
      <c r="F492">
        <f>_xlfn.XLOOKUP(B492,PRODUCT_MASTER!$A:$A,PRODUCT_MASTER!$E:$E,2,0)</f>
        <v>48</v>
      </c>
      <c r="G492">
        <f>_xlfn.XLOOKUP(B492,PRODUCT_MASTER!$A:$A,PRODUCT_MASTER!$F:$F,2,0)</f>
        <v>57.120000000000005</v>
      </c>
      <c r="H492">
        <v>8</v>
      </c>
      <c r="I492" t="s">
        <v>101</v>
      </c>
      <c r="J492" t="s">
        <v>102</v>
      </c>
      <c r="K492">
        <v>0</v>
      </c>
      <c r="L492" s="15">
        <f t="shared" si="49"/>
        <v>384</v>
      </c>
      <c r="M492" s="15">
        <f t="shared" si="50"/>
        <v>456.96000000000004</v>
      </c>
      <c r="N492" s="15">
        <f t="shared" si="51"/>
        <v>72.960000000000036</v>
      </c>
      <c r="O492" s="10">
        <f t="shared" si="52"/>
        <v>0.19000000000000009</v>
      </c>
      <c r="P492" t="str">
        <f t="shared" si="53"/>
        <v>09</v>
      </c>
      <c r="Q492" t="str">
        <f t="shared" si="54"/>
        <v>Nov</v>
      </c>
      <c r="R492" t="str">
        <f t="shared" si="55"/>
        <v>2022</v>
      </c>
    </row>
    <row r="493" spans="1:18" x14ac:dyDescent="0.2">
      <c r="A493" s="1">
        <v>44875</v>
      </c>
      <c r="B493" t="s">
        <v>41</v>
      </c>
      <c r="C493" t="str">
        <f>_xlfn.XLOOKUP(B493,PRODUCT_MASTER!$A:$A,PRODUCT_MASTER!$B:$B,2,0)</f>
        <v>Product18</v>
      </c>
      <c r="D493" t="str">
        <f>_xlfn.XLOOKUP(B493,PRODUCT_MASTER!$A:$A,PRODUCT_MASTER!$C:$C,2,0)</f>
        <v>Poultry</v>
      </c>
      <c r="E493" t="str">
        <f>_xlfn.XLOOKUP(B493,PRODUCT_MASTER!$A:$A,PRODUCT_MASTER!$D:$D,2,0)</f>
        <v>No.</v>
      </c>
      <c r="F493">
        <f>_xlfn.XLOOKUP(B493,PRODUCT_MASTER!$A:$A,PRODUCT_MASTER!$E:$E,2,0)</f>
        <v>37</v>
      </c>
      <c r="G493">
        <f>_xlfn.XLOOKUP(B493,PRODUCT_MASTER!$A:$A,PRODUCT_MASTER!$F:$F,2,0)</f>
        <v>49.21</v>
      </c>
      <c r="H493">
        <v>7</v>
      </c>
      <c r="I493" t="s">
        <v>103</v>
      </c>
      <c r="J493" t="s">
        <v>101</v>
      </c>
      <c r="K493">
        <v>0</v>
      </c>
      <c r="L493" s="15">
        <f t="shared" si="49"/>
        <v>259</v>
      </c>
      <c r="M493" s="15">
        <f t="shared" si="50"/>
        <v>344.47</v>
      </c>
      <c r="N493" s="15">
        <f t="shared" si="51"/>
        <v>85.470000000000027</v>
      </c>
      <c r="O493" s="10">
        <f t="shared" si="52"/>
        <v>0.33000000000000013</v>
      </c>
      <c r="P493" t="str">
        <f t="shared" si="53"/>
        <v>10</v>
      </c>
      <c r="Q493" t="str">
        <f t="shared" si="54"/>
        <v>Nov</v>
      </c>
      <c r="R493" t="str">
        <f t="shared" si="55"/>
        <v>2022</v>
      </c>
    </row>
    <row r="494" spans="1:18" x14ac:dyDescent="0.2">
      <c r="A494" s="1">
        <v>44878</v>
      </c>
      <c r="B494" t="s">
        <v>59</v>
      </c>
      <c r="C494" t="str">
        <f>_xlfn.XLOOKUP(B494,PRODUCT_MASTER!$A:$A,PRODUCT_MASTER!$B:$B,2,0)</f>
        <v>Product27</v>
      </c>
      <c r="D494" t="str">
        <f>_xlfn.XLOOKUP(B494,PRODUCT_MASTER!$A:$A,PRODUCT_MASTER!$C:$C,2,0)</f>
        <v>Cheese And Dairy</v>
      </c>
      <c r="E494" t="str">
        <f>_xlfn.XLOOKUP(B494,PRODUCT_MASTER!$A:$A,PRODUCT_MASTER!$D:$D,2,0)</f>
        <v>Lt</v>
      </c>
      <c r="F494">
        <f>_xlfn.XLOOKUP(B494,PRODUCT_MASTER!$A:$A,PRODUCT_MASTER!$E:$E,2,0)</f>
        <v>48</v>
      </c>
      <c r="G494">
        <f>_xlfn.XLOOKUP(B494,PRODUCT_MASTER!$A:$A,PRODUCT_MASTER!$F:$F,2,0)</f>
        <v>57.120000000000005</v>
      </c>
      <c r="H494">
        <v>10</v>
      </c>
      <c r="I494" t="s">
        <v>100</v>
      </c>
      <c r="J494" t="s">
        <v>102</v>
      </c>
      <c r="K494">
        <v>0</v>
      </c>
      <c r="L494" s="15">
        <f t="shared" si="49"/>
        <v>480</v>
      </c>
      <c r="M494" s="15">
        <f t="shared" si="50"/>
        <v>571.20000000000005</v>
      </c>
      <c r="N494" s="15">
        <f t="shared" si="51"/>
        <v>91.200000000000045</v>
      </c>
      <c r="O494" s="10">
        <f t="shared" si="52"/>
        <v>0.19000000000000009</v>
      </c>
      <c r="P494" t="str">
        <f t="shared" si="53"/>
        <v>13</v>
      </c>
      <c r="Q494" t="str">
        <f t="shared" si="54"/>
        <v>Nov</v>
      </c>
      <c r="R494" t="str">
        <f t="shared" si="55"/>
        <v>2022</v>
      </c>
    </row>
    <row r="495" spans="1:18" x14ac:dyDescent="0.2">
      <c r="A495" s="1">
        <v>44879</v>
      </c>
      <c r="B495" t="s">
        <v>9</v>
      </c>
      <c r="C495" t="str">
        <f>_xlfn.XLOOKUP(B495,PRODUCT_MASTER!$A:$A,PRODUCT_MASTER!$B:$B,2,0)</f>
        <v>Product02</v>
      </c>
      <c r="D495" t="str">
        <f>_xlfn.XLOOKUP(B495,PRODUCT_MASTER!$A:$A,PRODUCT_MASTER!$C:$C,2,0)</f>
        <v>Organic</v>
      </c>
      <c r="E495" t="str">
        <f>_xlfn.XLOOKUP(B495,PRODUCT_MASTER!$A:$A,PRODUCT_MASTER!$D:$D,2,0)</f>
        <v>Kg</v>
      </c>
      <c r="F495">
        <f>_xlfn.XLOOKUP(B495,PRODUCT_MASTER!$A:$A,PRODUCT_MASTER!$E:$E,2,0)</f>
        <v>105</v>
      </c>
      <c r="G495">
        <f>_xlfn.XLOOKUP(B495,PRODUCT_MASTER!$A:$A,PRODUCT_MASTER!$F:$F,2,0)</f>
        <v>142.80000000000001</v>
      </c>
      <c r="H495">
        <v>1</v>
      </c>
      <c r="I495" t="s">
        <v>103</v>
      </c>
      <c r="J495" t="s">
        <v>102</v>
      </c>
      <c r="K495">
        <v>0</v>
      </c>
      <c r="L495" s="15">
        <f t="shared" si="49"/>
        <v>105</v>
      </c>
      <c r="M495" s="15">
        <f t="shared" si="50"/>
        <v>142.80000000000001</v>
      </c>
      <c r="N495" s="15">
        <f t="shared" si="51"/>
        <v>37.800000000000011</v>
      </c>
      <c r="O495" s="10">
        <f t="shared" si="52"/>
        <v>0.3600000000000001</v>
      </c>
      <c r="P495" t="str">
        <f t="shared" si="53"/>
        <v>14</v>
      </c>
      <c r="Q495" t="str">
        <f t="shared" si="54"/>
        <v>Nov</v>
      </c>
      <c r="R495" t="str">
        <f t="shared" si="55"/>
        <v>2022</v>
      </c>
    </row>
    <row r="496" spans="1:18" x14ac:dyDescent="0.2">
      <c r="A496" s="1">
        <v>44880</v>
      </c>
      <c r="B496" t="s">
        <v>29</v>
      </c>
      <c r="C496" t="str">
        <f>_xlfn.XLOOKUP(B496,PRODUCT_MASTER!$A:$A,PRODUCT_MASTER!$B:$B,2,0)</f>
        <v>Product12</v>
      </c>
      <c r="D496" t="str">
        <f>_xlfn.XLOOKUP(B496,PRODUCT_MASTER!$A:$A,PRODUCT_MASTER!$C:$C,2,0)</f>
        <v>Meat</v>
      </c>
      <c r="E496" t="str">
        <f>_xlfn.XLOOKUP(B496,PRODUCT_MASTER!$A:$A,PRODUCT_MASTER!$D:$D,2,0)</f>
        <v>Kg</v>
      </c>
      <c r="F496">
        <f>_xlfn.XLOOKUP(B496,PRODUCT_MASTER!$A:$A,PRODUCT_MASTER!$E:$E,2,0)</f>
        <v>73</v>
      </c>
      <c r="G496">
        <f>_xlfn.XLOOKUP(B496,PRODUCT_MASTER!$A:$A,PRODUCT_MASTER!$F:$F,2,0)</f>
        <v>94.17</v>
      </c>
      <c r="H496">
        <v>14</v>
      </c>
      <c r="I496" t="s">
        <v>103</v>
      </c>
      <c r="J496" t="s">
        <v>102</v>
      </c>
      <c r="K496">
        <v>0</v>
      </c>
      <c r="L496" s="15">
        <f t="shared" si="49"/>
        <v>1022</v>
      </c>
      <c r="M496" s="15">
        <f t="shared" si="50"/>
        <v>1318.38</v>
      </c>
      <c r="N496" s="15">
        <f t="shared" si="51"/>
        <v>296.38000000000011</v>
      </c>
      <c r="O496" s="10">
        <f t="shared" si="52"/>
        <v>0.29000000000000009</v>
      </c>
      <c r="P496" t="str">
        <f t="shared" si="53"/>
        <v>15</v>
      </c>
      <c r="Q496" t="str">
        <f t="shared" si="54"/>
        <v>Nov</v>
      </c>
      <c r="R496" t="str">
        <f t="shared" si="55"/>
        <v>2022</v>
      </c>
    </row>
    <row r="497" spans="1:18" x14ac:dyDescent="0.2">
      <c r="A497" s="1">
        <v>44881</v>
      </c>
      <c r="B497" t="s">
        <v>39</v>
      </c>
      <c r="C497" t="str">
        <f>_xlfn.XLOOKUP(B497,PRODUCT_MASTER!$A:$A,PRODUCT_MASTER!$B:$B,2,0)</f>
        <v>Product17</v>
      </c>
      <c r="D497" t="str">
        <f>_xlfn.XLOOKUP(B497,PRODUCT_MASTER!$A:$A,PRODUCT_MASTER!$C:$C,2,0)</f>
        <v>Poultry</v>
      </c>
      <c r="E497" t="str">
        <f>_xlfn.XLOOKUP(B497,PRODUCT_MASTER!$A:$A,PRODUCT_MASTER!$D:$D,2,0)</f>
        <v>Ft</v>
      </c>
      <c r="F497">
        <f>_xlfn.XLOOKUP(B497,PRODUCT_MASTER!$A:$A,PRODUCT_MASTER!$E:$E,2,0)</f>
        <v>134</v>
      </c>
      <c r="G497">
        <f>_xlfn.XLOOKUP(B497,PRODUCT_MASTER!$A:$A,PRODUCT_MASTER!$F:$F,2,0)</f>
        <v>156.78</v>
      </c>
      <c r="H497">
        <v>8</v>
      </c>
      <c r="I497" t="s">
        <v>101</v>
      </c>
      <c r="J497" t="s">
        <v>101</v>
      </c>
      <c r="K497">
        <v>0</v>
      </c>
      <c r="L497" s="15">
        <f t="shared" si="49"/>
        <v>1072</v>
      </c>
      <c r="M497" s="15">
        <f t="shared" si="50"/>
        <v>1254.24</v>
      </c>
      <c r="N497" s="15">
        <f t="shared" si="51"/>
        <v>182.24</v>
      </c>
      <c r="O497" s="10">
        <f t="shared" si="52"/>
        <v>0.17</v>
      </c>
      <c r="P497" t="str">
        <f t="shared" si="53"/>
        <v>16</v>
      </c>
      <c r="Q497" t="str">
        <f t="shared" si="54"/>
        <v>Nov</v>
      </c>
      <c r="R497" t="str">
        <f t="shared" si="55"/>
        <v>2022</v>
      </c>
    </row>
    <row r="498" spans="1:18" x14ac:dyDescent="0.2">
      <c r="A498" s="1">
        <v>44883</v>
      </c>
      <c r="B498" t="s">
        <v>73</v>
      </c>
      <c r="C498" t="str">
        <f>_xlfn.XLOOKUP(B498,PRODUCT_MASTER!$A:$A,PRODUCT_MASTER!$B:$B,2,0)</f>
        <v>Product34</v>
      </c>
      <c r="D498" t="str">
        <f>_xlfn.XLOOKUP(B498,PRODUCT_MASTER!$A:$A,PRODUCT_MASTER!$C:$C,2,0)</f>
        <v>Bakery And Desserts</v>
      </c>
      <c r="E498" t="str">
        <f>_xlfn.XLOOKUP(B498,PRODUCT_MASTER!$A:$A,PRODUCT_MASTER!$D:$D,2,0)</f>
        <v>Lt</v>
      </c>
      <c r="F498">
        <f>_xlfn.XLOOKUP(B498,PRODUCT_MASTER!$A:$A,PRODUCT_MASTER!$E:$E,2,0)</f>
        <v>55</v>
      </c>
      <c r="G498">
        <f>_xlfn.XLOOKUP(B498,PRODUCT_MASTER!$A:$A,PRODUCT_MASTER!$F:$F,2,0)</f>
        <v>58.3</v>
      </c>
      <c r="H498">
        <v>8</v>
      </c>
      <c r="I498" t="s">
        <v>103</v>
      </c>
      <c r="J498" t="s">
        <v>102</v>
      </c>
      <c r="K498">
        <v>0</v>
      </c>
      <c r="L498" s="15">
        <f t="shared" si="49"/>
        <v>440</v>
      </c>
      <c r="M498" s="15">
        <f t="shared" si="50"/>
        <v>466.4</v>
      </c>
      <c r="N498" s="15">
        <f t="shared" si="51"/>
        <v>26.399999999999977</v>
      </c>
      <c r="O498" s="10">
        <f t="shared" si="52"/>
        <v>5.9999999999999949E-2</v>
      </c>
      <c r="P498" t="str">
        <f t="shared" si="53"/>
        <v>18</v>
      </c>
      <c r="Q498" t="str">
        <f t="shared" si="54"/>
        <v>Nov</v>
      </c>
      <c r="R498" t="str">
        <f t="shared" si="55"/>
        <v>2022</v>
      </c>
    </row>
    <row r="499" spans="1:18" x14ac:dyDescent="0.2">
      <c r="A499" s="1">
        <v>44886</v>
      </c>
      <c r="B499" t="s">
        <v>45</v>
      </c>
      <c r="C499" t="str">
        <f>_xlfn.XLOOKUP(B499,PRODUCT_MASTER!$A:$A,PRODUCT_MASTER!$B:$B,2,0)</f>
        <v>Product20</v>
      </c>
      <c r="D499" t="str">
        <f>_xlfn.XLOOKUP(B499,PRODUCT_MASTER!$A:$A,PRODUCT_MASTER!$C:$C,2,0)</f>
        <v>Poultry</v>
      </c>
      <c r="E499" t="str">
        <f>_xlfn.XLOOKUP(B499,PRODUCT_MASTER!$A:$A,PRODUCT_MASTER!$D:$D,2,0)</f>
        <v>Lt</v>
      </c>
      <c r="F499">
        <f>_xlfn.XLOOKUP(B499,PRODUCT_MASTER!$A:$A,PRODUCT_MASTER!$E:$E,2,0)</f>
        <v>61</v>
      </c>
      <c r="G499">
        <f>_xlfn.XLOOKUP(B499,PRODUCT_MASTER!$A:$A,PRODUCT_MASTER!$F:$F,2,0)</f>
        <v>76.25</v>
      </c>
      <c r="H499">
        <v>6</v>
      </c>
      <c r="I499" t="s">
        <v>103</v>
      </c>
      <c r="J499" t="s">
        <v>102</v>
      </c>
      <c r="K499">
        <v>0</v>
      </c>
      <c r="L499" s="15">
        <f t="shared" si="49"/>
        <v>366</v>
      </c>
      <c r="M499" s="15">
        <f t="shared" si="50"/>
        <v>457.5</v>
      </c>
      <c r="N499" s="15">
        <f t="shared" si="51"/>
        <v>91.5</v>
      </c>
      <c r="O499" s="10">
        <f t="shared" si="52"/>
        <v>0.25</v>
      </c>
      <c r="P499" t="str">
        <f t="shared" si="53"/>
        <v>21</v>
      </c>
      <c r="Q499" t="str">
        <f t="shared" si="54"/>
        <v>Nov</v>
      </c>
      <c r="R499" t="str">
        <f t="shared" si="55"/>
        <v>2022</v>
      </c>
    </row>
    <row r="500" spans="1:18" x14ac:dyDescent="0.2">
      <c r="A500" s="1">
        <v>44888</v>
      </c>
      <c r="B500" t="s">
        <v>77</v>
      </c>
      <c r="C500" t="str">
        <f>_xlfn.XLOOKUP(B500,PRODUCT_MASTER!$A:$A,PRODUCT_MASTER!$B:$B,2,0)</f>
        <v>Product36</v>
      </c>
      <c r="D500" t="str">
        <f>_xlfn.XLOOKUP(B500,PRODUCT_MASTER!$A:$A,PRODUCT_MASTER!$C:$C,2,0)</f>
        <v>Bakery And Desserts</v>
      </c>
      <c r="E500" t="str">
        <f>_xlfn.XLOOKUP(B500,PRODUCT_MASTER!$A:$A,PRODUCT_MASTER!$D:$D,2,0)</f>
        <v>Kg</v>
      </c>
      <c r="F500">
        <f>_xlfn.XLOOKUP(B500,PRODUCT_MASTER!$A:$A,PRODUCT_MASTER!$E:$E,2,0)</f>
        <v>90</v>
      </c>
      <c r="G500">
        <f>_xlfn.XLOOKUP(B500,PRODUCT_MASTER!$A:$A,PRODUCT_MASTER!$F:$F,2,0)</f>
        <v>96.3</v>
      </c>
      <c r="H500">
        <v>12</v>
      </c>
      <c r="I500" t="s">
        <v>101</v>
      </c>
      <c r="J500" t="s">
        <v>101</v>
      </c>
      <c r="K500">
        <v>0</v>
      </c>
      <c r="L500" s="15">
        <f t="shared" si="49"/>
        <v>1080</v>
      </c>
      <c r="M500" s="15">
        <f t="shared" si="50"/>
        <v>1155.5999999999999</v>
      </c>
      <c r="N500" s="15">
        <f t="shared" si="51"/>
        <v>75.599999999999909</v>
      </c>
      <c r="O500" s="10">
        <f t="shared" si="52"/>
        <v>6.999999999999991E-2</v>
      </c>
      <c r="P500" t="str">
        <f t="shared" si="53"/>
        <v>23</v>
      </c>
      <c r="Q500" t="str">
        <f t="shared" si="54"/>
        <v>Nov</v>
      </c>
      <c r="R500" t="str">
        <f t="shared" si="55"/>
        <v>2022</v>
      </c>
    </row>
    <row r="501" spans="1:18" x14ac:dyDescent="0.2">
      <c r="A501" s="1">
        <v>44890</v>
      </c>
      <c r="B501" t="s">
        <v>13</v>
      </c>
      <c r="C501" t="str">
        <f>_xlfn.XLOOKUP(B501,PRODUCT_MASTER!$A:$A,PRODUCT_MASTER!$B:$B,2,0)</f>
        <v>Product04</v>
      </c>
      <c r="D501" t="str">
        <f>_xlfn.XLOOKUP(B501,PRODUCT_MASTER!$A:$A,PRODUCT_MASTER!$C:$C,2,0)</f>
        <v>Organic</v>
      </c>
      <c r="E501" t="str">
        <f>_xlfn.XLOOKUP(B501,PRODUCT_MASTER!$A:$A,PRODUCT_MASTER!$D:$D,2,0)</f>
        <v>Lt</v>
      </c>
      <c r="F501">
        <f>_xlfn.XLOOKUP(B501,PRODUCT_MASTER!$A:$A,PRODUCT_MASTER!$E:$E,2,0)</f>
        <v>44</v>
      </c>
      <c r="G501">
        <f>_xlfn.XLOOKUP(B501,PRODUCT_MASTER!$A:$A,PRODUCT_MASTER!$F:$F,2,0)</f>
        <v>48.84</v>
      </c>
      <c r="H501">
        <v>5</v>
      </c>
      <c r="I501" t="s">
        <v>103</v>
      </c>
      <c r="J501" t="s">
        <v>102</v>
      </c>
      <c r="K501">
        <v>0</v>
      </c>
      <c r="L501" s="15">
        <f t="shared" si="49"/>
        <v>220</v>
      </c>
      <c r="M501" s="15">
        <f t="shared" si="50"/>
        <v>244.20000000000002</v>
      </c>
      <c r="N501" s="15">
        <f t="shared" si="51"/>
        <v>24.200000000000017</v>
      </c>
      <c r="O501" s="10">
        <f t="shared" si="52"/>
        <v>0.11000000000000008</v>
      </c>
      <c r="P501" t="str">
        <f t="shared" si="53"/>
        <v>25</v>
      </c>
      <c r="Q501" t="str">
        <f t="shared" si="54"/>
        <v>Nov</v>
      </c>
      <c r="R501" t="str">
        <f t="shared" si="55"/>
        <v>2022</v>
      </c>
    </row>
    <row r="502" spans="1:18" x14ac:dyDescent="0.2">
      <c r="A502" s="1">
        <v>44891</v>
      </c>
      <c r="B502" t="s">
        <v>69</v>
      </c>
      <c r="C502" t="str">
        <f>_xlfn.XLOOKUP(B502,PRODUCT_MASTER!$A:$A,PRODUCT_MASTER!$B:$B,2,0)</f>
        <v>Product32</v>
      </c>
      <c r="D502" t="str">
        <f>_xlfn.XLOOKUP(B502,PRODUCT_MASTER!$A:$A,PRODUCT_MASTER!$C:$C,2,0)</f>
        <v>Bakery And Desserts</v>
      </c>
      <c r="E502" t="str">
        <f>_xlfn.XLOOKUP(B502,PRODUCT_MASTER!$A:$A,PRODUCT_MASTER!$D:$D,2,0)</f>
        <v>Kg</v>
      </c>
      <c r="F502">
        <f>_xlfn.XLOOKUP(B502,PRODUCT_MASTER!$A:$A,PRODUCT_MASTER!$E:$E,2,0)</f>
        <v>89</v>
      </c>
      <c r="G502">
        <f>_xlfn.XLOOKUP(B502,PRODUCT_MASTER!$A:$A,PRODUCT_MASTER!$F:$F,2,0)</f>
        <v>117.48</v>
      </c>
      <c r="H502">
        <v>5</v>
      </c>
      <c r="I502" t="s">
        <v>103</v>
      </c>
      <c r="J502" t="s">
        <v>101</v>
      </c>
      <c r="K502">
        <v>0</v>
      </c>
      <c r="L502" s="15">
        <f t="shared" si="49"/>
        <v>445</v>
      </c>
      <c r="M502" s="15">
        <f t="shared" si="50"/>
        <v>587.4</v>
      </c>
      <c r="N502" s="15">
        <f t="shared" si="51"/>
        <v>142.39999999999998</v>
      </c>
      <c r="O502" s="10">
        <f t="shared" si="52"/>
        <v>0.31999999999999995</v>
      </c>
      <c r="P502" t="str">
        <f t="shared" si="53"/>
        <v>26</v>
      </c>
      <c r="Q502" t="str">
        <f t="shared" si="54"/>
        <v>Nov</v>
      </c>
      <c r="R502" t="str">
        <f t="shared" si="55"/>
        <v>2022</v>
      </c>
    </row>
    <row r="503" spans="1:18" x14ac:dyDescent="0.2">
      <c r="A503" s="1">
        <v>44892</v>
      </c>
      <c r="B503" t="s">
        <v>73</v>
      </c>
      <c r="C503" t="str">
        <f>_xlfn.XLOOKUP(B503,PRODUCT_MASTER!$A:$A,PRODUCT_MASTER!$B:$B,2,0)</f>
        <v>Product34</v>
      </c>
      <c r="D503" t="str">
        <f>_xlfn.XLOOKUP(B503,PRODUCT_MASTER!$A:$A,PRODUCT_MASTER!$C:$C,2,0)</f>
        <v>Bakery And Desserts</v>
      </c>
      <c r="E503" t="str">
        <f>_xlfn.XLOOKUP(B503,PRODUCT_MASTER!$A:$A,PRODUCT_MASTER!$D:$D,2,0)</f>
        <v>Lt</v>
      </c>
      <c r="F503">
        <f>_xlfn.XLOOKUP(B503,PRODUCT_MASTER!$A:$A,PRODUCT_MASTER!$E:$E,2,0)</f>
        <v>55</v>
      </c>
      <c r="G503">
        <f>_xlfn.XLOOKUP(B503,PRODUCT_MASTER!$A:$A,PRODUCT_MASTER!$F:$F,2,0)</f>
        <v>58.3</v>
      </c>
      <c r="H503">
        <v>15</v>
      </c>
      <c r="I503" t="s">
        <v>103</v>
      </c>
      <c r="J503" t="s">
        <v>101</v>
      </c>
      <c r="K503">
        <v>0</v>
      </c>
      <c r="L503" s="15">
        <f t="shared" si="49"/>
        <v>825</v>
      </c>
      <c r="M503" s="15">
        <f t="shared" si="50"/>
        <v>874.5</v>
      </c>
      <c r="N503" s="15">
        <f t="shared" si="51"/>
        <v>49.5</v>
      </c>
      <c r="O503" s="10">
        <f t="shared" si="52"/>
        <v>0.06</v>
      </c>
      <c r="P503" t="str">
        <f t="shared" si="53"/>
        <v>27</v>
      </c>
      <c r="Q503" t="str">
        <f t="shared" si="54"/>
        <v>Nov</v>
      </c>
      <c r="R503" t="str">
        <f t="shared" si="55"/>
        <v>2022</v>
      </c>
    </row>
    <row r="504" spans="1:18" x14ac:dyDescent="0.2">
      <c r="A504" s="1">
        <v>44893</v>
      </c>
      <c r="B504" t="s">
        <v>67</v>
      </c>
      <c r="C504" t="str">
        <f>_xlfn.XLOOKUP(B504,PRODUCT_MASTER!$A:$A,PRODUCT_MASTER!$B:$B,2,0)</f>
        <v>Product31</v>
      </c>
      <c r="D504" t="str">
        <f>_xlfn.XLOOKUP(B504,PRODUCT_MASTER!$A:$A,PRODUCT_MASTER!$C:$C,2,0)</f>
        <v>Cheese And Dairy</v>
      </c>
      <c r="E504" t="str">
        <f>_xlfn.XLOOKUP(B504,PRODUCT_MASTER!$A:$A,PRODUCT_MASTER!$D:$D,2,0)</f>
        <v>Kg</v>
      </c>
      <c r="F504">
        <f>_xlfn.XLOOKUP(B504,PRODUCT_MASTER!$A:$A,PRODUCT_MASTER!$E:$E,2,0)</f>
        <v>93</v>
      </c>
      <c r="G504">
        <f>_xlfn.XLOOKUP(B504,PRODUCT_MASTER!$A:$A,PRODUCT_MASTER!$F:$F,2,0)</f>
        <v>104.16</v>
      </c>
      <c r="H504">
        <v>8</v>
      </c>
      <c r="I504" t="s">
        <v>103</v>
      </c>
      <c r="J504" t="s">
        <v>102</v>
      </c>
      <c r="K504">
        <v>0</v>
      </c>
      <c r="L504" s="15">
        <f t="shared" si="49"/>
        <v>744</v>
      </c>
      <c r="M504" s="15">
        <f t="shared" si="50"/>
        <v>833.28</v>
      </c>
      <c r="N504" s="15">
        <f t="shared" si="51"/>
        <v>89.279999999999973</v>
      </c>
      <c r="O504" s="10">
        <f t="shared" si="52"/>
        <v>0.11999999999999997</v>
      </c>
      <c r="P504" t="str">
        <f t="shared" si="53"/>
        <v>28</v>
      </c>
      <c r="Q504" t="str">
        <f t="shared" si="54"/>
        <v>Nov</v>
      </c>
      <c r="R504" t="str">
        <f t="shared" si="55"/>
        <v>2022</v>
      </c>
    </row>
    <row r="505" spans="1:18" x14ac:dyDescent="0.2">
      <c r="A505" s="1">
        <v>44895</v>
      </c>
      <c r="B505" t="s">
        <v>35</v>
      </c>
      <c r="C505" t="str">
        <f>_xlfn.XLOOKUP(B505,PRODUCT_MASTER!$A:$A,PRODUCT_MASTER!$B:$B,2,0)</f>
        <v>Product15</v>
      </c>
      <c r="D505" t="str">
        <f>_xlfn.XLOOKUP(B505,PRODUCT_MASTER!$A:$A,PRODUCT_MASTER!$C:$C,2,0)</f>
        <v>Meat</v>
      </c>
      <c r="E505" t="str">
        <f>_xlfn.XLOOKUP(B505,PRODUCT_MASTER!$A:$A,PRODUCT_MASTER!$D:$D,2,0)</f>
        <v>No.</v>
      </c>
      <c r="F505">
        <f>_xlfn.XLOOKUP(B505,PRODUCT_MASTER!$A:$A,PRODUCT_MASTER!$E:$E,2,0)</f>
        <v>12</v>
      </c>
      <c r="G505">
        <f>_xlfn.XLOOKUP(B505,PRODUCT_MASTER!$A:$A,PRODUCT_MASTER!$F:$F,2,0)</f>
        <v>15.719999999999999</v>
      </c>
      <c r="H505">
        <v>2</v>
      </c>
      <c r="I505" t="s">
        <v>103</v>
      </c>
      <c r="J505" t="s">
        <v>101</v>
      </c>
      <c r="K505">
        <v>0</v>
      </c>
      <c r="L505" s="15">
        <f t="shared" si="49"/>
        <v>24</v>
      </c>
      <c r="M505" s="15">
        <f t="shared" si="50"/>
        <v>31.439999999999998</v>
      </c>
      <c r="N505" s="15">
        <f t="shared" si="51"/>
        <v>7.4399999999999977</v>
      </c>
      <c r="O505" s="10">
        <f t="shared" si="52"/>
        <v>0.30999999999999989</v>
      </c>
      <c r="P505" t="str">
        <f t="shared" si="53"/>
        <v>30</v>
      </c>
      <c r="Q505" t="str">
        <f t="shared" si="54"/>
        <v>Nov</v>
      </c>
      <c r="R505" t="str">
        <f t="shared" si="55"/>
        <v>2022</v>
      </c>
    </row>
    <row r="506" spans="1:18" x14ac:dyDescent="0.2">
      <c r="A506" s="1">
        <v>44898</v>
      </c>
      <c r="B506" t="s">
        <v>61</v>
      </c>
      <c r="C506" t="str">
        <f>_xlfn.XLOOKUP(B506,PRODUCT_MASTER!$A:$A,PRODUCT_MASTER!$B:$B,2,0)</f>
        <v>Product28</v>
      </c>
      <c r="D506" t="str">
        <f>_xlfn.XLOOKUP(B506,PRODUCT_MASTER!$A:$A,PRODUCT_MASTER!$C:$C,2,0)</f>
        <v>Cheese And Dairy</v>
      </c>
      <c r="E506" t="str">
        <f>_xlfn.XLOOKUP(B506,PRODUCT_MASTER!$A:$A,PRODUCT_MASTER!$D:$D,2,0)</f>
        <v>No.</v>
      </c>
      <c r="F506">
        <f>_xlfn.XLOOKUP(B506,PRODUCT_MASTER!$A:$A,PRODUCT_MASTER!$E:$E,2,0)</f>
        <v>37</v>
      </c>
      <c r="G506">
        <f>_xlfn.XLOOKUP(B506,PRODUCT_MASTER!$A:$A,PRODUCT_MASTER!$F:$F,2,0)</f>
        <v>41.81</v>
      </c>
      <c r="H506">
        <v>5</v>
      </c>
      <c r="I506" t="s">
        <v>100</v>
      </c>
      <c r="J506" t="s">
        <v>102</v>
      </c>
      <c r="K506">
        <v>0</v>
      </c>
      <c r="L506" s="15">
        <f t="shared" si="49"/>
        <v>185</v>
      </c>
      <c r="M506" s="15">
        <f t="shared" si="50"/>
        <v>209.05</v>
      </c>
      <c r="N506" s="15">
        <f t="shared" si="51"/>
        <v>24.050000000000011</v>
      </c>
      <c r="O506" s="10">
        <f t="shared" si="52"/>
        <v>0.13000000000000006</v>
      </c>
      <c r="P506" t="str">
        <f t="shared" si="53"/>
        <v>03</v>
      </c>
      <c r="Q506" t="str">
        <f t="shared" si="54"/>
        <v>Dec</v>
      </c>
      <c r="R506" t="str">
        <f t="shared" si="55"/>
        <v>2022</v>
      </c>
    </row>
    <row r="507" spans="1:18" x14ac:dyDescent="0.2">
      <c r="A507" s="1">
        <v>44899</v>
      </c>
      <c r="B507" t="s">
        <v>57</v>
      </c>
      <c r="C507" t="str">
        <f>_xlfn.XLOOKUP(B507,PRODUCT_MASTER!$A:$A,PRODUCT_MASTER!$B:$B,2,0)</f>
        <v>Product26</v>
      </c>
      <c r="D507" t="str">
        <f>_xlfn.XLOOKUP(B507,PRODUCT_MASTER!$A:$A,PRODUCT_MASTER!$C:$C,2,0)</f>
        <v>Seafood</v>
      </c>
      <c r="E507" t="str">
        <f>_xlfn.XLOOKUP(B507,PRODUCT_MASTER!$A:$A,PRODUCT_MASTER!$D:$D,2,0)</f>
        <v>No.</v>
      </c>
      <c r="F507">
        <f>_xlfn.XLOOKUP(B507,PRODUCT_MASTER!$A:$A,PRODUCT_MASTER!$E:$E,2,0)</f>
        <v>18</v>
      </c>
      <c r="G507">
        <f>_xlfn.XLOOKUP(B507,PRODUCT_MASTER!$A:$A,PRODUCT_MASTER!$F:$F,2,0)</f>
        <v>24.66</v>
      </c>
      <c r="H507">
        <v>10</v>
      </c>
      <c r="I507" t="s">
        <v>103</v>
      </c>
      <c r="J507" t="s">
        <v>102</v>
      </c>
      <c r="K507">
        <v>0</v>
      </c>
      <c r="L507" s="15">
        <f t="shared" si="49"/>
        <v>180</v>
      </c>
      <c r="M507" s="15">
        <f t="shared" si="50"/>
        <v>246.6</v>
      </c>
      <c r="N507" s="15">
        <f t="shared" si="51"/>
        <v>66.599999999999994</v>
      </c>
      <c r="O507" s="10">
        <f t="shared" si="52"/>
        <v>0.37</v>
      </c>
      <c r="P507" t="str">
        <f t="shared" si="53"/>
        <v>04</v>
      </c>
      <c r="Q507" t="str">
        <f t="shared" si="54"/>
        <v>Dec</v>
      </c>
      <c r="R507" t="str">
        <f t="shared" si="55"/>
        <v>2022</v>
      </c>
    </row>
    <row r="508" spans="1:18" x14ac:dyDescent="0.2">
      <c r="A508" s="1">
        <v>44899</v>
      </c>
      <c r="B508" t="s">
        <v>93</v>
      </c>
      <c r="C508" t="str">
        <f>_xlfn.XLOOKUP(B508,PRODUCT_MASTER!$A:$A,PRODUCT_MASTER!$B:$B,2,0)</f>
        <v>Product44</v>
      </c>
      <c r="D508" t="str">
        <f>_xlfn.XLOOKUP(B508,PRODUCT_MASTER!$A:$A,PRODUCT_MASTER!$C:$C,2,0)</f>
        <v>Candy</v>
      </c>
      <c r="E508" t="str">
        <f>_xlfn.XLOOKUP(B508,PRODUCT_MASTER!$A:$A,PRODUCT_MASTER!$D:$D,2,0)</f>
        <v>Kg</v>
      </c>
      <c r="F508">
        <f>_xlfn.XLOOKUP(B508,PRODUCT_MASTER!$A:$A,PRODUCT_MASTER!$E:$E,2,0)</f>
        <v>76</v>
      </c>
      <c r="G508">
        <f>_xlfn.XLOOKUP(B508,PRODUCT_MASTER!$A:$A,PRODUCT_MASTER!$F:$F,2,0)</f>
        <v>82.08</v>
      </c>
      <c r="H508">
        <v>15</v>
      </c>
      <c r="I508" t="s">
        <v>103</v>
      </c>
      <c r="J508" t="s">
        <v>102</v>
      </c>
      <c r="K508">
        <v>0</v>
      </c>
      <c r="L508" s="15">
        <f t="shared" si="49"/>
        <v>1140</v>
      </c>
      <c r="M508" s="15">
        <f t="shared" si="50"/>
        <v>1231.2</v>
      </c>
      <c r="N508" s="15">
        <f t="shared" si="51"/>
        <v>91.200000000000045</v>
      </c>
      <c r="O508" s="10">
        <f t="shared" si="52"/>
        <v>8.0000000000000043E-2</v>
      </c>
      <c r="P508" t="str">
        <f t="shared" si="53"/>
        <v>04</v>
      </c>
      <c r="Q508" t="str">
        <f t="shared" si="54"/>
        <v>Dec</v>
      </c>
      <c r="R508" t="str">
        <f t="shared" si="55"/>
        <v>2022</v>
      </c>
    </row>
    <row r="509" spans="1:18" x14ac:dyDescent="0.2">
      <c r="A509" s="1">
        <v>44902</v>
      </c>
      <c r="B509" t="s">
        <v>81</v>
      </c>
      <c r="C509" t="str">
        <f>_xlfn.XLOOKUP(B509,PRODUCT_MASTER!$A:$A,PRODUCT_MASTER!$B:$B,2,0)</f>
        <v>Product38</v>
      </c>
      <c r="D509" t="str">
        <f>_xlfn.XLOOKUP(B509,PRODUCT_MASTER!$A:$A,PRODUCT_MASTER!$C:$C,2,0)</f>
        <v>Snacks</v>
      </c>
      <c r="E509" t="str">
        <f>_xlfn.XLOOKUP(B509,PRODUCT_MASTER!$A:$A,PRODUCT_MASTER!$D:$D,2,0)</f>
        <v>Kg</v>
      </c>
      <c r="F509">
        <f>_xlfn.XLOOKUP(B509,PRODUCT_MASTER!$A:$A,PRODUCT_MASTER!$E:$E,2,0)</f>
        <v>72</v>
      </c>
      <c r="G509">
        <f>_xlfn.XLOOKUP(B509,PRODUCT_MASTER!$A:$A,PRODUCT_MASTER!$F:$F,2,0)</f>
        <v>79.92</v>
      </c>
      <c r="H509">
        <v>12</v>
      </c>
      <c r="I509" t="s">
        <v>103</v>
      </c>
      <c r="J509" t="s">
        <v>102</v>
      </c>
      <c r="K509">
        <v>0</v>
      </c>
      <c r="L509" s="15">
        <f t="shared" si="49"/>
        <v>864</v>
      </c>
      <c r="M509" s="15">
        <f t="shared" si="50"/>
        <v>959.04</v>
      </c>
      <c r="N509" s="15">
        <f t="shared" si="51"/>
        <v>95.039999999999964</v>
      </c>
      <c r="O509" s="10">
        <f t="shared" si="52"/>
        <v>0.10999999999999996</v>
      </c>
      <c r="P509" t="str">
        <f t="shared" si="53"/>
        <v>07</v>
      </c>
      <c r="Q509" t="str">
        <f t="shared" si="54"/>
        <v>Dec</v>
      </c>
      <c r="R509" t="str">
        <f t="shared" si="55"/>
        <v>2022</v>
      </c>
    </row>
    <row r="510" spans="1:18" x14ac:dyDescent="0.2">
      <c r="A510" s="1">
        <v>44902</v>
      </c>
      <c r="B510" t="s">
        <v>37</v>
      </c>
      <c r="C510" t="str">
        <f>_xlfn.XLOOKUP(B510,PRODUCT_MASTER!$A:$A,PRODUCT_MASTER!$B:$B,2,0)</f>
        <v>Product16</v>
      </c>
      <c r="D510" t="str">
        <f>_xlfn.XLOOKUP(B510,PRODUCT_MASTER!$A:$A,PRODUCT_MASTER!$C:$C,2,0)</f>
        <v>Meat</v>
      </c>
      <c r="E510" t="str">
        <f>_xlfn.XLOOKUP(B510,PRODUCT_MASTER!$A:$A,PRODUCT_MASTER!$D:$D,2,0)</f>
        <v>No.</v>
      </c>
      <c r="F510">
        <f>_xlfn.XLOOKUP(B510,PRODUCT_MASTER!$A:$A,PRODUCT_MASTER!$E:$E,2,0)</f>
        <v>13</v>
      </c>
      <c r="G510">
        <f>_xlfn.XLOOKUP(B510,PRODUCT_MASTER!$A:$A,PRODUCT_MASTER!$F:$F,2,0)</f>
        <v>16.64</v>
      </c>
      <c r="H510">
        <v>13</v>
      </c>
      <c r="I510" t="s">
        <v>103</v>
      </c>
      <c r="J510" t="s">
        <v>101</v>
      </c>
      <c r="K510">
        <v>0</v>
      </c>
      <c r="L510" s="15">
        <f t="shared" si="49"/>
        <v>169</v>
      </c>
      <c r="M510" s="15">
        <f t="shared" si="50"/>
        <v>216.32</v>
      </c>
      <c r="N510" s="15">
        <f t="shared" si="51"/>
        <v>47.319999999999993</v>
      </c>
      <c r="O510" s="10">
        <f t="shared" si="52"/>
        <v>0.27999999999999997</v>
      </c>
      <c r="P510" t="str">
        <f t="shared" si="53"/>
        <v>07</v>
      </c>
      <c r="Q510" t="str">
        <f t="shared" si="54"/>
        <v>Dec</v>
      </c>
      <c r="R510" t="str">
        <f t="shared" si="55"/>
        <v>2022</v>
      </c>
    </row>
    <row r="511" spans="1:18" x14ac:dyDescent="0.2">
      <c r="A511" s="1">
        <v>44902</v>
      </c>
      <c r="B511" t="s">
        <v>81</v>
      </c>
      <c r="C511" t="str">
        <f>_xlfn.XLOOKUP(B511,PRODUCT_MASTER!$A:$A,PRODUCT_MASTER!$B:$B,2,0)</f>
        <v>Product38</v>
      </c>
      <c r="D511" t="str">
        <f>_xlfn.XLOOKUP(B511,PRODUCT_MASTER!$A:$A,PRODUCT_MASTER!$C:$C,2,0)</f>
        <v>Snacks</v>
      </c>
      <c r="E511" t="str">
        <f>_xlfn.XLOOKUP(B511,PRODUCT_MASTER!$A:$A,PRODUCT_MASTER!$D:$D,2,0)</f>
        <v>Kg</v>
      </c>
      <c r="F511">
        <f>_xlfn.XLOOKUP(B511,PRODUCT_MASTER!$A:$A,PRODUCT_MASTER!$E:$E,2,0)</f>
        <v>72</v>
      </c>
      <c r="G511">
        <f>_xlfn.XLOOKUP(B511,PRODUCT_MASTER!$A:$A,PRODUCT_MASTER!$F:$F,2,0)</f>
        <v>79.92</v>
      </c>
      <c r="H511">
        <v>5</v>
      </c>
      <c r="I511" t="s">
        <v>103</v>
      </c>
      <c r="J511" t="s">
        <v>102</v>
      </c>
      <c r="K511">
        <v>0</v>
      </c>
      <c r="L511" s="15">
        <f t="shared" si="49"/>
        <v>360</v>
      </c>
      <c r="M511" s="15">
        <f t="shared" si="50"/>
        <v>399.6</v>
      </c>
      <c r="N511" s="15">
        <f t="shared" si="51"/>
        <v>39.600000000000023</v>
      </c>
      <c r="O511" s="10">
        <f t="shared" si="52"/>
        <v>0.11000000000000007</v>
      </c>
      <c r="P511" t="str">
        <f t="shared" si="53"/>
        <v>07</v>
      </c>
      <c r="Q511" t="str">
        <f t="shared" si="54"/>
        <v>Dec</v>
      </c>
      <c r="R511" t="str">
        <f t="shared" si="55"/>
        <v>2022</v>
      </c>
    </row>
    <row r="512" spans="1:18" x14ac:dyDescent="0.2">
      <c r="A512" s="1">
        <v>44906</v>
      </c>
      <c r="B512" t="s">
        <v>59</v>
      </c>
      <c r="C512" t="str">
        <f>_xlfn.XLOOKUP(B512,PRODUCT_MASTER!$A:$A,PRODUCT_MASTER!$B:$B,2,0)</f>
        <v>Product27</v>
      </c>
      <c r="D512" t="str">
        <f>_xlfn.XLOOKUP(B512,PRODUCT_MASTER!$A:$A,PRODUCT_MASTER!$C:$C,2,0)</f>
        <v>Cheese And Dairy</v>
      </c>
      <c r="E512" t="str">
        <f>_xlfn.XLOOKUP(B512,PRODUCT_MASTER!$A:$A,PRODUCT_MASTER!$D:$D,2,0)</f>
        <v>Lt</v>
      </c>
      <c r="F512">
        <f>_xlfn.XLOOKUP(B512,PRODUCT_MASTER!$A:$A,PRODUCT_MASTER!$E:$E,2,0)</f>
        <v>48</v>
      </c>
      <c r="G512">
        <f>_xlfn.XLOOKUP(B512,PRODUCT_MASTER!$A:$A,PRODUCT_MASTER!$F:$F,2,0)</f>
        <v>57.120000000000005</v>
      </c>
      <c r="H512">
        <v>5</v>
      </c>
      <c r="I512" t="s">
        <v>103</v>
      </c>
      <c r="J512" t="s">
        <v>101</v>
      </c>
      <c r="K512">
        <v>0</v>
      </c>
      <c r="L512" s="15">
        <f t="shared" si="49"/>
        <v>240</v>
      </c>
      <c r="M512" s="15">
        <f t="shared" si="50"/>
        <v>285.60000000000002</v>
      </c>
      <c r="N512" s="15">
        <f t="shared" si="51"/>
        <v>45.600000000000023</v>
      </c>
      <c r="O512" s="10">
        <f t="shared" si="52"/>
        <v>0.19000000000000009</v>
      </c>
      <c r="P512" t="str">
        <f t="shared" si="53"/>
        <v>11</v>
      </c>
      <c r="Q512" t="str">
        <f t="shared" si="54"/>
        <v>Dec</v>
      </c>
      <c r="R512" t="str">
        <f t="shared" si="55"/>
        <v>2022</v>
      </c>
    </row>
    <row r="513" spans="1:18" x14ac:dyDescent="0.2">
      <c r="A513" s="1">
        <v>44906</v>
      </c>
      <c r="B513" t="s">
        <v>31</v>
      </c>
      <c r="C513" t="str">
        <f>_xlfn.XLOOKUP(B513,PRODUCT_MASTER!$A:$A,PRODUCT_MASTER!$B:$B,2,0)</f>
        <v>Product13</v>
      </c>
      <c r="D513" t="str">
        <f>_xlfn.XLOOKUP(B513,PRODUCT_MASTER!$A:$A,PRODUCT_MASTER!$C:$C,2,0)</f>
        <v>Meat</v>
      </c>
      <c r="E513" t="str">
        <f>_xlfn.XLOOKUP(B513,PRODUCT_MASTER!$A:$A,PRODUCT_MASTER!$D:$D,2,0)</f>
        <v>Kg</v>
      </c>
      <c r="F513">
        <f>_xlfn.XLOOKUP(B513,PRODUCT_MASTER!$A:$A,PRODUCT_MASTER!$E:$E,2,0)</f>
        <v>112</v>
      </c>
      <c r="G513">
        <f>_xlfn.XLOOKUP(B513,PRODUCT_MASTER!$A:$A,PRODUCT_MASTER!$F:$F,2,0)</f>
        <v>122.08</v>
      </c>
      <c r="H513">
        <v>9</v>
      </c>
      <c r="I513" t="s">
        <v>100</v>
      </c>
      <c r="J513" t="s">
        <v>101</v>
      </c>
      <c r="K513">
        <v>0</v>
      </c>
      <c r="L513" s="15">
        <f t="shared" si="49"/>
        <v>1008</v>
      </c>
      <c r="M513" s="15">
        <f t="shared" si="50"/>
        <v>1098.72</v>
      </c>
      <c r="N513" s="15">
        <f t="shared" si="51"/>
        <v>90.720000000000027</v>
      </c>
      <c r="O513" s="10">
        <f t="shared" si="52"/>
        <v>9.0000000000000024E-2</v>
      </c>
      <c r="P513" t="str">
        <f t="shared" si="53"/>
        <v>11</v>
      </c>
      <c r="Q513" t="str">
        <f t="shared" si="54"/>
        <v>Dec</v>
      </c>
      <c r="R513" t="str">
        <f t="shared" si="55"/>
        <v>2022</v>
      </c>
    </row>
    <row r="514" spans="1:18" x14ac:dyDescent="0.2">
      <c r="A514" s="1">
        <v>44906</v>
      </c>
      <c r="B514" t="s">
        <v>33</v>
      </c>
      <c r="C514" t="str">
        <f>_xlfn.XLOOKUP(B514,PRODUCT_MASTER!$A:$A,PRODUCT_MASTER!$B:$B,2,0)</f>
        <v>Product14</v>
      </c>
      <c r="D514" t="str">
        <f>_xlfn.XLOOKUP(B514,PRODUCT_MASTER!$A:$A,PRODUCT_MASTER!$C:$C,2,0)</f>
        <v>Meat</v>
      </c>
      <c r="E514" t="str">
        <f>_xlfn.XLOOKUP(B514,PRODUCT_MASTER!$A:$A,PRODUCT_MASTER!$D:$D,2,0)</f>
        <v>Kg</v>
      </c>
      <c r="F514">
        <f>_xlfn.XLOOKUP(B514,PRODUCT_MASTER!$A:$A,PRODUCT_MASTER!$E:$E,2,0)</f>
        <v>112</v>
      </c>
      <c r="G514">
        <f>_xlfn.XLOOKUP(B514,PRODUCT_MASTER!$A:$A,PRODUCT_MASTER!$F:$F,2,0)</f>
        <v>146.72</v>
      </c>
      <c r="H514">
        <v>10</v>
      </c>
      <c r="I514" t="s">
        <v>101</v>
      </c>
      <c r="J514" t="s">
        <v>102</v>
      </c>
      <c r="K514">
        <v>0</v>
      </c>
      <c r="L514" s="15">
        <f t="shared" si="49"/>
        <v>1120</v>
      </c>
      <c r="M514" s="15">
        <f t="shared" si="50"/>
        <v>1467.2</v>
      </c>
      <c r="N514" s="15">
        <f t="shared" si="51"/>
        <v>347.20000000000005</v>
      </c>
      <c r="O514" s="10">
        <f t="shared" si="52"/>
        <v>0.31000000000000005</v>
      </c>
      <c r="P514" t="str">
        <f t="shared" si="53"/>
        <v>11</v>
      </c>
      <c r="Q514" t="str">
        <f t="shared" si="54"/>
        <v>Dec</v>
      </c>
      <c r="R514" t="str">
        <f t="shared" si="55"/>
        <v>2022</v>
      </c>
    </row>
    <row r="515" spans="1:18" x14ac:dyDescent="0.2">
      <c r="A515" s="1">
        <v>44907</v>
      </c>
      <c r="B515" t="s">
        <v>65</v>
      </c>
      <c r="C515" t="str">
        <f>_xlfn.XLOOKUP(B515,PRODUCT_MASTER!$A:$A,PRODUCT_MASTER!$B:$B,2,0)</f>
        <v>Product30</v>
      </c>
      <c r="D515" t="str">
        <f>_xlfn.XLOOKUP(B515,PRODUCT_MASTER!$A:$A,PRODUCT_MASTER!$C:$C,2,0)</f>
        <v>Cheese And Dairy</v>
      </c>
      <c r="E515" t="str">
        <f>_xlfn.XLOOKUP(B515,PRODUCT_MASTER!$A:$A,PRODUCT_MASTER!$D:$D,2,0)</f>
        <v>Ft</v>
      </c>
      <c r="F515">
        <f>_xlfn.XLOOKUP(B515,PRODUCT_MASTER!$A:$A,PRODUCT_MASTER!$E:$E,2,0)</f>
        <v>148</v>
      </c>
      <c r="G515">
        <f>_xlfn.XLOOKUP(B515,PRODUCT_MASTER!$A:$A,PRODUCT_MASTER!$F:$F,2,0)</f>
        <v>201.28</v>
      </c>
      <c r="H515">
        <v>9</v>
      </c>
      <c r="I515" t="s">
        <v>100</v>
      </c>
      <c r="J515" t="s">
        <v>102</v>
      </c>
      <c r="K515">
        <v>0</v>
      </c>
      <c r="L515" s="15">
        <f t="shared" ref="L515:L528" si="56">F515*H515</f>
        <v>1332</v>
      </c>
      <c r="M515" s="15">
        <f t="shared" ref="M515:M528" si="57">G515*H515</f>
        <v>1811.52</v>
      </c>
      <c r="N515" s="15">
        <f t="shared" ref="N515:N528" si="58">M515-L515</f>
        <v>479.52</v>
      </c>
      <c r="O515" s="10">
        <f t="shared" ref="O515:O528" si="59">N515/L515</f>
        <v>0.36</v>
      </c>
      <c r="P515" t="str">
        <f t="shared" ref="P515:P528" si="60">TEXT(A515,"DD")</f>
        <v>12</v>
      </c>
      <c r="Q515" t="str">
        <f t="shared" ref="Q515:Q528" si="61">TEXT(A515,"MMM")</f>
        <v>Dec</v>
      </c>
      <c r="R515" t="str">
        <f t="shared" ref="R515:R528" si="62">TEXT(A515,"YYYY")</f>
        <v>2022</v>
      </c>
    </row>
    <row r="516" spans="1:18" x14ac:dyDescent="0.2">
      <c r="A516" s="1">
        <v>44907</v>
      </c>
      <c r="B516" t="s">
        <v>87</v>
      </c>
      <c r="C516" t="str">
        <f>_xlfn.XLOOKUP(B516,PRODUCT_MASTER!$A:$A,PRODUCT_MASTER!$B:$B,2,0)</f>
        <v>Product41</v>
      </c>
      <c r="D516" t="str">
        <f>_xlfn.XLOOKUP(B516,PRODUCT_MASTER!$A:$A,PRODUCT_MASTER!$C:$C,2,0)</f>
        <v>Snacks</v>
      </c>
      <c r="E516" t="str">
        <f>_xlfn.XLOOKUP(B516,PRODUCT_MASTER!$A:$A,PRODUCT_MASTER!$D:$D,2,0)</f>
        <v>Ft</v>
      </c>
      <c r="F516">
        <f>_xlfn.XLOOKUP(B516,PRODUCT_MASTER!$A:$A,PRODUCT_MASTER!$E:$E,2,0)</f>
        <v>138</v>
      </c>
      <c r="G516">
        <f>_xlfn.XLOOKUP(B516,PRODUCT_MASTER!$A:$A,PRODUCT_MASTER!$F:$F,2,0)</f>
        <v>173.88</v>
      </c>
      <c r="H516">
        <v>10</v>
      </c>
      <c r="I516" t="s">
        <v>100</v>
      </c>
      <c r="J516" t="s">
        <v>101</v>
      </c>
      <c r="K516">
        <v>0</v>
      </c>
      <c r="L516" s="15">
        <f t="shared" si="56"/>
        <v>1380</v>
      </c>
      <c r="M516" s="15">
        <f t="shared" si="57"/>
        <v>1738.8</v>
      </c>
      <c r="N516" s="15">
        <f t="shared" si="58"/>
        <v>358.79999999999995</v>
      </c>
      <c r="O516" s="10">
        <f t="shared" si="59"/>
        <v>0.25999999999999995</v>
      </c>
      <c r="P516" t="str">
        <f t="shared" si="60"/>
        <v>12</v>
      </c>
      <c r="Q516" t="str">
        <f t="shared" si="61"/>
        <v>Dec</v>
      </c>
      <c r="R516" t="str">
        <f t="shared" si="62"/>
        <v>2022</v>
      </c>
    </row>
    <row r="517" spans="1:18" x14ac:dyDescent="0.2">
      <c r="A517" s="1">
        <v>44909</v>
      </c>
      <c r="B517" t="s">
        <v>15</v>
      </c>
      <c r="C517" t="str">
        <f>_xlfn.XLOOKUP(B517,PRODUCT_MASTER!$A:$A,PRODUCT_MASTER!$B:$B,2,0)</f>
        <v>Product05</v>
      </c>
      <c r="D517" t="str">
        <f>_xlfn.XLOOKUP(B517,PRODUCT_MASTER!$A:$A,PRODUCT_MASTER!$C:$C,2,0)</f>
        <v>Organic</v>
      </c>
      <c r="E517" t="str">
        <f>_xlfn.XLOOKUP(B517,PRODUCT_MASTER!$A:$A,PRODUCT_MASTER!$D:$D,2,0)</f>
        <v>Ft</v>
      </c>
      <c r="F517">
        <f>_xlfn.XLOOKUP(B517,PRODUCT_MASTER!$A:$A,PRODUCT_MASTER!$E:$E,2,0)</f>
        <v>133</v>
      </c>
      <c r="G517">
        <f>_xlfn.XLOOKUP(B517,PRODUCT_MASTER!$A:$A,PRODUCT_MASTER!$F:$F,2,0)</f>
        <v>155.61000000000001</v>
      </c>
      <c r="H517">
        <v>4</v>
      </c>
      <c r="I517" t="s">
        <v>103</v>
      </c>
      <c r="J517" t="s">
        <v>102</v>
      </c>
      <c r="K517">
        <v>0</v>
      </c>
      <c r="L517" s="15">
        <f t="shared" si="56"/>
        <v>532</v>
      </c>
      <c r="M517" s="15">
        <f t="shared" si="57"/>
        <v>622.44000000000005</v>
      </c>
      <c r="N517" s="15">
        <f t="shared" si="58"/>
        <v>90.440000000000055</v>
      </c>
      <c r="O517" s="10">
        <f t="shared" si="59"/>
        <v>0.1700000000000001</v>
      </c>
      <c r="P517" t="str">
        <f t="shared" si="60"/>
        <v>14</v>
      </c>
      <c r="Q517" t="str">
        <f t="shared" si="61"/>
        <v>Dec</v>
      </c>
      <c r="R517" t="str">
        <f t="shared" si="62"/>
        <v>2022</v>
      </c>
    </row>
    <row r="518" spans="1:18" x14ac:dyDescent="0.2">
      <c r="A518" s="1">
        <v>44910</v>
      </c>
      <c r="B518" t="s">
        <v>23</v>
      </c>
      <c r="C518" t="str">
        <f>_xlfn.XLOOKUP(B518,PRODUCT_MASTER!$A:$A,PRODUCT_MASTER!$B:$B,2,0)</f>
        <v>Product09</v>
      </c>
      <c r="D518" t="str">
        <f>_xlfn.XLOOKUP(B518,PRODUCT_MASTER!$A:$A,PRODUCT_MASTER!$C:$C,2,0)</f>
        <v>Gourmet Foods</v>
      </c>
      <c r="E518" t="str">
        <f>_xlfn.XLOOKUP(B518,PRODUCT_MASTER!$A:$A,PRODUCT_MASTER!$D:$D,2,0)</f>
        <v>No.</v>
      </c>
      <c r="F518">
        <f>_xlfn.XLOOKUP(B518,PRODUCT_MASTER!$A:$A,PRODUCT_MASTER!$E:$E,2,0)</f>
        <v>6</v>
      </c>
      <c r="G518">
        <f>_xlfn.XLOOKUP(B518,PRODUCT_MASTER!$A:$A,PRODUCT_MASTER!$F:$F,2,0)</f>
        <v>7.8599999999999994</v>
      </c>
      <c r="H518">
        <v>13</v>
      </c>
      <c r="I518" t="s">
        <v>103</v>
      </c>
      <c r="J518" t="s">
        <v>101</v>
      </c>
      <c r="K518">
        <v>0</v>
      </c>
      <c r="L518" s="15">
        <f t="shared" si="56"/>
        <v>78</v>
      </c>
      <c r="M518" s="15">
        <f t="shared" si="57"/>
        <v>102.17999999999999</v>
      </c>
      <c r="N518" s="15">
        <f t="shared" si="58"/>
        <v>24.179999999999993</v>
      </c>
      <c r="O518" s="10">
        <f t="shared" si="59"/>
        <v>0.30999999999999989</v>
      </c>
      <c r="P518" t="str">
        <f t="shared" si="60"/>
        <v>15</v>
      </c>
      <c r="Q518" t="str">
        <f t="shared" si="61"/>
        <v>Dec</v>
      </c>
      <c r="R518" t="str">
        <f t="shared" si="62"/>
        <v>2022</v>
      </c>
    </row>
    <row r="519" spans="1:18" x14ac:dyDescent="0.2">
      <c r="A519" s="1">
        <v>44914</v>
      </c>
      <c r="B519" t="s">
        <v>93</v>
      </c>
      <c r="C519" t="str">
        <f>_xlfn.XLOOKUP(B519,PRODUCT_MASTER!$A:$A,PRODUCT_MASTER!$B:$B,2,0)</f>
        <v>Product44</v>
      </c>
      <c r="D519" t="str">
        <f>_xlfn.XLOOKUP(B519,PRODUCT_MASTER!$A:$A,PRODUCT_MASTER!$C:$C,2,0)</f>
        <v>Candy</v>
      </c>
      <c r="E519" t="str">
        <f>_xlfn.XLOOKUP(B519,PRODUCT_MASTER!$A:$A,PRODUCT_MASTER!$D:$D,2,0)</f>
        <v>Kg</v>
      </c>
      <c r="F519">
        <f>_xlfn.XLOOKUP(B519,PRODUCT_MASTER!$A:$A,PRODUCT_MASTER!$E:$E,2,0)</f>
        <v>76</v>
      </c>
      <c r="G519">
        <f>_xlfn.XLOOKUP(B519,PRODUCT_MASTER!$A:$A,PRODUCT_MASTER!$F:$F,2,0)</f>
        <v>82.08</v>
      </c>
      <c r="H519">
        <v>7</v>
      </c>
      <c r="I519" t="s">
        <v>103</v>
      </c>
      <c r="J519" t="s">
        <v>101</v>
      </c>
      <c r="K519">
        <v>0</v>
      </c>
      <c r="L519" s="15">
        <f t="shared" si="56"/>
        <v>532</v>
      </c>
      <c r="M519" s="15">
        <f t="shared" si="57"/>
        <v>574.55999999999995</v>
      </c>
      <c r="N519" s="15">
        <f t="shared" si="58"/>
        <v>42.559999999999945</v>
      </c>
      <c r="O519" s="10">
        <f t="shared" si="59"/>
        <v>7.9999999999999891E-2</v>
      </c>
      <c r="P519" t="str">
        <f t="shared" si="60"/>
        <v>19</v>
      </c>
      <c r="Q519" t="str">
        <f t="shared" si="61"/>
        <v>Dec</v>
      </c>
      <c r="R519" t="str">
        <f t="shared" si="62"/>
        <v>2022</v>
      </c>
    </row>
    <row r="520" spans="1:18" x14ac:dyDescent="0.2">
      <c r="A520" s="1">
        <v>44914</v>
      </c>
      <c r="B520" t="s">
        <v>27</v>
      </c>
      <c r="C520" t="str">
        <f>_xlfn.XLOOKUP(B520,PRODUCT_MASTER!$A:$A,PRODUCT_MASTER!$B:$B,2,0)</f>
        <v>Product11</v>
      </c>
      <c r="D520" t="str">
        <f>_xlfn.XLOOKUP(B520,PRODUCT_MASTER!$A:$A,PRODUCT_MASTER!$C:$C,2,0)</f>
        <v>Gourmet Foods</v>
      </c>
      <c r="E520" t="str">
        <f>_xlfn.XLOOKUP(B520,PRODUCT_MASTER!$A:$A,PRODUCT_MASTER!$D:$D,2,0)</f>
        <v>Lt</v>
      </c>
      <c r="F520">
        <f>_xlfn.XLOOKUP(B520,PRODUCT_MASTER!$A:$A,PRODUCT_MASTER!$E:$E,2,0)</f>
        <v>44</v>
      </c>
      <c r="G520">
        <f>_xlfn.XLOOKUP(B520,PRODUCT_MASTER!$A:$A,PRODUCT_MASTER!$F:$F,2,0)</f>
        <v>48.4</v>
      </c>
      <c r="H520">
        <v>14</v>
      </c>
      <c r="I520" t="s">
        <v>103</v>
      </c>
      <c r="J520" t="s">
        <v>102</v>
      </c>
      <c r="K520">
        <v>0</v>
      </c>
      <c r="L520" s="15">
        <f t="shared" si="56"/>
        <v>616</v>
      </c>
      <c r="M520" s="15">
        <f t="shared" si="57"/>
        <v>677.6</v>
      </c>
      <c r="N520" s="15">
        <f t="shared" si="58"/>
        <v>61.600000000000023</v>
      </c>
      <c r="O520" s="10">
        <f t="shared" si="59"/>
        <v>0.10000000000000003</v>
      </c>
      <c r="P520" t="str">
        <f t="shared" si="60"/>
        <v>19</v>
      </c>
      <c r="Q520" t="str">
        <f t="shared" si="61"/>
        <v>Dec</v>
      </c>
      <c r="R520" t="str">
        <f t="shared" si="62"/>
        <v>2022</v>
      </c>
    </row>
    <row r="521" spans="1:18" x14ac:dyDescent="0.2">
      <c r="A521" s="1">
        <v>44914</v>
      </c>
      <c r="B521" t="s">
        <v>23</v>
      </c>
      <c r="C521" t="str">
        <f>_xlfn.XLOOKUP(B521,PRODUCT_MASTER!$A:$A,PRODUCT_MASTER!$B:$B,2,0)</f>
        <v>Product09</v>
      </c>
      <c r="D521" t="str">
        <f>_xlfn.XLOOKUP(B521,PRODUCT_MASTER!$A:$A,PRODUCT_MASTER!$C:$C,2,0)</f>
        <v>Gourmet Foods</v>
      </c>
      <c r="E521" t="str">
        <f>_xlfn.XLOOKUP(B521,PRODUCT_MASTER!$A:$A,PRODUCT_MASTER!$D:$D,2,0)</f>
        <v>No.</v>
      </c>
      <c r="F521">
        <f>_xlfn.XLOOKUP(B521,PRODUCT_MASTER!$A:$A,PRODUCT_MASTER!$E:$E,2,0)</f>
        <v>6</v>
      </c>
      <c r="G521">
        <f>_xlfn.XLOOKUP(B521,PRODUCT_MASTER!$A:$A,PRODUCT_MASTER!$F:$F,2,0)</f>
        <v>7.8599999999999994</v>
      </c>
      <c r="H521">
        <v>11</v>
      </c>
      <c r="I521" t="s">
        <v>101</v>
      </c>
      <c r="J521" t="s">
        <v>101</v>
      </c>
      <c r="K521">
        <v>0</v>
      </c>
      <c r="L521" s="15">
        <f t="shared" si="56"/>
        <v>66</v>
      </c>
      <c r="M521" s="15">
        <f t="shared" si="57"/>
        <v>86.46</v>
      </c>
      <c r="N521" s="15">
        <f t="shared" si="58"/>
        <v>20.459999999999994</v>
      </c>
      <c r="O521" s="10">
        <f t="shared" si="59"/>
        <v>0.30999999999999989</v>
      </c>
      <c r="P521" t="str">
        <f t="shared" si="60"/>
        <v>19</v>
      </c>
      <c r="Q521" t="str">
        <f t="shared" si="61"/>
        <v>Dec</v>
      </c>
      <c r="R521" t="str">
        <f t="shared" si="62"/>
        <v>2022</v>
      </c>
    </row>
    <row r="522" spans="1:18" x14ac:dyDescent="0.2">
      <c r="A522" s="1">
        <v>44916</v>
      </c>
      <c r="B522" t="s">
        <v>17</v>
      </c>
      <c r="C522" t="str">
        <f>_xlfn.XLOOKUP(B522,PRODUCT_MASTER!$A:$A,PRODUCT_MASTER!$B:$B,2,0)</f>
        <v>Product06</v>
      </c>
      <c r="D522" t="str">
        <f>_xlfn.XLOOKUP(B522,PRODUCT_MASTER!$A:$A,PRODUCT_MASTER!$C:$C,2,0)</f>
        <v>Gourmet Foods</v>
      </c>
      <c r="E522" t="str">
        <f>_xlfn.XLOOKUP(B522,PRODUCT_MASTER!$A:$A,PRODUCT_MASTER!$D:$D,2,0)</f>
        <v>Kg</v>
      </c>
      <c r="F522">
        <f>_xlfn.XLOOKUP(B522,PRODUCT_MASTER!$A:$A,PRODUCT_MASTER!$E:$E,2,0)</f>
        <v>75</v>
      </c>
      <c r="G522">
        <f>_xlfn.XLOOKUP(B522,PRODUCT_MASTER!$A:$A,PRODUCT_MASTER!$F:$F,2,0)</f>
        <v>85.5</v>
      </c>
      <c r="H522">
        <v>10</v>
      </c>
      <c r="I522" t="s">
        <v>103</v>
      </c>
      <c r="J522" t="s">
        <v>101</v>
      </c>
      <c r="K522">
        <v>0</v>
      </c>
      <c r="L522" s="15">
        <f t="shared" si="56"/>
        <v>750</v>
      </c>
      <c r="M522" s="15">
        <f t="shared" si="57"/>
        <v>855</v>
      </c>
      <c r="N522" s="15">
        <f t="shared" si="58"/>
        <v>105</v>
      </c>
      <c r="O522" s="10">
        <f t="shared" si="59"/>
        <v>0.14000000000000001</v>
      </c>
      <c r="P522" t="str">
        <f t="shared" si="60"/>
        <v>21</v>
      </c>
      <c r="Q522" t="str">
        <f t="shared" si="61"/>
        <v>Dec</v>
      </c>
      <c r="R522" t="str">
        <f t="shared" si="62"/>
        <v>2022</v>
      </c>
    </row>
    <row r="523" spans="1:18" x14ac:dyDescent="0.2">
      <c r="A523" s="1">
        <v>44924</v>
      </c>
      <c r="B523" t="s">
        <v>21</v>
      </c>
      <c r="C523" t="str">
        <f>_xlfn.XLOOKUP(B523,PRODUCT_MASTER!$A:$A,PRODUCT_MASTER!$B:$B,2,0)</f>
        <v>Product08</v>
      </c>
      <c r="D523" t="str">
        <f>_xlfn.XLOOKUP(B523,PRODUCT_MASTER!$A:$A,PRODUCT_MASTER!$C:$C,2,0)</f>
        <v>Gourmet Foods</v>
      </c>
      <c r="E523" t="str">
        <f>_xlfn.XLOOKUP(B523,PRODUCT_MASTER!$A:$A,PRODUCT_MASTER!$D:$D,2,0)</f>
        <v>Kg</v>
      </c>
      <c r="F523">
        <f>_xlfn.XLOOKUP(B523,PRODUCT_MASTER!$A:$A,PRODUCT_MASTER!$E:$E,2,0)</f>
        <v>83</v>
      </c>
      <c r="G523">
        <f>_xlfn.XLOOKUP(B523,PRODUCT_MASTER!$A:$A,PRODUCT_MASTER!$F:$F,2,0)</f>
        <v>94.62</v>
      </c>
      <c r="H523">
        <v>15</v>
      </c>
      <c r="I523" t="s">
        <v>103</v>
      </c>
      <c r="J523" t="s">
        <v>101</v>
      </c>
      <c r="K523">
        <v>0</v>
      </c>
      <c r="L523" s="15">
        <f t="shared" si="56"/>
        <v>1245</v>
      </c>
      <c r="M523" s="15">
        <f t="shared" si="57"/>
        <v>1419.3000000000002</v>
      </c>
      <c r="N523" s="15">
        <f t="shared" si="58"/>
        <v>174.30000000000018</v>
      </c>
      <c r="O523" s="10">
        <f t="shared" si="59"/>
        <v>0.14000000000000015</v>
      </c>
      <c r="P523" t="str">
        <f t="shared" si="60"/>
        <v>29</v>
      </c>
      <c r="Q523" t="str">
        <f t="shared" si="61"/>
        <v>Dec</v>
      </c>
      <c r="R523" t="str">
        <f t="shared" si="62"/>
        <v>2022</v>
      </c>
    </row>
    <row r="524" spans="1:18" x14ac:dyDescent="0.2">
      <c r="A524" s="1">
        <v>44924</v>
      </c>
      <c r="B524" t="s">
        <v>89</v>
      </c>
      <c r="C524" t="str">
        <f>_xlfn.XLOOKUP(B524,PRODUCT_MASTER!$A:$A,PRODUCT_MASTER!$B:$B,2,0)</f>
        <v>Product42</v>
      </c>
      <c r="D524" t="str">
        <f>_xlfn.XLOOKUP(B524,PRODUCT_MASTER!$A:$A,PRODUCT_MASTER!$C:$C,2,0)</f>
        <v>Candy</v>
      </c>
      <c r="E524" t="str">
        <f>_xlfn.XLOOKUP(B524,PRODUCT_MASTER!$A:$A,PRODUCT_MASTER!$D:$D,2,0)</f>
        <v>Ft</v>
      </c>
      <c r="F524">
        <f>_xlfn.XLOOKUP(B524,PRODUCT_MASTER!$A:$A,PRODUCT_MASTER!$E:$E,2,0)</f>
        <v>120</v>
      </c>
      <c r="G524">
        <f>_xlfn.XLOOKUP(B524,PRODUCT_MASTER!$A:$A,PRODUCT_MASTER!$F:$F,2,0)</f>
        <v>162</v>
      </c>
      <c r="H524">
        <v>1</v>
      </c>
      <c r="I524" t="s">
        <v>100</v>
      </c>
      <c r="J524" t="s">
        <v>102</v>
      </c>
      <c r="K524">
        <v>0</v>
      </c>
      <c r="L524" s="15">
        <f t="shared" si="56"/>
        <v>120</v>
      </c>
      <c r="M524" s="15">
        <f t="shared" si="57"/>
        <v>162</v>
      </c>
      <c r="N524" s="15">
        <f t="shared" si="58"/>
        <v>42</v>
      </c>
      <c r="O524" s="10">
        <f t="shared" si="59"/>
        <v>0.35</v>
      </c>
      <c r="P524" t="str">
        <f t="shared" si="60"/>
        <v>29</v>
      </c>
      <c r="Q524" t="str">
        <f t="shared" si="61"/>
        <v>Dec</v>
      </c>
      <c r="R524" t="str">
        <f t="shared" si="62"/>
        <v>2022</v>
      </c>
    </row>
    <row r="525" spans="1:18" x14ac:dyDescent="0.2">
      <c r="A525" s="1">
        <v>44925</v>
      </c>
      <c r="B525" t="s">
        <v>87</v>
      </c>
      <c r="C525" t="str">
        <f>_xlfn.XLOOKUP(B525,PRODUCT_MASTER!$A:$A,PRODUCT_MASTER!$B:$B,2,0)</f>
        <v>Product41</v>
      </c>
      <c r="D525" t="str">
        <f>_xlfn.XLOOKUP(B525,PRODUCT_MASTER!$A:$A,PRODUCT_MASTER!$C:$C,2,0)</f>
        <v>Snacks</v>
      </c>
      <c r="E525" t="str">
        <f>_xlfn.XLOOKUP(B525,PRODUCT_MASTER!$A:$A,PRODUCT_MASTER!$D:$D,2,0)</f>
        <v>Ft</v>
      </c>
      <c r="F525">
        <f>_xlfn.XLOOKUP(B525,PRODUCT_MASTER!$A:$A,PRODUCT_MASTER!$E:$E,2,0)</f>
        <v>138</v>
      </c>
      <c r="G525">
        <f>_xlfn.XLOOKUP(B525,PRODUCT_MASTER!$A:$A,PRODUCT_MASTER!$F:$F,2,0)</f>
        <v>173.88</v>
      </c>
      <c r="H525">
        <v>14</v>
      </c>
      <c r="I525" t="s">
        <v>103</v>
      </c>
      <c r="J525" t="s">
        <v>101</v>
      </c>
      <c r="K525">
        <v>0</v>
      </c>
      <c r="L525" s="15">
        <f t="shared" si="56"/>
        <v>1932</v>
      </c>
      <c r="M525" s="15">
        <f t="shared" si="57"/>
        <v>2434.3199999999997</v>
      </c>
      <c r="N525" s="15">
        <f t="shared" si="58"/>
        <v>502.31999999999971</v>
      </c>
      <c r="O525" s="10">
        <f t="shared" si="59"/>
        <v>0.25999999999999984</v>
      </c>
      <c r="P525" t="str">
        <f t="shared" si="60"/>
        <v>30</v>
      </c>
      <c r="Q525" t="str">
        <f t="shared" si="61"/>
        <v>Dec</v>
      </c>
      <c r="R525" t="str">
        <f t="shared" si="62"/>
        <v>2022</v>
      </c>
    </row>
    <row r="526" spans="1:18" x14ac:dyDescent="0.2">
      <c r="A526" s="1">
        <v>44926</v>
      </c>
      <c r="B526" t="s">
        <v>71</v>
      </c>
      <c r="C526" t="str">
        <f>_xlfn.XLOOKUP(B526,PRODUCT_MASTER!$A:$A,PRODUCT_MASTER!$B:$B,2,0)</f>
        <v>Product33</v>
      </c>
      <c r="D526" t="str">
        <f>_xlfn.XLOOKUP(B526,PRODUCT_MASTER!$A:$A,PRODUCT_MASTER!$C:$C,2,0)</f>
        <v>Bakery And Desserts</v>
      </c>
      <c r="E526" t="str">
        <f>_xlfn.XLOOKUP(B526,PRODUCT_MASTER!$A:$A,PRODUCT_MASTER!$D:$D,2,0)</f>
        <v>Kg</v>
      </c>
      <c r="F526">
        <f>_xlfn.XLOOKUP(B526,PRODUCT_MASTER!$A:$A,PRODUCT_MASTER!$E:$E,2,0)</f>
        <v>95</v>
      </c>
      <c r="G526">
        <f>_xlfn.XLOOKUP(B526,PRODUCT_MASTER!$A:$A,PRODUCT_MASTER!$F:$F,2,0)</f>
        <v>119.7</v>
      </c>
      <c r="H526">
        <v>12</v>
      </c>
      <c r="I526" t="s">
        <v>101</v>
      </c>
      <c r="J526" t="s">
        <v>101</v>
      </c>
      <c r="K526">
        <v>0</v>
      </c>
      <c r="L526" s="15">
        <f t="shared" si="56"/>
        <v>1140</v>
      </c>
      <c r="M526" s="15">
        <f t="shared" si="57"/>
        <v>1436.4</v>
      </c>
      <c r="N526" s="15">
        <f t="shared" si="58"/>
        <v>296.40000000000009</v>
      </c>
      <c r="O526" s="10">
        <f t="shared" si="59"/>
        <v>0.26000000000000006</v>
      </c>
      <c r="P526" t="str">
        <f t="shared" si="60"/>
        <v>31</v>
      </c>
      <c r="Q526" t="str">
        <f t="shared" si="61"/>
        <v>Dec</v>
      </c>
      <c r="R526" t="str">
        <f t="shared" si="62"/>
        <v>2022</v>
      </c>
    </row>
    <row r="527" spans="1:18" x14ac:dyDescent="0.2">
      <c r="A527" s="1">
        <v>44926</v>
      </c>
      <c r="B527" t="s">
        <v>27</v>
      </c>
      <c r="C527" t="str">
        <f>_xlfn.XLOOKUP(B527,PRODUCT_MASTER!$A:$A,PRODUCT_MASTER!$B:$B,2,0)</f>
        <v>Product11</v>
      </c>
      <c r="D527" t="str">
        <f>_xlfn.XLOOKUP(B527,PRODUCT_MASTER!$A:$A,PRODUCT_MASTER!$C:$C,2,0)</f>
        <v>Gourmet Foods</v>
      </c>
      <c r="E527" t="str">
        <f>_xlfn.XLOOKUP(B527,PRODUCT_MASTER!$A:$A,PRODUCT_MASTER!$D:$D,2,0)</f>
        <v>Lt</v>
      </c>
      <c r="F527">
        <f>_xlfn.XLOOKUP(B527,PRODUCT_MASTER!$A:$A,PRODUCT_MASTER!$E:$E,2,0)</f>
        <v>44</v>
      </c>
      <c r="G527">
        <f>_xlfn.XLOOKUP(B527,PRODUCT_MASTER!$A:$A,PRODUCT_MASTER!$F:$F,2,0)</f>
        <v>48.4</v>
      </c>
      <c r="H527">
        <v>6</v>
      </c>
      <c r="I527" t="s">
        <v>101</v>
      </c>
      <c r="J527" t="s">
        <v>101</v>
      </c>
      <c r="K527">
        <v>0</v>
      </c>
      <c r="L527" s="15">
        <f t="shared" si="56"/>
        <v>264</v>
      </c>
      <c r="M527" s="15">
        <f t="shared" si="57"/>
        <v>290.39999999999998</v>
      </c>
      <c r="N527" s="15">
        <f t="shared" si="58"/>
        <v>26.399999999999977</v>
      </c>
      <c r="O527" s="10">
        <f t="shared" si="59"/>
        <v>9.9999999999999908E-2</v>
      </c>
      <c r="P527" t="str">
        <f t="shared" si="60"/>
        <v>31</v>
      </c>
      <c r="Q527" t="str">
        <f t="shared" si="61"/>
        <v>Dec</v>
      </c>
      <c r="R527" t="str">
        <f t="shared" si="62"/>
        <v>2022</v>
      </c>
    </row>
    <row r="528" spans="1:18" x14ac:dyDescent="0.2">
      <c r="A528" s="1">
        <v>44926</v>
      </c>
      <c r="B528" t="s">
        <v>27</v>
      </c>
      <c r="C528" t="str">
        <f>_xlfn.XLOOKUP(B528,PRODUCT_MASTER!$A:$A,PRODUCT_MASTER!$B:$B,2,0)</f>
        <v>Product11</v>
      </c>
      <c r="D528" t="str">
        <f>_xlfn.XLOOKUP(B528,PRODUCT_MASTER!$A:$A,PRODUCT_MASTER!$C:$C,2,0)</f>
        <v>Gourmet Foods</v>
      </c>
      <c r="E528" t="str">
        <f>_xlfn.XLOOKUP(B528,PRODUCT_MASTER!$A:$A,PRODUCT_MASTER!$D:$D,2,0)</f>
        <v>Lt</v>
      </c>
      <c r="F528">
        <f>_xlfn.XLOOKUP(B528,PRODUCT_MASTER!$A:$A,PRODUCT_MASTER!$E:$E,2,0)</f>
        <v>44</v>
      </c>
      <c r="G528">
        <f>_xlfn.XLOOKUP(B528,PRODUCT_MASTER!$A:$A,PRODUCT_MASTER!$F:$F,2,0)</f>
        <v>48.4</v>
      </c>
      <c r="H528">
        <v>3</v>
      </c>
      <c r="I528" t="s">
        <v>100</v>
      </c>
      <c r="J528" t="s">
        <v>102</v>
      </c>
      <c r="K528">
        <v>0</v>
      </c>
      <c r="L528" s="15">
        <f t="shared" si="56"/>
        <v>132</v>
      </c>
      <c r="M528" s="15">
        <f t="shared" si="57"/>
        <v>145.19999999999999</v>
      </c>
      <c r="N528" s="15">
        <f t="shared" si="58"/>
        <v>13.199999999999989</v>
      </c>
      <c r="O528" s="10">
        <f t="shared" si="59"/>
        <v>9.9999999999999908E-2</v>
      </c>
      <c r="P528" t="str">
        <f t="shared" si="60"/>
        <v>31</v>
      </c>
      <c r="Q528" t="str">
        <f t="shared" si="61"/>
        <v>Dec</v>
      </c>
      <c r="R528" t="str">
        <f t="shared" si="62"/>
        <v>2022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8F6A-1AD1-46A3-A975-9C1998E04CEE}">
  <sheetPr codeName="Sheet1">
    <tabColor rgb="FF7030A0"/>
  </sheetPr>
  <dimension ref="B1:BJ48"/>
  <sheetViews>
    <sheetView topLeftCell="AM1" workbookViewId="0">
      <selection activeCell="AT29" sqref="AT29"/>
    </sheetView>
  </sheetViews>
  <sheetFormatPr baseColWidth="10" defaultColWidth="8.83203125" defaultRowHeight="15" x14ac:dyDescent="0.2"/>
  <cols>
    <col min="2" max="2" width="12" bestFit="1" customWidth="1"/>
    <col min="3" max="3" width="12.83203125" bestFit="1" customWidth="1"/>
    <col min="4" max="4" width="9.83203125" bestFit="1" customWidth="1"/>
    <col min="5" max="5" width="25.5" bestFit="1" customWidth="1"/>
    <col min="6" max="6" width="15.83203125" bestFit="1" customWidth="1"/>
    <col min="10" max="10" width="12.5" bestFit="1" customWidth="1"/>
    <col min="11" max="11" width="12" bestFit="1" customWidth="1"/>
    <col min="12" max="12" width="12.83203125" bestFit="1" customWidth="1"/>
    <col min="13" max="13" width="9.83203125" bestFit="1" customWidth="1"/>
    <col min="15" max="15" width="10.5" bestFit="1" customWidth="1"/>
    <col min="17" max="17" width="15.83203125" bestFit="1" customWidth="1"/>
    <col min="18" max="18" width="15.5" customWidth="1"/>
    <col min="20" max="20" width="12.5" bestFit="1" customWidth="1"/>
    <col min="21" max="21" width="12" bestFit="1" customWidth="1"/>
    <col min="22" max="22" width="9.83203125" bestFit="1" customWidth="1"/>
    <col min="23" max="23" width="12" customWidth="1"/>
    <col min="24" max="24" width="25.83203125" customWidth="1"/>
    <col min="26" max="26" width="12.5" bestFit="1" customWidth="1"/>
    <col min="27" max="27" width="12" bestFit="1" customWidth="1"/>
    <col min="29" max="29" width="19.6640625" bestFit="1" customWidth="1"/>
    <col min="32" max="32" width="12.5" bestFit="1" customWidth="1"/>
    <col min="33" max="33" width="12" bestFit="1" customWidth="1"/>
    <col min="35" max="35" width="10.33203125" bestFit="1" customWidth="1"/>
    <col min="36" max="36" width="12" bestFit="1" customWidth="1"/>
    <col min="41" max="41" width="12.5" bestFit="1" customWidth="1"/>
    <col min="42" max="42" width="12" bestFit="1" customWidth="1"/>
    <col min="47" max="47" width="17.6640625" bestFit="1" customWidth="1"/>
    <col min="48" max="48" width="12" bestFit="1" customWidth="1"/>
    <col min="50" max="50" width="13.5" customWidth="1"/>
    <col min="51" max="51" width="13.33203125" customWidth="1"/>
    <col min="54" max="54" width="12.5" bestFit="1" customWidth="1"/>
    <col min="55" max="55" width="12" bestFit="1" customWidth="1"/>
    <col min="58" max="58" width="12" bestFit="1" customWidth="1"/>
  </cols>
  <sheetData>
    <row r="1" spans="2:62" x14ac:dyDescent="0.2">
      <c r="B1" s="24" t="s">
        <v>146</v>
      </c>
      <c r="C1" s="24"/>
      <c r="D1" s="24"/>
      <c r="E1" s="25" t="s">
        <v>150</v>
      </c>
      <c r="F1" s="25"/>
      <c r="G1" s="25"/>
      <c r="J1" s="26" t="s">
        <v>151</v>
      </c>
      <c r="K1" s="26"/>
      <c r="L1" s="26"/>
      <c r="M1" s="26"/>
      <c r="O1" s="26" t="s">
        <v>188</v>
      </c>
      <c r="P1" s="26"/>
      <c r="Q1" s="26"/>
      <c r="R1" s="26"/>
      <c r="T1" s="26" t="s">
        <v>186</v>
      </c>
      <c r="U1" s="26"/>
      <c r="V1" s="18"/>
      <c r="W1" s="26" t="s">
        <v>187</v>
      </c>
      <c r="X1" s="26"/>
      <c r="Z1" s="23" t="s">
        <v>191</v>
      </c>
      <c r="AA1" s="23"/>
      <c r="AC1" s="20" t="s">
        <v>190</v>
      </c>
      <c r="AF1" s="23" t="s">
        <v>193</v>
      </c>
      <c r="AG1" s="23"/>
      <c r="AI1" s="23" t="s">
        <v>194</v>
      </c>
      <c r="AJ1" s="23"/>
      <c r="AL1" s="23" t="s">
        <v>196</v>
      </c>
      <c r="AM1" s="23"/>
      <c r="AO1" s="23" t="s">
        <v>197</v>
      </c>
      <c r="AP1" s="23"/>
      <c r="AR1" s="23" t="s">
        <v>198</v>
      </c>
      <c r="AS1" s="23"/>
      <c r="AU1" s="23" t="s">
        <v>199</v>
      </c>
      <c r="AV1" s="23"/>
      <c r="AX1" s="23" t="s">
        <v>200</v>
      </c>
      <c r="AY1" s="23"/>
      <c r="BB1" s="27" t="s">
        <v>201</v>
      </c>
      <c r="BC1" s="27"/>
      <c r="BE1" s="23" t="s">
        <v>204</v>
      </c>
      <c r="BF1" s="23"/>
      <c r="BI1" s="23" t="s">
        <v>202</v>
      </c>
      <c r="BJ1" s="23"/>
    </row>
    <row r="2" spans="2:62" x14ac:dyDescent="0.2">
      <c r="P2" t="s">
        <v>153</v>
      </c>
      <c r="Q2" t="s">
        <v>152</v>
      </c>
      <c r="R2" t="s">
        <v>154</v>
      </c>
      <c r="AL2">
        <v>1</v>
      </c>
      <c r="AM2" t="s">
        <v>195</v>
      </c>
      <c r="AX2">
        <v>1</v>
      </c>
      <c r="AY2" s="7">
        <f>_xlfn.XLOOKUP(AX2,AZ5:AZ13,AY5:AY13,1,0)</f>
        <v>52806.25</v>
      </c>
      <c r="BE2">
        <v>1</v>
      </c>
      <c r="BF2" s="7">
        <f>_xlfn.XLOOKUP(BE2,BG5:BG48,BF5:BF48,1,0)</f>
        <v>22952.16</v>
      </c>
    </row>
    <row r="3" spans="2:62" x14ac:dyDescent="0.2">
      <c r="P3" t="b">
        <v>1</v>
      </c>
      <c r="Q3" t="b">
        <v>1</v>
      </c>
      <c r="R3" t="b">
        <v>1</v>
      </c>
      <c r="AM3">
        <f>COUNTA(_xlfn.UNIQUE(PRODUCT_MASTER!B:B))-2</f>
        <v>45</v>
      </c>
      <c r="AX3">
        <v>1</v>
      </c>
      <c r="AY3" t="str">
        <f>_xlfn.XLOOKUP(AX3,AZ5:AZ13,AX5:AX13,1,0)</f>
        <v>Poultry</v>
      </c>
      <c r="BE3">
        <v>1</v>
      </c>
      <c r="BF3" t="str">
        <f>_xlfn.XLOOKUP(BE3,BG5:BG48,BE5:BE48,1,0)</f>
        <v>Product41</v>
      </c>
    </row>
    <row r="4" spans="2:62" x14ac:dyDescent="0.2">
      <c r="B4" t="s">
        <v>136</v>
      </c>
      <c r="C4" t="s">
        <v>137</v>
      </c>
      <c r="D4" t="s">
        <v>145</v>
      </c>
      <c r="E4" s="11" t="s">
        <v>148</v>
      </c>
      <c r="F4" s="11" t="s">
        <v>149</v>
      </c>
      <c r="G4" s="11" t="s">
        <v>147</v>
      </c>
      <c r="J4" s="8" t="s">
        <v>114</v>
      </c>
      <c r="K4" t="s">
        <v>136</v>
      </c>
      <c r="L4" t="s">
        <v>137</v>
      </c>
      <c r="M4" t="s">
        <v>145</v>
      </c>
      <c r="O4" t="str" cm="1">
        <f t="array" ref="O4:O16">J4:J16</f>
        <v>Row Labels</v>
      </c>
      <c r="P4" s="11" t="s">
        <v>148</v>
      </c>
      <c r="Q4" s="11" t="s">
        <v>149</v>
      </c>
      <c r="R4" s="11" t="s">
        <v>147</v>
      </c>
      <c r="T4" s="8" t="s">
        <v>114</v>
      </c>
      <c r="U4" t="s">
        <v>136</v>
      </c>
      <c r="W4" s="11" t="s">
        <v>189</v>
      </c>
      <c r="X4" s="11" t="s">
        <v>148</v>
      </c>
      <c r="Z4" s="8" t="s">
        <v>114</v>
      </c>
      <c r="AA4" t="s">
        <v>136</v>
      </c>
      <c r="AC4" s="11" t="s">
        <v>192</v>
      </c>
      <c r="AD4" s="11" t="s">
        <v>136</v>
      </c>
      <c r="AF4" s="8" t="s">
        <v>114</v>
      </c>
      <c r="AG4" t="s">
        <v>136</v>
      </c>
      <c r="AI4" s="11" t="str" cm="1">
        <f t="array" ref="AI4:AI48">AF4:AF48</f>
        <v>Row Labels</v>
      </c>
      <c r="AJ4" s="11" t="s">
        <v>136</v>
      </c>
      <c r="AL4" s="11" t="s">
        <v>1</v>
      </c>
      <c r="AM4" s="11" t="s">
        <v>136</v>
      </c>
      <c r="AO4" s="8" t="s">
        <v>114</v>
      </c>
      <c r="AP4" t="s">
        <v>136</v>
      </c>
      <c r="AR4" s="11" t="str" cm="1">
        <f t="array" ref="AR4:AR6">AO4:AO6</f>
        <v>Row Labels</v>
      </c>
      <c r="AS4" s="11" t="s">
        <v>136</v>
      </c>
      <c r="AU4" s="8" t="s">
        <v>114</v>
      </c>
      <c r="AV4" t="s">
        <v>136</v>
      </c>
      <c r="AX4" s="11" t="str" cm="1">
        <f t="array" ref="AX4:AX13">AU4:AU13</f>
        <v>Row Labels</v>
      </c>
      <c r="AY4" s="11" t="s">
        <v>136</v>
      </c>
      <c r="AZ4" s="21" t="s">
        <v>203</v>
      </c>
      <c r="BB4" s="8" t="s">
        <v>114</v>
      </c>
      <c r="BC4" t="s">
        <v>136</v>
      </c>
      <c r="BE4" t="str" cm="1">
        <f t="array" ref="BE4:BE48">BB4:BB48</f>
        <v>Row Labels</v>
      </c>
      <c r="BF4" s="11" t="s">
        <v>136</v>
      </c>
      <c r="BG4" s="21" t="s">
        <v>203</v>
      </c>
      <c r="BH4" s="22"/>
      <c r="BI4" s="11"/>
    </row>
    <row r="5" spans="2:62" x14ac:dyDescent="0.2">
      <c r="B5" s="7">
        <v>401411.91999999969</v>
      </c>
      <c r="C5" s="7">
        <v>68907.920000000027</v>
      </c>
      <c r="D5" s="16">
        <v>0.17166386090378202</v>
      </c>
      <c r="E5" s="7">
        <f>GETPIVOTDATA("TOTAL SALES",$B$4)</f>
        <v>401411.91999999969</v>
      </c>
      <c r="F5" s="7">
        <f>GETPIVOTDATA("TOTAL PROFIT",$B$4)</f>
        <v>68907.920000000027</v>
      </c>
      <c r="G5" s="16">
        <f>GETPIVOTDATA("PROFIT(%)",$B$4)</f>
        <v>0.17166386090378202</v>
      </c>
      <c r="J5" s="9" t="s">
        <v>115</v>
      </c>
      <c r="K5" s="7">
        <v>41346.959999999992</v>
      </c>
      <c r="L5" s="7">
        <v>7056.96</v>
      </c>
      <c r="M5" s="16">
        <v>0.17067663499323774</v>
      </c>
      <c r="O5" t="str">
        <v>Jan</v>
      </c>
      <c r="P5" s="7">
        <f>IF($P$3=TRUE,_xlfn.XLOOKUP(O5,$J$5:$J$16,$K$5:$K$16,2,0),"")</f>
        <v>41346.959999999992</v>
      </c>
      <c r="Q5" s="7">
        <f>IF($Q$3=TRUE,_xlfn.XLOOKUP(O5,$J$5:$J$16,$L$5:$L$16,2,0),"")</f>
        <v>7056.96</v>
      </c>
      <c r="R5" s="17">
        <f>IF($Q$3&lt;&gt;FALSE,IF($R$3=TRUE,_xlfn.XLOOKUP(O5,$J$5:$J$16,$M$5:$M$16,2,0),_xlfn.XLOOKUP(O5,$J$5:$J$16,$L$5:$L$16,2,0)),"")</f>
        <v>0.17067663499323774</v>
      </c>
      <c r="T5" s="9" t="s">
        <v>155</v>
      </c>
      <c r="U5" s="7">
        <v>13167.810000000001</v>
      </c>
      <c r="W5" s="19" t="str">
        <f>T5</f>
        <v>01</v>
      </c>
      <c r="X5" s="7">
        <f>IF(W5&lt;&gt;0,_xlfn.XLOOKUP(W5,$T$5:$T$35,$U$5:$U$35,2,0),"")</f>
        <v>13167.810000000001</v>
      </c>
      <c r="Z5" s="9" t="s">
        <v>103</v>
      </c>
      <c r="AA5" s="7">
        <v>208140.15000000005</v>
      </c>
      <c r="AC5" s="19" t="str">
        <f>Z5</f>
        <v>Direct Sales</v>
      </c>
      <c r="AD5" cm="1">
        <f t="array" ref="AD5">IF(AC5&lt;&gt;0,_xlfn.XLOOKUP(AC5,$Z$5:$Z$7,$AA$5:$AA$5:$AA$7,2,0),"")</f>
        <v>208140.15000000005</v>
      </c>
      <c r="AF5" s="9" t="s">
        <v>7</v>
      </c>
      <c r="AG5" s="7">
        <v>9764.7199999999993</v>
      </c>
      <c r="AI5" t="str">
        <v>Product01</v>
      </c>
      <c r="AJ5">
        <f>_xlfn.XLOOKUP(AI5,AF5:AF48,AG5:AG48,2,0)</f>
        <v>9764.7199999999993</v>
      </c>
      <c r="AL5" t="str">
        <f ca="1">IF($AL$2&lt;37,OFFSET(AI4,$AL$2,0),"")</f>
        <v>Product01</v>
      </c>
      <c r="AM5" s="7">
        <f ca="1">IF(AL5&lt;&gt;"",_xlfn.XLOOKUP(AL5,$AI$5:$AI$48,$AJ$5:$AJ$48,2,0),"")</f>
        <v>9764.7199999999993</v>
      </c>
      <c r="AO5" s="9" t="s">
        <v>102</v>
      </c>
      <c r="AP5" s="7">
        <v>199516.90000000008</v>
      </c>
      <c r="AR5" t="str">
        <v>Cash</v>
      </c>
      <c r="AS5" s="7">
        <f>_xlfn.XLOOKUP(AR5,$AO$5:$AO$6,$AP$5:$AP$6,2,0)</f>
        <v>199516.90000000008</v>
      </c>
      <c r="AU5" s="9" t="s">
        <v>133</v>
      </c>
      <c r="AV5" s="7">
        <v>46879.72</v>
      </c>
      <c r="AX5" t="str">
        <v>Bakery And Desserts</v>
      </c>
      <c r="AY5" s="7">
        <f>_xlfn.XLOOKUP(AX5,$AU$5:$AU$13,$AV$5:$AV$13,2,0)</f>
        <v>46879.72</v>
      </c>
      <c r="AZ5">
        <f>_xlfn.RANK.EQ(AY5,$AY$5:$AY$13,0)</f>
        <v>4</v>
      </c>
      <c r="BB5" s="9" t="s">
        <v>7</v>
      </c>
      <c r="BC5" s="7">
        <v>9764.7199999999993</v>
      </c>
      <c r="BE5" t="str">
        <v>Product01</v>
      </c>
      <c r="BF5">
        <f>_xlfn.XLOOKUP(BE5,$BB$5:$BB$48,$BC$5:$BC$48,2,0)</f>
        <v>9764.7199999999993</v>
      </c>
      <c r="BG5">
        <f>_xlfn.RANK.EQ(BF5,$BF$5:$BF$48,0)</f>
        <v>19</v>
      </c>
    </row>
    <row r="6" spans="2:62" x14ac:dyDescent="0.2">
      <c r="J6" s="9" t="s">
        <v>116</v>
      </c>
      <c r="K6" s="7">
        <v>30857.300000000003</v>
      </c>
      <c r="L6" s="7">
        <v>5516.3000000000011</v>
      </c>
      <c r="M6" s="16">
        <v>0.17876807108852688</v>
      </c>
      <c r="O6" t="str">
        <v>Feb</v>
      </c>
      <c r="P6" s="7">
        <f t="shared" ref="P6:P16" si="0">IF($P$3=TRUE,_xlfn.XLOOKUP(O6,$J$5:$J$16,$K$5:$K$16,2,0),"")</f>
        <v>30857.300000000003</v>
      </c>
      <c r="Q6" s="7">
        <f t="shared" ref="Q6:Q16" si="1">IF($Q$3=TRUE,_xlfn.XLOOKUP(O6,$J$5:$J$16,$L$5:$L$16,2,0),"")</f>
        <v>5516.3000000000011</v>
      </c>
      <c r="R6" s="17">
        <f t="shared" ref="R6:R16" si="2">IF($Q$3&lt;&gt;FALSE,IF($R$3=TRUE,_xlfn.XLOOKUP(O6,$J$5:$J$16,$M$5:$M$16,2,0),_xlfn.XLOOKUP(O6,$J$5:$J$16,$L$5:$L$16,2,0)),"")</f>
        <v>0.17876807108852688</v>
      </c>
      <c r="T6" s="9" t="s">
        <v>156</v>
      </c>
      <c r="U6" s="7">
        <v>13210.220000000001</v>
      </c>
      <c r="W6" s="19" t="str">
        <f t="shared" ref="W6:W35" si="3">T6</f>
        <v>02</v>
      </c>
      <c r="X6" s="7">
        <f t="shared" ref="X6:X35" si="4">IF(W6&lt;&gt;0,_xlfn.XLOOKUP(W6,$T$5:$T$35,$U$5:$U$35,2,0),"")</f>
        <v>13210.220000000001</v>
      </c>
      <c r="Z6" s="9" t="s">
        <v>101</v>
      </c>
      <c r="AA6" s="7">
        <v>133923.87000000002</v>
      </c>
      <c r="AC6" s="19" t="str">
        <f t="shared" ref="AC6:AC16" si="5">Z6</f>
        <v>Online</v>
      </c>
      <c r="AD6" cm="1">
        <f t="array" ref="AD6">IF(AC6&lt;&gt;0,_xlfn.XLOOKUP(AC6,$Z$5:$Z$7,$AA$5:$AA$5:$AA$7,2,0),"")</f>
        <v>133923.87000000002</v>
      </c>
      <c r="AF6" s="9" t="s">
        <v>10</v>
      </c>
      <c r="AG6" s="7">
        <v>13423.199999999999</v>
      </c>
      <c r="AI6" t="str">
        <v>Product02</v>
      </c>
      <c r="AJ6">
        <f t="shared" ref="AJ6:AJ48" si="6">_xlfn.XLOOKUP(AI6,AF6:AF49,AG6:AG49,2,0)</f>
        <v>13423.199999999999</v>
      </c>
      <c r="AL6" t="str">
        <f t="shared" ref="AL6:AL14" ca="1" si="7">IF($AL$2&lt;37,OFFSET(AI5,$AL$2,0),"")</f>
        <v>Product02</v>
      </c>
      <c r="AM6" s="7">
        <f t="shared" ref="AM6:AM14" ca="1" si="8">IF(AL6&lt;&gt;"",_xlfn.XLOOKUP(AL6,$AI$5:$AI$48,$AJ$5:$AJ$48,2,0),"")</f>
        <v>13423.199999999999</v>
      </c>
      <c r="AO6" s="9" t="s">
        <v>101</v>
      </c>
      <c r="AP6" s="7">
        <v>201895.01999999993</v>
      </c>
      <c r="AR6" t="str">
        <v>Online</v>
      </c>
      <c r="AS6" s="7">
        <f>_xlfn.XLOOKUP(AR6,$AO$5:$AO$6,$AP$5:$AP$6,2,0)</f>
        <v>201895.01999999993</v>
      </c>
      <c r="AU6" s="9" t="s">
        <v>135</v>
      </c>
      <c r="AV6" s="7">
        <v>42972.759999999995</v>
      </c>
      <c r="AX6" t="str">
        <v>Candy</v>
      </c>
      <c r="AY6" s="7">
        <f t="shared" ref="AY6:AY13" si="9">_xlfn.XLOOKUP(AX6,$AU$5:$AU$13,$AV$5:$AV$13,2,0)</f>
        <v>42972.759999999995</v>
      </c>
      <c r="AZ6">
        <f t="shared" ref="AZ6:AZ13" si="10">_xlfn.RANK.EQ(AY6,$AY$5:$AY$13,0)</f>
        <v>6</v>
      </c>
      <c r="BB6" s="9" t="s">
        <v>10</v>
      </c>
      <c r="BC6" s="7">
        <v>13423.199999999999</v>
      </c>
      <c r="BE6" t="str">
        <v>Product02</v>
      </c>
      <c r="BF6">
        <f t="shared" ref="BF6:BF48" si="11">_xlfn.XLOOKUP(BE6,$BB$5:$BB$48,$BC$5:$BC$48,2,0)</f>
        <v>13423.199999999999</v>
      </c>
      <c r="BG6">
        <f t="shared" ref="BG6:BG48" si="12">_xlfn.RANK.EQ(BF6,$BF$5:$BF$48,0)</f>
        <v>10</v>
      </c>
    </row>
    <row r="7" spans="2:62" x14ac:dyDescent="0.2">
      <c r="J7" s="9" t="s">
        <v>117</v>
      </c>
      <c r="K7" s="7">
        <v>28616.65</v>
      </c>
      <c r="L7" s="7">
        <v>5179.6500000000015</v>
      </c>
      <c r="M7" s="16">
        <v>0.18100127023952842</v>
      </c>
      <c r="O7" t="str">
        <v>Mar</v>
      </c>
      <c r="P7" s="7">
        <f t="shared" si="0"/>
        <v>28616.65</v>
      </c>
      <c r="Q7" s="7">
        <f t="shared" si="1"/>
        <v>5179.6500000000015</v>
      </c>
      <c r="R7" s="17">
        <f t="shared" si="2"/>
        <v>0.18100127023952842</v>
      </c>
      <c r="T7" s="9" t="s">
        <v>157</v>
      </c>
      <c r="U7" s="7">
        <v>20202.099999999995</v>
      </c>
      <c r="W7" s="19" t="str">
        <f t="shared" si="3"/>
        <v>03</v>
      </c>
      <c r="X7" s="7">
        <f t="shared" si="4"/>
        <v>20202.099999999995</v>
      </c>
      <c r="Z7" s="9" t="s">
        <v>100</v>
      </c>
      <c r="AA7" s="7">
        <v>59347.900000000009</v>
      </c>
      <c r="AC7" s="19" t="str">
        <f t="shared" si="5"/>
        <v>Wholesaler</v>
      </c>
      <c r="AD7" cm="1">
        <f t="array" ref="AD7">IF(AC7&lt;&gt;0,_xlfn.XLOOKUP(AC7,$Z$5:$Z$7,$AA$5:$AA$5:$AA$7,2,0),"")</f>
        <v>59347.900000000009</v>
      </c>
      <c r="AF7" s="9" t="s">
        <v>12</v>
      </c>
      <c r="AG7" s="7">
        <v>6394.2599999999993</v>
      </c>
      <c r="AI7" t="str">
        <v>Product03</v>
      </c>
      <c r="AJ7">
        <f t="shared" si="6"/>
        <v>6394.2599999999993</v>
      </c>
      <c r="AL7" t="str">
        <f t="shared" ca="1" si="7"/>
        <v>Product03</v>
      </c>
      <c r="AM7" s="7">
        <f t="shared" ca="1" si="8"/>
        <v>6394.2599999999993</v>
      </c>
      <c r="AU7" s="9" t="s">
        <v>132</v>
      </c>
      <c r="AV7" s="7">
        <v>45627.759999999995</v>
      </c>
      <c r="AX7" t="str">
        <v>Cheese And Dairy</v>
      </c>
      <c r="AY7" s="7">
        <f t="shared" si="9"/>
        <v>45627.759999999995</v>
      </c>
      <c r="AZ7">
        <f t="shared" si="10"/>
        <v>5</v>
      </c>
      <c r="BB7" s="9" t="s">
        <v>12</v>
      </c>
      <c r="BC7" s="7">
        <v>6394.2599999999993</v>
      </c>
      <c r="BE7" t="str">
        <v>Product03</v>
      </c>
      <c r="BF7">
        <f t="shared" si="11"/>
        <v>6394.2599999999993</v>
      </c>
      <c r="BG7">
        <f t="shared" si="12"/>
        <v>26</v>
      </c>
    </row>
    <row r="8" spans="2:62" x14ac:dyDescent="0.2">
      <c r="J8" s="9" t="s">
        <v>118</v>
      </c>
      <c r="K8" s="7">
        <v>26579.11</v>
      </c>
      <c r="L8" s="7">
        <v>5297.11</v>
      </c>
      <c r="M8" s="16">
        <v>0.19929598846612998</v>
      </c>
      <c r="O8" t="str">
        <v>Apr</v>
      </c>
      <c r="P8" s="7">
        <f t="shared" si="0"/>
        <v>26579.11</v>
      </c>
      <c r="Q8" s="7">
        <f t="shared" si="1"/>
        <v>5297.11</v>
      </c>
      <c r="R8" s="17">
        <f t="shared" si="2"/>
        <v>0.19929598846612998</v>
      </c>
      <c r="T8" s="9" t="s">
        <v>158</v>
      </c>
      <c r="U8" s="7">
        <v>11312.2</v>
      </c>
      <c r="W8" s="19" t="str">
        <f t="shared" si="3"/>
        <v>04</v>
      </c>
      <c r="X8" s="7">
        <f t="shared" si="4"/>
        <v>11312.2</v>
      </c>
      <c r="AC8" s="19">
        <f t="shared" si="5"/>
        <v>0</v>
      </c>
      <c r="AD8" t="str" cm="1">
        <f t="array" ref="AD8">IF(AC8&lt;&gt;0,_xlfn.XLOOKUP(AC8,$Z$5:$Z$7,$AA$5:$AA$5:$AA$7,2,0),"")</f>
        <v/>
      </c>
      <c r="AF8" s="9" t="s">
        <v>14</v>
      </c>
      <c r="AG8" s="7">
        <v>6056.1600000000008</v>
      </c>
      <c r="AI8" t="str">
        <v>Product04</v>
      </c>
      <c r="AJ8">
        <f t="shared" si="6"/>
        <v>6056.1600000000008</v>
      </c>
      <c r="AL8" t="str">
        <f t="shared" ca="1" si="7"/>
        <v>Product04</v>
      </c>
      <c r="AM8" s="7">
        <f t="shared" ca="1" si="8"/>
        <v>6056.1600000000008</v>
      </c>
      <c r="AU8" s="9" t="s">
        <v>128</v>
      </c>
      <c r="AV8" s="7">
        <v>40191.399999999994</v>
      </c>
      <c r="AX8" t="str">
        <v>Gourmet Foods</v>
      </c>
      <c r="AY8" s="7">
        <f t="shared" si="9"/>
        <v>40191.399999999994</v>
      </c>
      <c r="AZ8">
        <f t="shared" si="10"/>
        <v>7</v>
      </c>
      <c r="BB8" s="9" t="s">
        <v>14</v>
      </c>
      <c r="BC8" s="7">
        <v>6056.1600000000008</v>
      </c>
      <c r="BE8" t="str">
        <v>Product04</v>
      </c>
      <c r="BF8">
        <f t="shared" si="11"/>
        <v>6056.1600000000008</v>
      </c>
      <c r="BG8">
        <f t="shared" si="12"/>
        <v>30</v>
      </c>
    </row>
    <row r="9" spans="2:62" x14ac:dyDescent="0.2">
      <c r="J9" s="9" t="s">
        <v>119</v>
      </c>
      <c r="K9" s="7">
        <v>30910.45</v>
      </c>
      <c r="L9" s="7">
        <v>4384.4500000000007</v>
      </c>
      <c r="M9" s="16">
        <v>0.14184361599394382</v>
      </c>
      <c r="O9" t="str">
        <v>May</v>
      </c>
      <c r="P9" s="7">
        <f t="shared" si="0"/>
        <v>30910.45</v>
      </c>
      <c r="Q9" s="7">
        <f t="shared" si="1"/>
        <v>4384.4500000000007</v>
      </c>
      <c r="R9" s="17">
        <f t="shared" si="2"/>
        <v>0.14184361599394382</v>
      </c>
      <c r="T9" s="9" t="s">
        <v>159</v>
      </c>
      <c r="U9" s="7">
        <v>11711.449999999999</v>
      </c>
      <c r="W9" s="19" t="str">
        <f t="shared" si="3"/>
        <v>05</v>
      </c>
      <c r="X9" s="7">
        <f t="shared" si="4"/>
        <v>11711.449999999999</v>
      </c>
      <c r="AC9" s="19">
        <f t="shared" si="5"/>
        <v>0</v>
      </c>
      <c r="AD9" t="str" cm="1">
        <f t="array" ref="AD9">IF(AC9&lt;&gt;0,_xlfn.XLOOKUP(AC9,$Z$5:$Z$7,$AA$5:$AA$5:$AA$7,2,0),"")</f>
        <v/>
      </c>
      <c r="AF9" s="9" t="s">
        <v>16</v>
      </c>
      <c r="AG9" s="7">
        <v>15716.61</v>
      </c>
      <c r="AI9" t="str">
        <v>Product05</v>
      </c>
      <c r="AJ9">
        <f t="shared" si="6"/>
        <v>15716.61</v>
      </c>
      <c r="AL9" t="str">
        <f t="shared" ca="1" si="7"/>
        <v>Product05</v>
      </c>
      <c r="AM9" s="7">
        <f t="shared" ca="1" si="8"/>
        <v>15716.61</v>
      </c>
      <c r="AU9" s="9" t="s">
        <v>129</v>
      </c>
      <c r="AV9" s="7">
        <v>36607.109999999993</v>
      </c>
      <c r="AX9" t="str">
        <v>Meat</v>
      </c>
      <c r="AY9" s="7">
        <f t="shared" si="9"/>
        <v>36607.109999999993</v>
      </c>
      <c r="AZ9">
        <f t="shared" si="10"/>
        <v>8</v>
      </c>
      <c r="BB9" s="9" t="s">
        <v>16</v>
      </c>
      <c r="BC9" s="7">
        <v>15716.61</v>
      </c>
      <c r="BE9" t="str">
        <v>Product05</v>
      </c>
      <c r="BF9">
        <f t="shared" si="11"/>
        <v>15716.61</v>
      </c>
      <c r="BG9">
        <f t="shared" si="12"/>
        <v>8</v>
      </c>
    </row>
    <row r="10" spans="2:62" x14ac:dyDescent="0.2">
      <c r="J10" s="9" t="s">
        <v>120</v>
      </c>
      <c r="K10" s="7">
        <v>30533.710000000003</v>
      </c>
      <c r="L10" s="7">
        <v>5654.7099999999991</v>
      </c>
      <c r="M10" s="16">
        <v>0.1851956411454749</v>
      </c>
      <c r="O10" t="str">
        <v>Jun</v>
      </c>
      <c r="P10" s="7">
        <f t="shared" si="0"/>
        <v>30533.710000000003</v>
      </c>
      <c r="Q10" s="7">
        <f t="shared" si="1"/>
        <v>5654.7099999999991</v>
      </c>
      <c r="R10" s="17">
        <f t="shared" si="2"/>
        <v>0.1851956411454749</v>
      </c>
      <c r="T10" s="9" t="s">
        <v>160</v>
      </c>
      <c r="U10" s="7">
        <v>14365.540000000005</v>
      </c>
      <c r="W10" s="19" t="str">
        <f t="shared" si="3"/>
        <v>06</v>
      </c>
      <c r="X10" s="7">
        <f t="shared" si="4"/>
        <v>14365.540000000005</v>
      </c>
      <c r="AC10" s="19">
        <f t="shared" si="5"/>
        <v>0</v>
      </c>
      <c r="AD10" t="str" cm="1">
        <f t="array" ref="AD10">IF(AC10&lt;&gt;0,_xlfn.XLOOKUP(AC10,$Z$5:$Z$7,$AA$5:$AA$5:$AA$7,2,0),"")</f>
        <v/>
      </c>
      <c r="AF10" s="9" t="s">
        <v>18</v>
      </c>
      <c r="AG10" s="7">
        <v>4531.5</v>
      </c>
      <c r="AI10" t="str">
        <v>Product06</v>
      </c>
      <c r="AJ10">
        <f t="shared" si="6"/>
        <v>4531.5</v>
      </c>
      <c r="AL10" t="str">
        <f t="shared" ca="1" si="7"/>
        <v>Product06</v>
      </c>
      <c r="AM10" s="7">
        <f t="shared" ca="1" si="8"/>
        <v>4531.5</v>
      </c>
      <c r="AU10" s="9" t="s">
        <v>127</v>
      </c>
      <c r="AV10" s="7">
        <v>51354.950000000004</v>
      </c>
      <c r="AX10" t="str">
        <v>Organic</v>
      </c>
      <c r="AY10" s="7">
        <f t="shared" si="9"/>
        <v>51354.950000000004</v>
      </c>
      <c r="AZ10">
        <f t="shared" si="10"/>
        <v>2</v>
      </c>
      <c r="BB10" s="9" t="s">
        <v>18</v>
      </c>
      <c r="BC10" s="7">
        <v>4531.5</v>
      </c>
      <c r="BE10" t="str">
        <v>Product06</v>
      </c>
      <c r="BF10">
        <f t="shared" si="11"/>
        <v>4531.5</v>
      </c>
      <c r="BG10">
        <f t="shared" si="12"/>
        <v>35</v>
      </c>
    </row>
    <row r="11" spans="2:62" x14ac:dyDescent="0.2">
      <c r="J11" s="9" t="s">
        <v>121</v>
      </c>
      <c r="K11" s="7">
        <v>35251.79</v>
      </c>
      <c r="L11" s="7">
        <v>5373.7900000000018</v>
      </c>
      <c r="M11" s="16">
        <v>0.15244020232731448</v>
      </c>
      <c r="O11" t="str">
        <v>Jul</v>
      </c>
      <c r="P11" s="7">
        <f t="shared" si="0"/>
        <v>35251.79</v>
      </c>
      <c r="Q11" s="7">
        <f t="shared" si="1"/>
        <v>5373.7900000000018</v>
      </c>
      <c r="R11" s="17">
        <f t="shared" si="2"/>
        <v>0.15244020232731448</v>
      </c>
      <c r="T11" s="9" t="s">
        <v>161</v>
      </c>
      <c r="U11" s="7">
        <v>7132.79</v>
      </c>
      <c r="W11" s="19" t="str">
        <f t="shared" si="3"/>
        <v>07</v>
      </c>
      <c r="X11" s="7">
        <f t="shared" si="4"/>
        <v>7132.79</v>
      </c>
      <c r="AC11" s="19">
        <f t="shared" si="5"/>
        <v>0</v>
      </c>
      <c r="AD11" t="str" cm="1">
        <f t="array" ref="AD11">IF(AC11&lt;&gt;0,_xlfn.XLOOKUP(AC11,$Z$5:$Z$7,$AA$5:$AA$5:$AA$7,2,0),"")</f>
        <v/>
      </c>
      <c r="AF11" s="9" t="s">
        <v>20</v>
      </c>
      <c r="AG11" s="7">
        <v>2291.04</v>
      </c>
      <c r="AI11" t="str">
        <v>Product07</v>
      </c>
      <c r="AJ11">
        <f t="shared" si="6"/>
        <v>2291.04</v>
      </c>
      <c r="AL11" t="str">
        <f t="shared" ca="1" si="7"/>
        <v>Product07</v>
      </c>
      <c r="AM11" s="7">
        <f t="shared" ca="1" si="8"/>
        <v>2291.04</v>
      </c>
      <c r="AU11" s="9" t="s">
        <v>130</v>
      </c>
      <c r="AV11" s="7">
        <v>52806.25</v>
      </c>
      <c r="AX11" t="str">
        <v>Poultry</v>
      </c>
      <c r="AY11" s="7">
        <f t="shared" si="9"/>
        <v>52806.25</v>
      </c>
      <c r="AZ11">
        <f t="shared" si="10"/>
        <v>1</v>
      </c>
      <c r="BB11" s="9" t="s">
        <v>20</v>
      </c>
      <c r="BC11" s="7">
        <v>2291.04</v>
      </c>
      <c r="BE11" t="str">
        <v>Product07</v>
      </c>
      <c r="BF11">
        <f t="shared" si="11"/>
        <v>2291.04</v>
      </c>
      <c r="BG11">
        <f t="shared" si="12"/>
        <v>39</v>
      </c>
    </row>
    <row r="12" spans="2:62" x14ac:dyDescent="0.2">
      <c r="J12" s="9" t="s">
        <v>122</v>
      </c>
      <c r="K12" s="7">
        <v>35350.400000000016</v>
      </c>
      <c r="L12" s="7">
        <v>5519.3999999999987</v>
      </c>
      <c r="M12" s="16">
        <v>0.15613401828550727</v>
      </c>
      <c r="O12" t="str">
        <v>Aug</v>
      </c>
      <c r="P12" s="7">
        <f t="shared" si="0"/>
        <v>35350.400000000016</v>
      </c>
      <c r="Q12" s="7">
        <f t="shared" si="1"/>
        <v>5519.3999999999987</v>
      </c>
      <c r="R12" s="17">
        <f t="shared" si="2"/>
        <v>0.15613401828550727</v>
      </c>
      <c r="T12" s="9" t="s">
        <v>162</v>
      </c>
      <c r="U12" s="7">
        <v>14262.46</v>
      </c>
      <c r="W12" s="19" t="str">
        <f t="shared" si="3"/>
        <v>08</v>
      </c>
      <c r="X12" s="7">
        <f t="shared" si="4"/>
        <v>14262.46</v>
      </c>
      <c r="AC12" s="19">
        <f t="shared" si="5"/>
        <v>0</v>
      </c>
      <c r="AD12" t="str" cm="1">
        <f t="array" ref="AD12">IF(AC12&lt;&gt;0,_xlfn.XLOOKUP(AC12,$Z$5:$Z$7,$AA$5:$AA$5:$AA$7,2,0),"")</f>
        <v/>
      </c>
      <c r="AF12" s="9" t="s">
        <v>22</v>
      </c>
      <c r="AG12" s="7">
        <v>10502.82</v>
      </c>
      <c r="AI12" t="str">
        <v>Product08</v>
      </c>
      <c r="AJ12">
        <f t="shared" si="6"/>
        <v>10502.82</v>
      </c>
      <c r="AL12" t="str">
        <f t="shared" ca="1" si="7"/>
        <v>Product08</v>
      </c>
      <c r="AM12" s="7">
        <f t="shared" ca="1" si="8"/>
        <v>10502.82</v>
      </c>
      <c r="AU12" s="9" t="s">
        <v>131</v>
      </c>
      <c r="AV12" s="7">
        <v>36327.540000000008</v>
      </c>
      <c r="AX12" t="str">
        <v>Seafood</v>
      </c>
      <c r="AY12" s="7">
        <f t="shared" si="9"/>
        <v>36327.540000000008</v>
      </c>
      <c r="AZ12">
        <f t="shared" si="10"/>
        <v>9</v>
      </c>
      <c r="BB12" s="9" t="s">
        <v>22</v>
      </c>
      <c r="BC12" s="7">
        <v>10502.82</v>
      </c>
      <c r="BE12" t="str">
        <v>Product08</v>
      </c>
      <c r="BF12">
        <f t="shared" si="11"/>
        <v>10502.82</v>
      </c>
      <c r="BG12">
        <f t="shared" si="12"/>
        <v>15</v>
      </c>
    </row>
    <row r="13" spans="2:62" x14ac:dyDescent="0.2">
      <c r="J13" s="9" t="s">
        <v>123</v>
      </c>
      <c r="K13" s="7">
        <v>35242.810000000005</v>
      </c>
      <c r="L13" s="7">
        <v>6484.8100000000013</v>
      </c>
      <c r="M13" s="16">
        <v>0.18400377268441423</v>
      </c>
      <c r="O13" t="str">
        <v>Sep</v>
      </c>
      <c r="P13" s="7">
        <f t="shared" si="0"/>
        <v>35242.810000000005</v>
      </c>
      <c r="Q13" s="7">
        <f t="shared" si="1"/>
        <v>6484.8100000000013</v>
      </c>
      <c r="R13" s="17">
        <f t="shared" si="2"/>
        <v>0.18400377268441423</v>
      </c>
      <c r="T13" s="9" t="s">
        <v>163</v>
      </c>
      <c r="U13" s="7">
        <v>16824.670000000002</v>
      </c>
      <c r="W13" s="19" t="str">
        <f t="shared" si="3"/>
        <v>09</v>
      </c>
      <c r="X13" s="7">
        <f t="shared" si="4"/>
        <v>16824.670000000002</v>
      </c>
      <c r="AC13" s="19">
        <f t="shared" si="5"/>
        <v>0</v>
      </c>
      <c r="AD13" t="str" cm="1">
        <f t="array" ref="AD13">IF(AC13&lt;&gt;0,_xlfn.XLOOKUP(AC13,$Z$5:$Z$7,$AA$5:$AA$5:$AA$7,2,0),"")</f>
        <v/>
      </c>
      <c r="AF13" s="9" t="s">
        <v>24</v>
      </c>
      <c r="AG13" s="7">
        <v>581.64</v>
      </c>
      <c r="AI13" t="str">
        <v>Product09</v>
      </c>
      <c r="AJ13">
        <f t="shared" si="6"/>
        <v>581.64</v>
      </c>
      <c r="AL13" t="str">
        <f t="shared" ca="1" si="7"/>
        <v>Product09</v>
      </c>
      <c r="AM13" s="7">
        <f t="shared" ca="1" si="8"/>
        <v>581.64</v>
      </c>
      <c r="AU13" s="9" t="s">
        <v>134</v>
      </c>
      <c r="AV13" s="7">
        <v>48644.430000000008</v>
      </c>
      <c r="AX13" t="str">
        <v>Snacks</v>
      </c>
      <c r="AY13" s="7">
        <f t="shared" si="9"/>
        <v>48644.430000000008</v>
      </c>
      <c r="AZ13">
        <f t="shared" si="10"/>
        <v>3</v>
      </c>
      <c r="BB13" s="9" t="s">
        <v>24</v>
      </c>
      <c r="BC13" s="7">
        <v>581.64</v>
      </c>
      <c r="BE13" t="str">
        <v>Product09</v>
      </c>
      <c r="BF13">
        <f t="shared" si="11"/>
        <v>581.64</v>
      </c>
      <c r="BG13">
        <f t="shared" si="12"/>
        <v>44</v>
      </c>
    </row>
    <row r="14" spans="2:62" x14ac:dyDescent="0.2">
      <c r="J14" s="9" t="s">
        <v>124</v>
      </c>
      <c r="K14" s="7">
        <v>33500.69000000001</v>
      </c>
      <c r="L14" s="7">
        <v>5658.69</v>
      </c>
      <c r="M14" s="16">
        <v>0.16891264030681152</v>
      </c>
      <c r="O14" t="str">
        <v>Oct</v>
      </c>
      <c r="P14" s="7">
        <f t="shared" si="0"/>
        <v>33500.69000000001</v>
      </c>
      <c r="Q14" s="7">
        <f t="shared" si="1"/>
        <v>5658.69</v>
      </c>
      <c r="R14" s="17">
        <f t="shared" si="2"/>
        <v>0.16891264030681152</v>
      </c>
      <c r="T14" s="9" t="s">
        <v>164</v>
      </c>
      <c r="U14" s="7">
        <v>15229.35</v>
      </c>
      <c r="W14" s="19" t="str">
        <f t="shared" si="3"/>
        <v>10</v>
      </c>
      <c r="X14" s="7">
        <f t="shared" si="4"/>
        <v>15229.35</v>
      </c>
      <c r="AC14" s="19">
        <f t="shared" si="5"/>
        <v>0</v>
      </c>
      <c r="AD14" t="str" cm="1">
        <f t="array" ref="AD14">IF(AC14&lt;&gt;0,_xlfn.XLOOKUP(AC14,$Z$5:$Z$7,$AA$5:$AA$5:$AA$7,2,0),"")</f>
        <v/>
      </c>
      <c r="AF14" s="9" t="s">
        <v>26</v>
      </c>
      <c r="AG14" s="7">
        <v>16428</v>
      </c>
      <c r="AI14" t="str">
        <v>Product10</v>
      </c>
      <c r="AJ14">
        <f t="shared" si="6"/>
        <v>16428</v>
      </c>
      <c r="AL14" t="str">
        <f t="shared" ca="1" si="7"/>
        <v>Product10</v>
      </c>
      <c r="AM14" s="7">
        <f t="shared" ca="1" si="8"/>
        <v>16428</v>
      </c>
      <c r="BB14" s="9" t="s">
        <v>26</v>
      </c>
      <c r="BC14" s="7">
        <v>16428</v>
      </c>
      <c r="BE14" t="str">
        <v>Product10</v>
      </c>
      <c r="BF14">
        <f t="shared" si="11"/>
        <v>16428</v>
      </c>
      <c r="BG14">
        <f t="shared" si="12"/>
        <v>5</v>
      </c>
    </row>
    <row r="15" spans="2:62" x14ac:dyDescent="0.2">
      <c r="J15" s="9" t="s">
        <v>125</v>
      </c>
      <c r="K15" s="7">
        <v>36124.07</v>
      </c>
      <c r="L15" s="7">
        <v>6818.0700000000006</v>
      </c>
      <c r="M15" s="16">
        <v>0.18874036065149916</v>
      </c>
      <c r="O15" t="str">
        <v>Nov</v>
      </c>
      <c r="P15" s="7">
        <f t="shared" si="0"/>
        <v>36124.07</v>
      </c>
      <c r="Q15" s="7">
        <f t="shared" si="1"/>
        <v>6818.0700000000006</v>
      </c>
      <c r="R15" s="17">
        <f t="shared" si="2"/>
        <v>0.18874036065149916</v>
      </c>
      <c r="T15" s="9" t="s">
        <v>165</v>
      </c>
      <c r="U15" s="7">
        <v>11915.58</v>
      </c>
      <c r="W15" s="19" t="str">
        <f t="shared" si="3"/>
        <v>11</v>
      </c>
      <c r="X15" s="7">
        <f t="shared" si="4"/>
        <v>11915.58</v>
      </c>
      <c r="AC15" s="19">
        <f t="shared" si="5"/>
        <v>0</v>
      </c>
      <c r="AD15" t="str" cm="1">
        <f t="array" ref="AD15">IF(AC15&lt;&gt;0,_xlfn.XLOOKUP(AC15,$Z$5:$Z$7,$AA$5:$AA$5:$AA$7,2,0),"")</f>
        <v/>
      </c>
      <c r="AF15" s="9" t="s">
        <v>28</v>
      </c>
      <c r="AG15" s="7">
        <v>5856.4</v>
      </c>
      <c r="AI15" t="str">
        <v>Product11</v>
      </c>
      <c r="AJ15">
        <f t="shared" si="6"/>
        <v>5856.4</v>
      </c>
      <c r="BB15" s="9" t="s">
        <v>28</v>
      </c>
      <c r="BC15" s="7">
        <v>5856.4</v>
      </c>
      <c r="BE15" t="str">
        <v>Product11</v>
      </c>
      <c r="BF15">
        <f t="shared" si="11"/>
        <v>5856.4</v>
      </c>
      <c r="BG15">
        <f t="shared" si="12"/>
        <v>31</v>
      </c>
    </row>
    <row r="16" spans="2:62" x14ac:dyDescent="0.2">
      <c r="J16" s="9" t="s">
        <v>126</v>
      </c>
      <c r="K16" s="7">
        <v>37097.979999999996</v>
      </c>
      <c r="L16" s="7">
        <v>5963.9799999999987</v>
      </c>
      <c r="M16" s="16">
        <v>0.16076293102751146</v>
      </c>
      <c r="O16" t="str">
        <v>Dec</v>
      </c>
      <c r="P16" s="7">
        <f t="shared" si="0"/>
        <v>37097.979999999996</v>
      </c>
      <c r="Q16" s="7">
        <f t="shared" si="1"/>
        <v>5963.9799999999987</v>
      </c>
      <c r="R16" s="17">
        <f t="shared" si="2"/>
        <v>0.16076293102751146</v>
      </c>
      <c r="T16" s="9" t="s">
        <v>166</v>
      </c>
      <c r="U16" s="7">
        <v>14837.359999999999</v>
      </c>
      <c r="W16" s="19" t="str">
        <f t="shared" si="3"/>
        <v>12</v>
      </c>
      <c r="X16" s="7">
        <f t="shared" si="4"/>
        <v>14837.359999999999</v>
      </c>
      <c r="AC16" s="19">
        <f t="shared" si="5"/>
        <v>0</v>
      </c>
      <c r="AD16" t="str" cm="1">
        <f t="array" ref="AD16">IF(AC16&lt;&gt;0,_xlfn.XLOOKUP(AC16,$Z$5:$Z$7,$AA$5:$AA$5:$AA$7,2,0),"")</f>
        <v/>
      </c>
      <c r="AF16" s="9" t="s">
        <v>30</v>
      </c>
      <c r="AG16" s="7">
        <v>11582.910000000003</v>
      </c>
      <c r="AI16" t="str">
        <v>Product12</v>
      </c>
      <c r="AJ16">
        <f t="shared" si="6"/>
        <v>11582.910000000003</v>
      </c>
      <c r="BB16" s="9" t="s">
        <v>30</v>
      </c>
      <c r="BC16" s="7">
        <v>11582.910000000003</v>
      </c>
      <c r="BE16" t="str">
        <v>Product12</v>
      </c>
      <c r="BF16">
        <f t="shared" si="11"/>
        <v>11582.910000000003</v>
      </c>
      <c r="BG16">
        <f t="shared" si="12"/>
        <v>13</v>
      </c>
    </row>
    <row r="17" spans="20:59" x14ac:dyDescent="0.2">
      <c r="T17" s="9" t="s">
        <v>167</v>
      </c>
      <c r="U17" s="7">
        <v>8084.26</v>
      </c>
      <c r="W17" s="19" t="str">
        <f t="shared" si="3"/>
        <v>13</v>
      </c>
      <c r="X17" s="7">
        <f t="shared" si="4"/>
        <v>8084.26</v>
      </c>
      <c r="AC17" s="19"/>
      <c r="AF17" s="9" t="s">
        <v>32</v>
      </c>
      <c r="AG17" s="7">
        <v>8423.52</v>
      </c>
      <c r="AI17" t="str">
        <v>Product13</v>
      </c>
      <c r="AJ17">
        <f t="shared" si="6"/>
        <v>8423.52</v>
      </c>
      <c r="BB17" s="9" t="s">
        <v>32</v>
      </c>
      <c r="BC17" s="7">
        <v>8423.52</v>
      </c>
      <c r="BE17" t="str">
        <v>Product13</v>
      </c>
      <c r="BF17">
        <f t="shared" si="11"/>
        <v>8423.52</v>
      </c>
      <c r="BG17">
        <f t="shared" si="12"/>
        <v>22</v>
      </c>
    </row>
    <row r="18" spans="20:59" x14ac:dyDescent="0.2">
      <c r="T18" s="9" t="s">
        <v>168</v>
      </c>
      <c r="U18" s="7">
        <v>9461.1400000000012</v>
      </c>
      <c r="W18" s="19" t="str">
        <f t="shared" si="3"/>
        <v>14</v>
      </c>
      <c r="X18" s="7">
        <f t="shared" si="4"/>
        <v>9461.1400000000012</v>
      </c>
      <c r="AC18" s="19"/>
      <c r="AF18" s="9" t="s">
        <v>34</v>
      </c>
      <c r="AG18" s="7">
        <v>12764.640000000001</v>
      </c>
      <c r="AI18" t="str">
        <v>Product14</v>
      </c>
      <c r="AJ18">
        <f t="shared" si="6"/>
        <v>12764.640000000001</v>
      </c>
      <c r="BB18" s="9" t="s">
        <v>34</v>
      </c>
      <c r="BC18" s="7">
        <v>12764.640000000001</v>
      </c>
      <c r="BE18" t="str">
        <v>Product14</v>
      </c>
      <c r="BF18">
        <f t="shared" si="11"/>
        <v>12764.640000000001</v>
      </c>
      <c r="BG18">
        <f t="shared" si="12"/>
        <v>12</v>
      </c>
    </row>
    <row r="19" spans="20:59" x14ac:dyDescent="0.2">
      <c r="T19" s="9" t="s">
        <v>169</v>
      </c>
      <c r="U19" s="7">
        <v>12189.7</v>
      </c>
      <c r="W19" s="19" t="str">
        <f t="shared" si="3"/>
        <v>15</v>
      </c>
      <c r="X19" s="7">
        <f t="shared" si="4"/>
        <v>12189.7</v>
      </c>
      <c r="AC19" s="19"/>
      <c r="AF19" s="9" t="s">
        <v>36</v>
      </c>
      <c r="AG19" s="7">
        <v>1839.2399999999998</v>
      </c>
      <c r="AI19" t="str">
        <v>Product15</v>
      </c>
      <c r="AJ19">
        <f t="shared" si="6"/>
        <v>1839.2399999999998</v>
      </c>
      <c r="BB19" s="9" t="s">
        <v>36</v>
      </c>
      <c r="BC19" s="7">
        <v>1839.2399999999998</v>
      </c>
      <c r="BE19" t="str">
        <v>Product15</v>
      </c>
      <c r="BF19">
        <f t="shared" si="11"/>
        <v>1839.2399999999998</v>
      </c>
      <c r="BG19">
        <f t="shared" si="12"/>
        <v>41</v>
      </c>
    </row>
    <row r="20" spans="20:59" x14ac:dyDescent="0.2">
      <c r="T20" s="9" t="s">
        <v>170</v>
      </c>
      <c r="U20" s="7">
        <v>12762.63</v>
      </c>
      <c r="W20" s="19" t="str">
        <f t="shared" si="3"/>
        <v>16</v>
      </c>
      <c r="X20" s="7">
        <f t="shared" si="4"/>
        <v>12762.63</v>
      </c>
      <c r="AC20" s="19"/>
      <c r="AF20" s="9" t="s">
        <v>38</v>
      </c>
      <c r="AG20" s="7">
        <v>1996.8</v>
      </c>
      <c r="AI20" t="str">
        <v>Product16</v>
      </c>
      <c r="AJ20">
        <f t="shared" si="6"/>
        <v>1996.8</v>
      </c>
      <c r="BB20" s="9" t="s">
        <v>38</v>
      </c>
      <c r="BC20" s="7">
        <v>1996.8</v>
      </c>
      <c r="BE20" t="str">
        <v>Product16</v>
      </c>
      <c r="BF20">
        <f t="shared" si="11"/>
        <v>1996.8</v>
      </c>
      <c r="BG20">
        <f t="shared" si="12"/>
        <v>40</v>
      </c>
    </row>
    <row r="21" spans="20:59" x14ac:dyDescent="0.2">
      <c r="T21" s="9" t="s">
        <v>171</v>
      </c>
      <c r="U21" s="7">
        <v>3659.24</v>
      </c>
      <c r="W21" s="19" t="str">
        <f t="shared" si="3"/>
        <v>17</v>
      </c>
      <c r="X21" s="7">
        <f t="shared" si="4"/>
        <v>3659.24</v>
      </c>
      <c r="AF21" s="9" t="s">
        <v>40</v>
      </c>
      <c r="AG21" s="7">
        <v>9877.1400000000012</v>
      </c>
      <c r="AI21" t="str">
        <v>Product17</v>
      </c>
      <c r="AJ21">
        <f t="shared" si="6"/>
        <v>9877.1400000000012</v>
      </c>
      <c r="BB21" s="9" t="s">
        <v>40</v>
      </c>
      <c r="BC21" s="7">
        <v>9877.1400000000012</v>
      </c>
      <c r="BE21" t="str">
        <v>Product17</v>
      </c>
      <c r="BF21">
        <f t="shared" si="11"/>
        <v>9877.1400000000012</v>
      </c>
      <c r="BG21">
        <f t="shared" si="12"/>
        <v>18</v>
      </c>
    </row>
    <row r="22" spans="20:59" x14ac:dyDescent="0.2">
      <c r="T22" s="9" t="s">
        <v>172</v>
      </c>
      <c r="U22" s="7">
        <v>18582.390000000003</v>
      </c>
      <c r="W22" s="19" t="str">
        <f t="shared" si="3"/>
        <v>18</v>
      </c>
      <c r="X22" s="7">
        <f t="shared" si="4"/>
        <v>18582.390000000003</v>
      </c>
      <c r="AF22" s="9" t="s">
        <v>42</v>
      </c>
      <c r="AG22" s="7">
        <v>4035.2200000000003</v>
      </c>
      <c r="AI22" t="str">
        <v>Product18</v>
      </c>
      <c r="AJ22">
        <f t="shared" si="6"/>
        <v>4035.2200000000003</v>
      </c>
      <c r="BB22" s="9" t="s">
        <v>42</v>
      </c>
      <c r="BC22" s="7">
        <v>4035.2200000000003</v>
      </c>
      <c r="BE22" t="str">
        <v>Product18</v>
      </c>
      <c r="BF22">
        <f t="shared" si="11"/>
        <v>4035.2200000000003</v>
      </c>
      <c r="BG22">
        <f t="shared" si="12"/>
        <v>36</v>
      </c>
    </row>
    <row r="23" spans="20:59" x14ac:dyDescent="0.2">
      <c r="T23" s="9" t="s">
        <v>173</v>
      </c>
      <c r="U23" s="7">
        <v>10204.229999999998</v>
      </c>
      <c r="W23" s="19" t="str">
        <f t="shared" si="3"/>
        <v>19</v>
      </c>
      <c r="X23" s="7">
        <f t="shared" si="4"/>
        <v>10204.229999999998</v>
      </c>
      <c r="AF23" s="9" t="s">
        <v>44</v>
      </c>
      <c r="AG23" s="7">
        <v>20160</v>
      </c>
      <c r="AI23" t="str">
        <v>Product19</v>
      </c>
      <c r="AJ23">
        <f t="shared" si="6"/>
        <v>20160</v>
      </c>
      <c r="BB23" s="9" t="s">
        <v>44</v>
      </c>
      <c r="BC23" s="7">
        <v>20160</v>
      </c>
      <c r="BE23" t="str">
        <v>Product19</v>
      </c>
      <c r="BF23">
        <f t="shared" si="11"/>
        <v>20160</v>
      </c>
      <c r="BG23">
        <f t="shared" si="12"/>
        <v>4</v>
      </c>
    </row>
    <row r="24" spans="20:59" x14ac:dyDescent="0.2">
      <c r="T24" s="9" t="s">
        <v>174</v>
      </c>
      <c r="U24" s="7">
        <v>20482.78</v>
      </c>
      <c r="W24" s="19" t="str">
        <f t="shared" si="3"/>
        <v>20</v>
      </c>
      <c r="X24" s="7">
        <f t="shared" si="4"/>
        <v>20482.78</v>
      </c>
      <c r="AF24" s="9" t="s">
        <v>46</v>
      </c>
      <c r="AG24" s="7">
        <v>8006.25</v>
      </c>
      <c r="AI24" t="str">
        <v>Product20</v>
      </c>
      <c r="AJ24">
        <f t="shared" si="6"/>
        <v>8006.25</v>
      </c>
      <c r="BB24" s="9" t="s">
        <v>46</v>
      </c>
      <c r="BC24" s="7">
        <v>8006.25</v>
      </c>
      <c r="BE24" t="str">
        <v>Product20</v>
      </c>
      <c r="BF24">
        <f t="shared" si="11"/>
        <v>8006.25</v>
      </c>
      <c r="BG24">
        <f t="shared" si="12"/>
        <v>23</v>
      </c>
    </row>
    <row r="25" spans="20:59" x14ac:dyDescent="0.2">
      <c r="T25" s="9" t="s">
        <v>175</v>
      </c>
      <c r="U25" s="7">
        <v>10665.4</v>
      </c>
      <c r="W25" s="19" t="str">
        <f t="shared" si="3"/>
        <v>21</v>
      </c>
      <c r="X25" s="7">
        <f t="shared" si="4"/>
        <v>10665.4</v>
      </c>
      <c r="AF25" s="9" t="s">
        <v>48</v>
      </c>
      <c r="AG25" s="7">
        <v>10727.64</v>
      </c>
      <c r="AI25" t="str">
        <v>Product21</v>
      </c>
      <c r="AJ25">
        <f t="shared" si="6"/>
        <v>10727.64</v>
      </c>
      <c r="BB25" s="9" t="s">
        <v>48</v>
      </c>
      <c r="BC25" s="7">
        <v>10727.64</v>
      </c>
      <c r="BE25" t="str">
        <v>Product21</v>
      </c>
      <c r="BF25">
        <f t="shared" si="11"/>
        <v>10727.64</v>
      </c>
      <c r="BG25">
        <f t="shared" si="12"/>
        <v>14</v>
      </c>
    </row>
    <row r="26" spans="20:59" x14ac:dyDescent="0.2">
      <c r="T26" s="9" t="s">
        <v>176</v>
      </c>
      <c r="U26" s="7">
        <v>11315.839999999997</v>
      </c>
      <c r="W26" s="19" t="str">
        <f t="shared" si="3"/>
        <v>22</v>
      </c>
      <c r="X26" s="7">
        <f t="shared" si="4"/>
        <v>11315.839999999997</v>
      </c>
      <c r="AF26" s="9" t="s">
        <v>50</v>
      </c>
      <c r="AG26" s="7">
        <v>9909.9</v>
      </c>
      <c r="AI26" t="str">
        <v>Product22</v>
      </c>
      <c r="AJ26">
        <f t="shared" si="6"/>
        <v>9909.9</v>
      </c>
      <c r="BB26" s="9" t="s">
        <v>50</v>
      </c>
      <c r="BC26" s="7">
        <v>9909.9</v>
      </c>
      <c r="BE26" t="str">
        <v>Product22</v>
      </c>
      <c r="BF26">
        <f t="shared" si="11"/>
        <v>9909.9</v>
      </c>
      <c r="BG26">
        <f t="shared" si="12"/>
        <v>17</v>
      </c>
    </row>
    <row r="27" spans="20:59" x14ac:dyDescent="0.2">
      <c r="T27" s="9" t="s">
        <v>177</v>
      </c>
      <c r="U27" s="7">
        <v>18818.189999999999</v>
      </c>
      <c r="W27" s="19" t="str">
        <f t="shared" si="3"/>
        <v>23</v>
      </c>
      <c r="X27" s="7">
        <f t="shared" si="4"/>
        <v>18818.189999999999</v>
      </c>
      <c r="AF27" s="9" t="s">
        <v>52</v>
      </c>
      <c r="AG27" s="7">
        <v>12853.560000000001</v>
      </c>
      <c r="AI27" t="str">
        <v>Product23</v>
      </c>
      <c r="AJ27">
        <f t="shared" si="6"/>
        <v>12853.560000000001</v>
      </c>
      <c r="BB27" s="9" t="s">
        <v>52</v>
      </c>
      <c r="BC27" s="7">
        <v>12853.560000000001</v>
      </c>
      <c r="BE27" t="str">
        <v>Product23</v>
      </c>
      <c r="BF27">
        <f t="shared" si="11"/>
        <v>12853.560000000001</v>
      </c>
      <c r="BG27">
        <f t="shared" si="12"/>
        <v>11</v>
      </c>
    </row>
    <row r="28" spans="20:59" x14ac:dyDescent="0.2">
      <c r="T28" s="9" t="s">
        <v>178</v>
      </c>
      <c r="U28" s="7">
        <v>11488.4</v>
      </c>
      <c r="W28" s="19" t="str">
        <f t="shared" si="3"/>
        <v>24</v>
      </c>
      <c r="X28" s="7">
        <f t="shared" si="4"/>
        <v>11488.4</v>
      </c>
      <c r="AF28" s="9" t="s">
        <v>54</v>
      </c>
      <c r="AG28" s="7">
        <v>10202.400000000001</v>
      </c>
      <c r="AI28" t="str">
        <v>Product24</v>
      </c>
      <c r="AJ28">
        <f t="shared" si="6"/>
        <v>10202.400000000001</v>
      </c>
      <c r="BB28" s="9" t="s">
        <v>54</v>
      </c>
      <c r="BC28" s="7">
        <v>10202.400000000001</v>
      </c>
      <c r="BE28" t="str">
        <v>Product24</v>
      </c>
      <c r="BF28">
        <f t="shared" si="11"/>
        <v>10202.400000000001</v>
      </c>
      <c r="BG28">
        <f t="shared" si="12"/>
        <v>16</v>
      </c>
    </row>
    <row r="29" spans="20:59" x14ac:dyDescent="0.2">
      <c r="T29" s="9" t="s">
        <v>179</v>
      </c>
      <c r="U29" s="7">
        <v>18688.430000000004</v>
      </c>
      <c r="W29" s="19" t="str">
        <f t="shared" si="3"/>
        <v>25</v>
      </c>
      <c r="X29" s="7">
        <f t="shared" si="4"/>
        <v>18688.430000000004</v>
      </c>
      <c r="AF29" s="9" t="s">
        <v>56</v>
      </c>
      <c r="AG29" s="7">
        <v>599.7600000000001</v>
      </c>
      <c r="AI29" t="str">
        <v>Product25</v>
      </c>
      <c r="AJ29">
        <f t="shared" si="6"/>
        <v>599.7600000000001</v>
      </c>
      <c r="BB29" s="9" t="s">
        <v>56</v>
      </c>
      <c r="BC29" s="7">
        <v>599.7600000000001</v>
      </c>
      <c r="BE29" t="str">
        <v>Product25</v>
      </c>
      <c r="BF29">
        <f t="shared" si="11"/>
        <v>599.7600000000001</v>
      </c>
      <c r="BG29">
        <f t="shared" si="12"/>
        <v>43</v>
      </c>
    </row>
    <row r="30" spans="20:59" x14ac:dyDescent="0.2">
      <c r="T30" s="9" t="s">
        <v>180</v>
      </c>
      <c r="U30" s="7">
        <v>13710.079999999998</v>
      </c>
      <c r="W30" s="19" t="str">
        <f t="shared" si="3"/>
        <v>26</v>
      </c>
      <c r="X30" s="7">
        <f t="shared" si="4"/>
        <v>13710.079999999998</v>
      </c>
      <c r="AF30" s="9" t="s">
        <v>58</v>
      </c>
      <c r="AG30" s="7">
        <v>2761.9200000000005</v>
      </c>
      <c r="AI30" t="str">
        <v>Product26</v>
      </c>
      <c r="AJ30">
        <f t="shared" si="6"/>
        <v>2761.9200000000005</v>
      </c>
      <c r="BB30" s="9" t="s">
        <v>58</v>
      </c>
      <c r="BC30" s="7">
        <v>2761.9200000000005</v>
      </c>
      <c r="BE30" t="str">
        <v>Product26</v>
      </c>
      <c r="BF30">
        <f t="shared" si="11"/>
        <v>2761.9200000000005</v>
      </c>
      <c r="BG30">
        <f t="shared" si="12"/>
        <v>38</v>
      </c>
    </row>
    <row r="31" spans="20:59" x14ac:dyDescent="0.2">
      <c r="T31" s="9" t="s">
        <v>181</v>
      </c>
      <c r="U31" s="7">
        <v>11440.67</v>
      </c>
      <c r="W31" s="19" t="str">
        <f t="shared" si="3"/>
        <v>27</v>
      </c>
      <c r="X31" s="7">
        <f t="shared" si="4"/>
        <v>11440.67</v>
      </c>
      <c r="AF31" s="9" t="s">
        <v>60</v>
      </c>
      <c r="AG31" s="7">
        <v>6226.0800000000008</v>
      </c>
      <c r="AI31" t="str">
        <v>Product27</v>
      </c>
      <c r="AJ31">
        <f t="shared" si="6"/>
        <v>6226.0800000000008</v>
      </c>
      <c r="BB31" s="9" t="s">
        <v>60</v>
      </c>
      <c r="BC31" s="7">
        <v>6226.0800000000008</v>
      </c>
      <c r="BE31" t="str">
        <v>Product27</v>
      </c>
      <c r="BF31">
        <f t="shared" si="11"/>
        <v>6226.0800000000008</v>
      </c>
      <c r="BG31">
        <f t="shared" si="12"/>
        <v>28</v>
      </c>
    </row>
    <row r="32" spans="20:59" x14ac:dyDescent="0.2">
      <c r="T32" s="9" t="s">
        <v>182</v>
      </c>
      <c r="U32" s="7">
        <v>13306.16</v>
      </c>
      <c r="W32" s="19" t="str">
        <f t="shared" si="3"/>
        <v>28</v>
      </c>
      <c r="X32" s="7">
        <f t="shared" si="4"/>
        <v>13306.16</v>
      </c>
      <c r="AF32" s="9" t="s">
        <v>62</v>
      </c>
      <c r="AG32" s="7">
        <v>4682.72</v>
      </c>
      <c r="AI32" t="str">
        <v>Product28</v>
      </c>
      <c r="AJ32">
        <f t="shared" si="6"/>
        <v>4682.72</v>
      </c>
      <c r="BB32" s="9" t="s">
        <v>62</v>
      </c>
      <c r="BC32" s="7">
        <v>4682.72</v>
      </c>
      <c r="BE32" t="str">
        <v>Product28</v>
      </c>
      <c r="BF32">
        <f t="shared" si="11"/>
        <v>4682.72</v>
      </c>
      <c r="BG32">
        <f t="shared" si="12"/>
        <v>34</v>
      </c>
    </row>
    <row r="33" spans="20:59" x14ac:dyDescent="0.2">
      <c r="T33" s="9" t="s">
        <v>183</v>
      </c>
      <c r="U33" s="7">
        <v>8794.48</v>
      </c>
      <c r="W33" s="19" t="str">
        <f t="shared" si="3"/>
        <v>29</v>
      </c>
      <c r="X33" s="7">
        <f t="shared" si="4"/>
        <v>8794.48</v>
      </c>
      <c r="AF33" s="9" t="s">
        <v>64</v>
      </c>
      <c r="AG33" s="7">
        <v>5523.44</v>
      </c>
      <c r="AI33" t="str">
        <v>Product29</v>
      </c>
      <c r="AJ33">
        <f t="shared" si="6"/>
        <v>5523.44</v>
      </c>
      <c r="BB33" s="9" t="s">
        <v>64</v>
      </c>
      <c r="BC33" s="7">
        <v>5523.44</v>
      </c>
      <c r="BE33" t="str">
        <v>Product29</v>
      </c>
      <c r="BF33">
        <f t="shared" si="11"/>
        <v>5523.44</v>
      </c>
      <c r="BG33">
        <f t="shared" si="12"/>
        <v>32</v>
      </c>
    </row>
    <row r="34" spans="20:59" x14ac:dyDescent="0.2">
      <c r="T34" s="9" t="s">
        <v>184</v>
      </c>
      <c r="U34" s="7">
        <v>16666.269999999997</v>
      </c>
      <c r="W34" s="19" t="str">
        <f t="shared" si="3"/>
        <v>30</v>
      </c>
      <c r="X34" s="7">
        <f t="shared" si="4"/>
        <v>16666.269999999997</v>
      </c>
      <c r="AF34" s="9" t="s">
        <v>66</v>
      </c>
      <c r="AG34" s="7">
        <v>22945.919999999998</v>
      </c>
      <c r="AI34" t="str">
        <v>Product30</v>
      </c>
      <c r="AJ34">
        <f t="shared" si="6"/>
        <v>22945.919999999998</v>
      </c>
      <c r="BB34" s="9" t="s">
        <v>66</v>
      </c>
      <c r="BC34" s="7">
        <v>22945.919999999998</v>
      </c>
      <c r="BE34" t="str">
        <v>Product30</v>
      </c>
      <c r="BF34">
        <f t="shared" si="11"/>
        <v>22945.919999999998</v>
      </c>
      <c r="BG34">
        <f t="shared" si="12"/>
        <v>2</v>
      </c>
    </row>
    <row r="35" spans="20:59" x14ac:dyDescent="0.2">
      <c r="T35" s="9" t="s">
        <v>185</v>
      </c>
      <c r="U35" s="7">
        <v>6920.0999999999995</v>
      </c>
      <c r="W35" s="19" t="str">
        <f t="shared" si="3"/>
        <v>31</v>
      </c>
      <c r="X35" s="7">
        <f t="shared" si="4"/>
        <v>6920.0999999999995</v>
      </c>
      <c r="AF35" s="9" t="s">
        <v>68</v>
      </c>
      <c r="AG35" s="7">
        <v>6249.5999999999995</v>
      </c>
      <c r="AI35" t="str">
        <v>Product31</v>
      </c>
      <c r="AJ35">
        <f t="shared" si="6"/>
        <v>6249.5999999999995</v>
      </c>
      <c r="BB35" s="9" t="s">
        <v>68</v>
      </c>
      <c r="BC35" s="7">
        <v>6249.5999999999995</v>
      </c>
      <c r="BE35" t="str">
        <v>Product31</v>
      </c>
      <c r="BF35">
        <f t="shared" si="11"/>
        <v>6249.5999999999995</v>
      </c>
      <c r="BG35">
        <f t="shared" si="12"/>
        <v>27</v>
      </c>
    </row>
    <row r="36" spans="20:59" x14ac:dyDescent="0.2">
      <c r="AF36" s="9" t="s">
        <v>70</v>
      </c>
      <c r="AG36" s="7">
        <v>16329.72</v>
      </c>
      <c r="AI36" t="str">
        <v>Product32</v>
      </c>
      <c r="AJ36">
        <f t="shared" si="6"/>
        <v>16329.72</v>
      </c>
      <c r="BB36" s="9" t="s">
        <v>70</v>
      </c>
      <c r="BC36" s="7">
        <v>16329.72</v>
      </c>
      <c r="BE36" t="str">
        <v>Product32</v>
      </c>
      <c r="BF36">
        <f t="shared" si="11"/>
        <v>16329.72</v>
      </c>
      <c r="BG36">
        <f t="shared" si="12"/>
        <v>7</v>
      </c>
    </row>
    <row r="37" spans="20:59" x14ac:dyDescent="0.2">
      <c r="AF37" s="9" t="s">
        <v>72</v>
      </c>
      <c r="AG37" s="7">
        <v>13645.800000000001</v>
      </c>
      <c r="AI37" t="str">
        <v>Product33</v>
      </c>
      <c r="AJ37">
        <f t="shared" si="6"/>
        <v>13645.800000000001</v>
      </c>
      <c r="BB37" s="9" t="s">
        <v>72</v>
      </c>
      <c r="BC37" s="7">
        <v>13645.800000000001</v>
      </c>
      <c r="BE37" t="str">
        <v>Product33</v>
      </c>
      <c r="BF37">
        <f t="shared" si="11"/>
        <v>13645.800000000001</v>
      </c>
      <c r="BG37">
        <f t="shared" si="12"/>
        <v>9</v>
      </c>
    </row>
    <row r="38" spans="20:59" x14ac:dyDescent="0.2">
      <c r="AF38" s="9" t="s">
        <v>74</v>
      </c>
      <c r="AG38" s="7">
        <v>8978.2000000000007</v>
      </c>
      <c r="AI38" t="str">
        <v>Product34</v>
      </c>
      <c r="AJ38">
        <f t="shared" si="6"/>
        <v>8978.2000000000007</v>
      </c>
      <c r="BB38" s="9" t="s">
        <v>74</v>
      </c>
      <c r="BC38" s="7">
        <v>8978.2000000000007</v>
      </c>
      <c r="BE38" t="str">
        <v>Product34</v>
      </c>
      <c r="BF38">
        <f t="shared" si="11"/>
        <v>8978.2000000000007</v>
      </c>
      <c r="BG38">
        <f t="shared" si="12"/>
        <v>20</v>
      </c>
    </row>
    <row r="39" spans="20:59" x14ac:dyDescent="0.2">
      <c r="AF39" s="9" t="s">
        <v>76</v>
      </c>
      <c r="AG39" s="7">
        <v>703.5</v>
      </c>
      <c r="AI39" t="str">
        <v>Product35</v>
      </c>
      <c r="AJ39">
        <f t="shared" si="6"/>
        <v>703.5</v>
      </c>
      <c r="BB39" s="9" t="s">
        <v>76</v>
      </c>
      <c r="BC39" s="7">
        <v>703.5</v>
      </c>
      <c r="BE39" t="str">
        <v>Product35</v>
      </c>
      <c r="BF39">
        <f t="shared" si="11"/>
        <v>703.5</v>
      </c>
      <c r="BG39">
        <f t="shared" si="12"/>
        <v>42</v>
      </c>
    </row>
    <row r="40" spans="20:59" x14ac:dyDescent="0.2">
      <c r="AF40" s="9" t="s">
        <v>78</v>
      </c>
      <c r="AG40" s="7">
        <v>7222.5</v>
      </c>
      <c r="AI40" t="str">
        <v>Product36</v>
      </c>
      <c r="AJ40">
        <f t="shared" si="6"/>
        <v>7222.5</v>
      </c>
      <c r="BB40" s="9" t="s">
        <v>78</v>
      </c>
      <c r="BC40" s="7">
        <v>7222.5</v>
      </c>
      <c r="BE40" t="str">
        <v>Product36</v>
      </c>
      <c r="BF40">
        <f t="shared" si="11"/>
        <v>7222.5</v>
      </c>
      <c r="BG40">
        <f t="shared" si="12"/>
        <v>25</v>
      </c>
    </row>
    <row r="41" spans="20:59" x14ac:dyDescent="0.2">
      <c r="AF41" s="9" t="s">
        <v>80</v>
      </c>
      <c r="AG41" s="7">
        <v>5145.6000000000004</v>
      </c>
      <c r="AI41" t="str">
        <v>Product37</v>
      </c>
      <c r="AJ41">
        <f t="shared" si="6"/>
        <v>5145.6000000000004</v>
      </c>
      <c r="BB41" s="9" t="s">
        <v>80</v>
      </c>
      <c r="BC41" s="7">
        <v>5145.6000000000004</v>
      </c>
      <c r="BE41" t="str">
        <v>Product37</v>
      </c>
      <c r="BF41">
        <f t="shared" si="11"/>
        <v>5145.6000000000004</v>
      </c>
      <c r="BG41">
        <f t="shared" si="12"/>
        <v>33</v>
      </c>
    </row>
    <row r="42" spans="20:59" x14ac:dyDescent="0.2">
      <c r="AF42" s="9" t="s">
        <v>82</v>
      </c>
      <c r="AG42" s="7">
        <v>8871.1200000000008</v>
      </c>
      <c r="AI42" t="str">
        <v>Product38</v>
      </c>
      <c r="AJ42">
        <f t="shared" si="6"/>
        <v>8871.1200000000008</v>
      </c>
      <c r="BB42" s="9" t="s">
        <v>82</v>
      </c>
      <c r="BC42" s="7">
        <v>8871.1200000000008</v>
      </c>
      <c r="BE42" t="str">
        <v>Product38</v>
      </c>
      <c r="BF42">
        <f t="shared" si="11"/>
        <v>8871.1200000000008</v>
      </c>
      <c r="BG42">
        <f t="shared" si="12"/>
        <v>21</v>
      </c>
    </row>
    <row r="43" spans="20:59" x14ac:dyDescent="0.2">
      <c r="AF43" s="9" t="s">
        <v>84</v>
      </c>
      <c r="AG43" s="7">
        <v>3957.15</v>
      </c>
      <c r="AI43" t="str">
        <v>Product39</v>
      </c>
      <c r="AJ43">
        <f t="shared" si="6"/>
        <v>3957.15</v>
      </c>
      <c r="BB43" s="9" t="s">
        <v>84</v>
      </c>
      <c r="BC43" s="7">
        <v>3957.15</v>
      </c>
      <c r="BE43" t="str">
        <v>Product39</v>
      </c>
      <c r="BF43">
        <f t="shared" si="11"/>
        <v>3957.15</v>
      </c>
      <c r="BG43">
        <f t="shared" si="12"/>
        <v>37</v>
      </c>
    </row>
    <row r="44" spans="20:59" x14ac:dyDescent="0.2">
      <c r="AF44" s="9" t="s">
        <v>86</v>
      </c>
      <c r="AG44" s="7">
        <v>7718.4000000000005</v>
      </c>
      <c r="AI44" t="str">
        <v>Product40</v>
      </c>
      <c r="AJ44">
        <f t="shared" si="6"/>
        <v>7718.4000000000005</v>
      </c>
      <c r="BB44" s="9" t="s">
        <v>86</v>
      </c>
      <c r="BC44" s="7">
        <v>7718.4000000000005</v>
      </c>
      <c r="BE44" t="str">
        <v>Product40</v>
      </c>
      <c r="BF44">
        <f t="shared" si="11"/>
        <v>7718.4000000000005</v>
      </c>
      <c r="BG44">
        <f t="shared" si="12"/>
        <v>24</v>
      </c>
    </row>
    <row r="45" spans="20:59" x14ac:dyDescent="0.2">
      <c r="AF45" s="9" t="s">
        <v>88</v>
      </c>
      <c r="AG45" s="7">
        <v>22952.16</v>
      </c>
      <c r="AI45" t="str">
        <v>Product41</v>
      </c>
      <c r="AJ45">
        <f t="shared" si="6"/>
        <v>22952.16</v>
      </c>
      <c r="BB45" s="9" t="s">
        <v>88</v>
      </c>
      <c r="BC45" s="7">
        <v>22952.16</v>
      </c>
      <c r="BE45" t="str">
        <v>Product41</v>
      </c>
      <c r="BF45">
        <f t="shared" si="11"/>
        <v>22952.16</v>
      </c>
      <c r="BG45">
        <f t="shared" si="12"/>
        <v>1</v>
      </c>
    </row>
    <row r="46" spans="20:59" x14ac:dyDescent="0.2">
      <c r="AF46" s="9" t="s">
        <v>90</v>
      </c>
      <c r="AG46" s="7">
        <v>20574</v>
      </c>
      <c r="AI46" t="str">
        <v>Product42</v>
      </c>
      <c r="AJ46">
        <f t="shared" si="6"/>
        <v>20574</v>
      </c>
      <c r="BB46" s="9" t="s">
        <v>90</v>
      </c>
      <c r="BC46" s="7">
        <v>20574</v>
      </c>
      <c r="BE46" t="str">
        <v>Product42</v>
      </c>
      <c r="BF46">
        <f t="shared" si="11"/>
        <v>20574</v>
      </c>
      <c r="BG46">
        <f t="shared" si="12"/>
        <v>3</v>
      </c>
    </row>
    <row r="47" spans="20:59" x14ac:dyDescent="0.2">
      <c r="AF47" s="9" t="s">
        <v>92</v>
      </c>
      <c r="AG47" s="7">
        <v>6064.8399999999992</v>
      </c>
      <c r="AI47" t="str">
        <v>Product43</v>
      </c>
      <c r="AJ47">
        <f t="shared" si="6"/>
        <v>6064.8399999999992</v>
      </c>
      <c r="BB47" s="9" t="s">
        <v>92</v>
      </c>
      <c r="BC47" s="7">
        <v>6064.8399999999992</v>
      </c>
      <c r="BE47" t="str">
        <v>Product43</v>
      </c>
      <c r="BF47">
        <f t="shared" si="11"/>
        <v>6064.8399999999992</v>
      </c>
      <c r="BG47">
        <f t="shared" si="12"/>
        <v>29</v>
      </c>
    </row>
    <row r="48" spans="20:59" x14ac:dyDescent="0.2">
      <c r="AF48" s="9" t="s">
        <v>94</v>
      </c>
      <c r="AG48" s="7">
        <v>16333.92</v>
      </c>
      <c r="AI48" t="str">
        <v>Product44</v>
      </c>
      <c r="AJ48">
        <f t="shared" si="6"/>
        <v>16333.92</v>
      </c>
      <c r="BB48" s="9" t="s">
        <v>94</v>
      </c>
      <c r="BC48" s="7">
        <v>16333.92</v>
      </c>
      <c r="BE48" t="str">
        <v>Product44</v>
      </c>
      <c r="BF48">
        <f t="shared" si="11"/>
        <v>16333.92</v>
      </c>
      <c r="BG48">
        <f t="shared" si="12"/>
        <v>6</v>
      </c>
    </row>
  </sheetData>
  <mergeCells count="17">
    <mergeCell ref="BI1:BJ1"/>
    <mergeCell ref="BE1:BF1"/>
    <mergeCell ref="AO1:AP1"/>
    <mergeCell ref="AR1:AS1"/>
    <mergeCell ref="AU1:AV1"/>
    <mergeCell ref="AX1:AY1"/>
    <mergeCell ref="BB1:BC1"/>
    <mergeCell ref="Z1:AA1"/>
    <mergeCell ref="AF1:AG1"/>
    <mergeCell ref="AI1:AJ1"/>
    <mergeCell ref="AL1:AM1"/>
    <mergeCell ref="B1:D1"/>
    <mergeCell ref="E1:G1"/>
    <mergeCell ref="J1:M1"/>
    <mergeCell ref="O1:R1"/>
    <mergeCell ref="T1:U1"/>
    <mergeCell ref="W1:X1"/>
  </mergeCells>
  <pageMargins left="0.7" right="0.7" top="0.75" bottom="0.75" header="0.3" footer="0.3"/>
  <drawing r:id="rId9"/>
  <legacyDrawing r:id="rId10"/>
  <mc:AlternateContent xmlns:mc="http://schemas.openxmlformats.org/markup-compatibility/2006">
    <mc:Choice Requires="x14">
      <controls>
        <mc:AlternateContent xmlns:mc="http://schemas.openxmlformats.org/markup-compatibility/2006">
          <mc:Choice Requires="x14">
            <control shapeId="11271" r:id="rId11" name="Scroll Bar 7">
              <controlPr defaultSize="0" autoPict="0" altText="SCROLL HERE_x000a_">
                <anchor moveWithCells="1">
                  <from>
                    <xdr:col>38</xdr:col>
                    <xdr:colOff>177800</xdr:colOff>
                    <xdr:row>17</xdr:row>
                    <xdr:rowOff>50800</xdr:rowOff>
                  </from>
                  <to>
                    <xdr:col>38</xdr:col>
                    <xdr:colOff>508000</xdr:colOff>
                    <xdr:row>32</xdr:row>
                    <xdr:rowOff>63500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3D98-7899-4C82-859C-D8816C50874B}">
  <sheetPr codeName="Sheet9">
    <tabColor rgb="FF7030A0"/>
  </sheetPr>
  <dimension ref="P2:AL14"/>
  <sheetViews>
    <sheetView showGridLines="0" showRowColHeaders="0" tabSelected="1" workbookViewId="0">
      <selection activeCell="AB17" sqref="AB17"/>
    </sheetView>
  </sheetViews>
  <sheetFormatPr baseColWidth="10" defaultColWidth="8.83203125" defaultRowHeight="15" x14ac:dyDescent="0.2"/>
  <sheetData>
    <row r="2" spans="16:38" x14ac:dyDescent="0.2">
      <c r="AL2">
        <v>6</v>
      </c>
    </row>
    <row r="3" spans="16:38" x14ac:dyDescent="0.2">
      <c r="P3" t="b">
        <v>1</v>
      </c>
      <c r="Q3" t="b">
        <v>1</v>
      </c>
      <c r="R3" t="b">
        <v>1</v>
      </c>
    </row>
    <row r="14" spans="16:38" x14ac:dyDescent="0.2">
      <c r="Z14" t="s">
        <v>205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defaultSize="0" autoFill="0" autoLine="0" autoPict="0">
                <anchor moveWithCells="1">
                  <from>
                    <xdr:col>4</xdr:col>
                    <xdr:colOff>431800</xdr:colOff>
                    <xdr:row>8</xdr:row>
                    <xdr:rowOff>76200</xdr:rowOff>
                  </from>
                  <to>
                    <xdr:col>6</xdr:col>
                    <xdr:colOff>279400</xdr:colOff>
                    <xdr:row>10</xdr:row>
                    <xdr:rowOff>76200</xdr:rowOff>
                  </to>
                </anchor>
              </controlPr>
            </control>
          </mc:Choice>
        </mc:AlternateContent>
        <mc:AlternateContent xmlns:mc="http://schemas.openxmlformats.org/markup-compatibility/2006">
          <mc:Choice Requires="x14">
            <control shapeId="12290" r:id="rId4" name="Check Box 2">
              <controlPr defaultSize="0" autoFill="0" autoLine="0" autoPict="0">
                <anchor moveWithCells="1">
                  <from>
                    <xdr:col>6</xdr:col>
                    <xdr:colOff>355600</xdr:colOff>
                    <xdr:row>8</xdr:row>
                    <xdr:rowOff>76200</xdr:rowOff>
                  </from>
                  <to>
                    <xdr:col>8</xdr:col>
                    <xdr:colOff>190500</xdr:colOff>
                    <xdr:row>10</xdr:row>
                    <xdr:rowOff>76200</xdr:rowOff>
                  </to>
                </anchor>
              </controlPr>
            </control>
          </mc:Choice>
        </mc:AlternateContent>
        <mc:AlternateContent xmlns:mc="http://schemas.openxmlformats.org/markup-compatibility/2006">
          <mc:Choice Requires="x14">
            <control shapeId="12291" r:id="rId5" name="Check Box 3">
              <controlPr defaultSize="0" autoFill="0" autoLine="0" autoPict="0">
                <anchor moveWithCells="1">
                  <from>
                    <xdr:col>8</xdr:col>
                    <xdr:colOff>266700</xdr:colOff>
                    <xdr:row>8</xdr:row>
                    <xdr:rowOff>76200</xdr:rowOff>
                  </from>
                  <to>
                    <xdr:col>10</xdr:col>
                    <xdr:colOff>114300</xdr:colOff>
                    <xdr:row>10</xdr:row>
                    <xdr:rowOff>76200</xdr:rowOff>
                  </to>
                </anchor>
              </controlPr>
            </control>
          </mc:Choice>
        </mc:AlternateContent>
        <mc:AlternateContent xmlns:mc="http://schemas.openxmlformats.org/markup-compatibility/2006">
          <mc:Choice Requires="x14">
            <control shapeId="12293" r:id="rId6" name="Scroll Bar 5">
              <controlPr defaultSize="0" autoPict="0" altText="SCROLL HERE_x000a_">
                <anchor moveWithCells="1">
                  <from>
                    <xdr:col>13</xdr:col>
                    <xdr:colOff>609600</xdr:colOff>
                    <xdr:row>10</xdr:row>
                    <xdr:rowOff>177800</xdr:rowOff>
                  </from>
                  <to>
                    <xdr:col>14</xdr:col>
                    <xdr:colOff>266700</xdr:colOff>
                    <xdr:row>18</xdr:row>
                    <xdr:rowOff>63500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SALES_DATA</vt:lpstr>
      <vt:lpstr>PRODUCT_MASTER</vt:lpstr>
      <vt:lpstr>DATA MODEL</vt:lpstr>
      <vt:lpstr>FINAL DATA</vt:lpstr>
      <vt:lpstr>FINAL DATA OUTPUT</vt:lpstr>
      <vt:lpstr>DATA ANALYSIS AND PIVOTS</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KUMAR SRI SATYAJIT BHOI</cp:lastModifiedBy>
  <dcterms:created xsi:type="dcterms:W3CDTF">2021-11-03T11:40:02Z</dcterms:created>
  <dcterms:modified xsi:type="dcterms:W3CDTF">2022-10-29T14:04:49Z</dcterms:modified>
</cp:coreProperties>
</file>